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8"/>
  <workbookPr/>
  <mc:AlternateContent xmlns:mc="http://schemas.openxmlformats.org/markup-compatibility/2006">
    <mc:Choice Requires="x15">
      <x15ac:absPath xmlns:x15ac="http://schemas.microsoft.com/office/spreadsheetml/2010/11/ac" url="C:\Users\rt.rodrigo.bianchini\Desktop\app_login\"/>
    </mc:Choice>
  </mc:AlternateContent>
  <xr:revisionPtr revIDLastSave="0" documentId="13_ncr:80001_{AC8C1CD5-DFBB-4DB9-8755-1BAC5561024C}" xr6:coauthVersionLast="36" xr6:coauthVersionMax="36" xr10:uidLastSave="{00000000-0000-0000-0000-000000000000}"/>
  <bookViews>
    <workbookView xWindow="0" yWindow="0" windowWidth="28800" windowHeight="12225" xr2:uid="{00000000-000D-0000-FFFF-FFFF00000000}"/>
  </bookViews>
  <sheets>
    <sheet name="Compras 2026" sheetId="1" r:id="rId1"/>
    <sheet name="Compras 2025" sheetId="2" r:id="rId2"/>
    <sheet name="Compras 2024" sheetId="3" r:id="rId3"/>
    <sheet name="Compras 2023" sheetId="4" r:id="rId4"/>
    <sheet name="Convênios" sheetId="5" r:id="rId5"/>
    <sheet name="Chefias 2024" sheetId="6" r:id="rId6"/>
    <sheet name="INDICADORES" sheetId="7" r:id="rId7"/>
    <sheet name="Base de Dados" sheetId="8" state="hidden" r:id="rId8"/>
  </sheets>
  <definedNames>
    <definedName name="_xlnm._FilterDatabase" localSheetId="0" hidden="1">'Compras 2026'!$A$2:$P$301</definedName>
  </definedNames>
  <calcPr calcId="191029"/>
  <pivotCaches>
    <pivotCache cacheId="8" r:id="rId9"/>
  </pivotCaches>
</workbook>
</file>

<file path=xl/calcChain.xml><?xml version="1.0" encoding="utf-8"?>
<calcChain xmlns="http://schemas.openxmlformats.org/spreadsheetml/2006/main">
  <c r="CC2" i="8" l="1"/>
  <c r="BZ2" i="8"/>
  <c r="BW2" i="8"/>
  <c r="BT2" i="8"/>
  <c r="BQ2" i="8"/>
  <c r="BN2" i="8"/>
  <c r="BK2" i="8"/>
  <c r="BH2" i="8"/>
  <c r="G20" i="7" s="1"/>
  <c r="M20" i="7" s="1"/>
  <c r="BE2" i="8"/>
  <c r="BB2" i="8"/>
  <c r="AY2" i="8"/>
  <c r="AV2" i="8"/>
  <c r="AS2" i="8"/>
  <c r="AP2" i="8"/>
  <c r="AM2" i="8"/>
  <c r="AJ2" i="8"/>
  <c r="G16" i="7" s="1"/>
  <c r="AG2" i="8"/>
  <c r="AD2" i="8"/>
  <c r="AA2" i="8"/>
  <c r="X2" i="8"/>
  <c r="U2" i="8"/>
  <c r="R2" i="8"/>
  <c r="R3" i="8" s="1"/>
  <c r="O2" i="8"/>
  <c r="L2" i="8"/>
  <c r="G24" i="7" s="1"/>
  <c r="F2" i="8"/>
  <c r="C2" i="8"/>
  <c r="C3" i="8" s="1"/>
  <c r="J46" i="7"/>
  <c r="J44" i="7"/>
  <c r="G44" i="7"/>
  <c r="M44" i="7" s="1"/>
  <c r="J42" i="7"/>
  <c r="G42" i="7"/>
  <c r="M42" i="7" s="1"/>
  <c r="J32" i="7"/>
  <c r="M32" i="7" s="1"/>
  <c r="G32" i="7"/>
  <c r="J30" i="7"/>
  <c r="G30" i="7"/>
  <c r="M30" i="7" s="1"/>
  <c r="J28" i="7"/>
  <c r="G28" i="7"/>
  <c r="J26" i="7"/>
  <c r="M26" i="7" s="1"/>
  <c r="G26" i="7"/>
  <c r="J24" i="7"/>
  <c r="J20" i="7"/>
  <c r="J18" i="7"/>
  <c r="G18" i="7"/>
  <c r="J16" i="7"/>
  <c r="M14" i="7"/>
  <c r="J14" i="7"/>
  <c r="G14" i="7"/>
  <c r="J12" i="7"/>
  <c r="G12" i="7"/>
  <c r="M12" i="7" s="1"/>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O1" i="2"/>
  <c r="N1" i="2"/>
  <c r="J1" i="2"/>
  <c r="I1" i="2"/>
  <c r="D1" i="2"/>
  <c r="I3" i="8" s="1"/>
  <c r="A1" i="2"/>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O1" i="1"/>
  <c r="N1" i="1"/>
  <c r="J1" i="1"/>
  <c r="I1" i="1"/>
  <c r="D1" i="1"/>
  <c r="A1" i="1"/>
  <c r="M18" i="7" l="1"/>
  <c r="M28" i="7"/>
  <c r="M16" i="7"/>
  <c r="G46" i="7"/>
  <c r="J36" i="7"/>
  <c r="I2" i="8"/>
  <c r="M24" i="7"/>
  <c r="G48" i="7"/>
  <c r="G38" i="7"/>
  <c r="M38" i="7" s="1"/>
  <c r="J48" i="7"/>
  <c r="J38" i="7"/>
  <c r="G36" i="7"/>
  <c r="M46" i="7"/>
  <c r="M48" i="7" s="1"/>
  <c r="M36" i="7" l="1"/>
</calcChain>
</file>

<file path=xl/sharedStrings.xml><?xml version="1.0" encoding="utf-8"?>
<sst xmlns="http://schemas.openxmlformats.org/spreadsheetml/2006/main" count="9902" uniqueCount="2967">
  <si>
    <t>PROCESSO N°</t>
  </si>
  <si>
    <t>DESCRIÇÃO</t>
  </si>
  <si>
    <t>DATA DE CRIAÇÃO</t>
  </si>
  <si>
    <t>VALOR PREVISTO</t>
  </si>
  <si>
    <t>FONTE DE RECURSO</t>
  </si>
  <si>
    <t>MODALIDADE</t>
  </si>
  <si>
    <t>DATA DO PREGÃO</t>
  </si>
  <si>
    <t>CONTRATO ASSINADO</t>
  </si>
  <si>
    <t>EMPENHO ASSINADO</t>
  </si>
  <si>
    <t>EMPENHO E CONTRATO ENVIADO AO FORNECEDOR (DATA)</t>
  </si>
  <si>
    <t>PRAZO DE ENTREGA (DIAS)</t>
  </si>
  <si>
    <t>DATA PREV. DE ENTREGA</t>
  </si>
  <si>
    <t>COBRADO ENTREGA NO DIA</t>
  </si>
  <si>
    <t>MATERIAL ENTREGUE (DATA)</t>
  </si>
  <si>
    <t>SITUAÇÃO</t>
  </si>
  <si>
    <t>OBSERVAÇÃO</t>
  </si>
  <si>
    <t>23.536.933-8</t>
  </si>
  <si>
    <t>Dispensa de menor valor - Dispensa de contratação de prestação de serviço de Dosimetria, para atender a UETC Tarumã da Polícia Científica do Paraná</t>
  </si>
  <si>
    <t>CUSTEIO</t>
  </si>
  <si>
    <t>Dispensa de Licitação</t>
  </si>
  <si>
    <t>FINALIZADO</t>
  </si>
  <si>
    <t>23.577.593-0</t>
  </si>
  <si>
    <t>Contratação de Serviço de empresa especializada em lavagem de roupa hospitalar - Lavanderia</t>
  </si>
  <si>
    <t>Licitação</t>
  </si>
  <si>
    <t>23.432.467-5</t>
  </si>
  <si>
    <t>[Verba Parlamentar Moro] Aquisição de Pipetador Automático para preparo de placas para a SGMF</t>
  </si>
  <si>
    <t>Inexigibilidade</t>
  </si>
  <si>
    <t>TRAMITANDO</t>
  </si>
  <si>
    <t>23.711.290-3</t>
  </si>
  <si>
    <t>Dispensa de Licitação - Aquisição de Maleta de Perícia tipo 02, para atender as necessidades da Polícia Científica do Paraná, através do Convênio Federal No 936068/2022, No Processo: 08020002865202206</t>
  </si>
  <si>
    <t>INVESTIMENTO</t>
  </si>
  <si>
    <t>23.336.634-0</t>
  </si>
  <si>
    <t>Contratação do serviço de ampliação da rede de gases especiais visando a instalação de novos equipamentos laboratoriais na UETC Curitiba - Tarumã</t>
  </si>
  <si>
    <t>23.356.092-8</t>
  </si>
  <si>
    <t>Aquisição de “Kits de Controle de Acesso”, para atender a demanda da Divisão de Custódia de Vestígios da Polícia Científica do Paraná</t>
  </si>
  <si>
    <t>23.708.709-7</t>
  </si>
  <si>
    <t>Solicita abertura para aquisição de 60 Purificadores de água e refil de filtro, a fim de atender as demandas da Polícia Científica do Paraná.</t>
  </si>
  <si>
    <t>23.822.468-3</t>
  </si>
  <si>
    <t>Contratação de empresa especializada na prestação de serviços de locação de veículos adaptados para transporte de cadáveres (COTRANS) - o protocolo que correu o processo licitatório, 22.469.724-4, foi arquivado na SEAP.</t>
  </si>
  <si>
    <t>23.750.119-5</t>
  </si>
  <si>
    <t>SEDCA Aquisição de uma Plataforma de Processamento Rápido de DNA</t>
  </si>
  <si>
    <t>25/06/2025 - Enviado ao SESP/NFS/OR para emissão das informações financeiras</t>
  </si>
  <si>
    <t>23.391.860-1</t>
  </si>
  <si>
    <t>SRP Coffee Break - Aquisição através do Registro de Preço do PE 494/2023, na modalidade PARTICIPANTE, de Serviço de Coffee Break para atender as necessidades da Unidade de Execução Técnico-Científica de Curitiba da Polícia Científica do Paraná. VALIDADE DA ATA 23/09/2025</t>
  </si>
  <si>
    <t>SRP Estadual</t>
  </si>
  <si>
    <t>23.384.464-0</t>
  </si>
  <si>
    <t>AQUISIÇÃO DE SOLUÇÕES TAMPÃO E KCl, VIA PREGÃO ELETRÔNICO 851/2023 LOTES 01, 02 e 03, VALIDADE DA ATA: 19/02/2025, NA MODALIDADE PARTICIPANTE, PARA SUPRIR A DEMANDA DOS LABORATÓRIOS FORENSES DA POLÍCIA CIENTÍFICA DO PARANÁ.</t>
  </si>
  <si>
    <t>ARQUIVADO</t>
  </si>
  <si>
    <t>23.427.285-3</t>
  </si>
  <si>
    <t>SRP Máscara e Avental Descartável - Aquisição através do Registro de Preço do PE 706/2024, na modalidade PARTICIPANTE, de Máscara e Avental Descartável para atender as necessidades das unidades da Polícia Científica do Paraná.</t>
  </si>
  <si>
    <t>23.549.843-0</t>
  </si>
  <si>
    <t>SRP Insumos de Laboratórios - Aquisição através do Registro de Preço do PE 163/2023, na modalidade PARTICIPANTE de Insumos de Laboratórios para atender as unidades da Polícia Científica do Paraná. VALIDADE DA ATA: 17/02/2026</t>
  </si>
  <si>
    <t>23.539.216-0</t>
  </si>
  <si>
    <t>Aquisição de Câmaras Frias pelo SRP no 1388/2024. 7 Unidades: 1 Seção Ambiental, 1 Telêmaco Borba, 3 Toledo, 1 Maringá e 1 Paranaguá</t>
  </si>
  <si>
    <t>29/07/2025 - Ja entregue Telemaco Borba, Segundo Beatriz</t>
  </si>
  <si>
    <t>23.726.102-0</t>
  </si>
  <si>
    <t>SRP Papel Sulfite A4 - Aquisição através do Registro de Preço do PE 33/2024, na modalidade PARTICIPANTE, de Papel Sulfite A4 para atender as necessidades das unidades da Polícia Científica do Paraná.</t>
  </si>
  <si>
    <t>23.814.144-3</t>
  </si>
  <si>
    <t>SRP Almoxarife - Contratação através do Registro de Preço do PE 1934/2024, na modalidade PARTICIPANTE, de Posto, Almoxarife, 40 horas semanais, De segunda a sexta para atender as necessidades do Almoxarifado Central da Polícia Científica do Paraná.</t>
  </si>
  <si>
    <t>23.852.416-4</t>
  </si>
  <si>
    <t>SRP Água Mineral - Aquisição através do Registro de Preço do PE 1089/2024 na modalidade PARTICIPANTE, de Água Mineral para atender as necessidades das unidades da Polícia Científica do Paraná. VALIDADE DA ATA: 07/04/2026</t>
  </si>
  <si>
    <t>23.759.626-9</t>
  </si>
  <si>
    <t>Adesão em ATA DE REGISTRO DE PREÇO da PCP-SC, para aquisição de álcool metílico, álcool isopropílico e luminol.</t>
  </si>
  <si>
    <t>SRP Estadual (Carona)</t>
  </si>
  <si>
    <t>23.529.878-3</t>
  </si>
  <si>
    <t>Trata-se de abertura de dispensa de licitação para aquisição de embalagem simples.</t>
  </si>
  <si>
    <t>23.550.851-6</t>
  </si>
  <si>
    <t>dispensa eletrônica de licitação para aquisição de insumos para a realização de exames de identificação veicular, Em Aço Rápido; lixa, graxa, removedor de esmalte (acetona) estopa</t>
  </si>
  <si>
    <t>23.590.694-5</t>
  </si>
  <si>
    <t>dispensa eletrônica de processo licitatório, de Artigos de Higiene Pessoal - Sabonete Líquido</t>
  </si>
  <si>
    <t>23.444.059-4</t>
  </si>
  <si>
    <t>[Verba Parlamentar - Moro] - Aquisição de Insumos para o Analisador Genético 3500</t>
  </si>
  <si>
    <t>23.711.352-7</t>
  </si>
  <si>
    <t>[Verba Parlamentar - Moro] - Aquisição Sequenciador com Sistema de Eletroforese capilar</t>
  </si>
  <si>
    <t>23.678.445-2</t>
  </si>
  <si>
    <t>[Emenda Parlamentar - Sérgio Moro] Aquisição de um moinho moedor de ossos</t>
  </si>
  <si>
    <t>23.503.010-1</t>
  </si>
  <si>
    <t>SRP CAIXA VAZADA - AQUISIÇÃO ATRAVÉS DO REGISTRO DE PREÇO DO PE 979/2023, NA MODALIDADE PARTICIPANTE, DE CAIXA VAZADA, COR: AZUL, CAPACIDADE: 49 LITROS</t>
  </si>
  <si>
    <t>23.541.254-3</t>
  </si>
  <si>
    <t>SRP Reagentes Químicos - Aquisição através do Registro de Preço do PE 975/2023, na modalidade PARTICIPANTE de Reagentes Químicos para atender as unidades da Polícia Científica do Paraná. VALIDADE DA ATA: 28/05/2025</t>
  </si>
  <si>
    <t>23.581.473-0</t>
  </si>
  <si>
    <t>SRP Bandeiras - Aquisição através do Registro de Preço do PE 449/2023, na modalidade PARTICIPANTE, de Bandeiras para atender as necessidades das unidades da Polícia Científica do Paraná.</t>
  </si>
  <si>
    <t>23.659.354-1</t>
  </si>
  <si>
    <t>SRP Envelope, TIPO: Saco, COR: Branca - Aquisição através do Registro de Preço do PE 25/2023, na modalidade PARTICIPANTE, de Envelope, TIPO: Saco, COR: Branca para atender as necessidades das unidades da Polícia Científica do Paraná.</t>
  </si>
  <si>
    <t>23.650.629-0</t>
  </si>
  <si>
    <t>SRP Caneta Esferográfica - Aquisição através do Registro de Preço do PE 28/2023, na modalidade PARTICIPANTE, de Caneta Esferográfica para atender as necessidades das unidades da Polícia Científica do Paraná.</t>
  </si>
  <si>
    <t>23.642.186-4</t>
  </si>
  <si>
    <t>SRP Sabão em Pó, Limpa Vidros e Lustra Móveis - Aquisição através do Registro de Preço do PE 113/2024, na modalidade PARTICIPANTE, de Sabão em Pó, Limpa Vidros e Lustra Móveis</t>
  </si>
  <si>
    <t>23.574.455-4</t>
  </si>
  <si>
    <t>SRP Materiais Diversos para Laboratório - Aquisição através do Registro de Preço do PE 747/2023, na modalidade PARTICIPANTE, de Materiais Diversos para Laboratório para atender as necessidades das unidades da Polícia Científica do Paraná.</t>
  </si>
  <si>
    <t>23.326.534-9</t>
  </si>
  <si>
    <t>SRP CARONA - Adesão de Aquisição através do Registro de Preço do PE 185/2024, de aquisição de Seringa, Descartável, Estéril, 20ml (sem agulha</t>
  </si>
  <si>
    <t>23.468.057-9</t>
  </si>
  <si>
    <t>SRP Água Sanitária e Desodorizador de Ambiente - Aquisição através do Registro de Preço do PE 112/2024, na modalidade PARTICIPANTE, de Água Sanitária e Desodorizador de Ambiente para atender as necessidades das unidades da Polícia Científica do Paraná. VALIDADE DA ATA: 02/02/2026</t>
  </si>
  <si>
    <t>23.518.554-7</t>
  </si>
  <si>
    <t>SRP Material de Limpeza - Grupo I - Aquisição através do Registro de Preço do PE 1026/2023, na modalidade PARTICIPANTE de Material de Limpeza - Grupo I - Escova, Pá, desentupidor . VALIDADE DA ATA: 09/10/2025</t>
  </si>
  <si>
    <t>23.443.596-5</t>
  </si>
  <si>
    <t>SRP Caixa Arquivo - Aquisição através do Registro de Preço do PE 27/2023, na modalidade PARTICIPANTE, de Caixa Arquivo para atender as necessidades das unidades da Polícia Científica do Paraná. VALIDADE DA ATA: 27/02/2025</t>
  </si>
  <si>
    <t>23.510.701-5</t>
  </si>
  <si>
    <t>SRP Garrafa Térmica - Aquisição através do Registro de Preço do PE 366/2023, na modalidade PARTICIPANTE de Garrafa Térmica 1,8 Litros para atender as unidades da Polícia Científica do Paraná. VALIDADE DA ATA: 01/09/2025</t>
  </si>
  <si>
    <t>23.460.149-0</t>
  </si>
  <si>
    <t>SRP Luva Nitrílica - Aquisição através do Registro de Preço do PE 747/2023, na modalidade PARTICIPANTE, de Luva Nitrílica para atender as necessidades das unidades da Polícia Científica do Paraná. VALIDADE DA ATA: 29/04/2025</t>
  </si>
  <si>
    <t>23.456.626-1</t>
  </si>
  <si>
    <t>Solicitação de compra por dispensa de licitação de envelopes cartão.</t>
  </si>
  <si>
    <t>21.027.878-8</t>
  </si>
  <si>
    <t>Certame | PEI90968-23 | Análise docs complementares (30/01/25) | COLETES BALÍSTICOS VIA SRP - SESP</t>
  </si>
  <si>
    <t>23.551.931-3</t>
  </si>
  <si>
    <t>Processo de inexigibilidade para a aquisição de 200 (duzentas) inscrições para o congresso Interforensics</t>
  </si>
  <si>
    <t>23.846.805-1</t>
  </si>
  <si>
    <t>Solicitação para abertura de processo licitatório para manutenção preventiva e corretiva de dois Espectrômetros Raman da Seção de Química Forense da Polícia Científica do Paraná.</t>
  </si>
  <si>
    <t>23.820.057-1</t>
  </si>
  <si>
    <t>[Emenda Parlamentar Senador Sérgio Moro] Aquisição de Kits reagentes de extração de DNA forense automatizado BTA, validados e compatíveis com plataformas automatizadas Hamilton de extração de DNA, visando atender às demandas do Laboratório de Genética Molecular Forense da Polícia Científica do Paraná, através de inexigibilidade de licitação</t>
  </si>
  <si>
    <t>23.484.170-0</t>
  </si>
  <si>
    <t>SRP - Cordão personalizado e porta crachá - Aquisição através do Registro de Preço do PE 334/2023, na modalidade CARONA, de Cordão personalizado e porta crachá para atender as necessidades das unidades da Polícia Científica do Paraná. VALIDADE DA ATA 03/06/2025</t>
  </si>
  <si>
    <t>23.390.457-0</t>
  </si>
  <si>
    <t>Cartão FTA para a Polícia Científica do Paraná. Certame| PE 90224-25 | Seleção de fornecedores 2. Prot. 24.213.141-0 - Homologação Parcial - 158 pacotes com 100 unidades (R$347.600,00)</t>
  </si>
  <si>
    <t>2. Prot. 24.213.141-0 - Homologação Parcial - 158 pacotes com 100 unidades (R$347.600,00)</t>
  </si>
  <si>
    <t>23.934.522-0</t>
  </si>
  <si>
    <t>Dispensa eletrônica de Lâmina de Serra Sabre</t>
  </si>
  <si>
    <t>23.951.184-8</t>
  </si>
  <si>
    <t>SRP - Copo Descartável - Aquisição através do Registro de Preço do PE 1036/2024, na modalidade CARONA, de Copo Descartável para atender as necessidades das unidades da Polícia Científica do Paraná. VALIDADE DA ATA 05/11/2025</t>
  </si>
  <si>
    <t>23.824.217-7</t>
  </si>
  <si>
    <t>Contrato de manutenção corretiva e preventiva do equipamento IDStarlet da marca HAMILTON, por meio da Ata de Registro de Preços no 04/2024/SENASP, da qual a Polícia Científica do Paraná é participante.</t>
  </si>
  <si>
    <t>SRP Federal</t>
  </si>
  <si>
    <t>23.887.144-1</t>
  </si>
  <si>
    <t>Solicita-se a aquisição de freezers científicos, por meio da ARP 15/2025 (SENASP).</t>
  </si>
  <si>
    <t>23.390.499-6</t>
  </si>
  <si>
    <t>Aquisição via dispensa de processo licitatório na forma eletrônica de Água Sanitária para atende a demanda da Polícia Científica do Paraná.</t>
  </si>
  <si>
    <t>23.484.056-8</t>
  </si>
  <si>
    <t>Solicita a aquisição de letreiro para a fachada da UETC Curitiba Tarumã</t>
  </si>
  <si>
    <t>Fornecedor desistiu do Serviço, será desomologado e solicitado o próximo colocado. 24.644.316-5 - Verifica eventual responsabilidade da empresa Visualiza Comunicação Visual (ENZO MIGUEL DIAS DA SILVA) adjudicatária sobre a recusa no prosseguimento da execução contratual.</t>
  </si>
  <si>
    <t>23.496.090-3</t>
  </si>
  <si>
    <t>Aquisição, através de dispensa eletrônica de processo licitatório, de sabão em pó, a fim de suprir a demanda do órgão da Polícia Científica do Paraná.</t>
  </si>
  <si>
    <t>23.364.790-0</t>
  </si>
  <si>
    <t>Solicitação de compra de Leitores QRCode.  PE90830/25</t>
  </si>
  <si>
    <t>23.330.486-7</t>
  </si>
  <si>
    <t>Solicitação de reabertura de processo licitatório para aquisição des STUBS para a Polícia Científica do Paraná. PE 150/2025</t>
  </si>
  <si>
    <t>23.573.808-2</t>
  </si>
  <si>
    <t>SRP Materiais Diversos para Laboratório - Aquisição através do Registro de Preço do PE 352/2023, na modalidade PARTICIPANTE, de Materiais Diversos para Laboratório para atender as necessidades das unidades da Polícia Científica do Paraná.</t>
  </si>
  <si>
    <t>22.075.189-9</t>
  </si>
  <si>
    <t>Licitação - Abertura de procedimento Licitatório, visando a aquisição de Cofres para atender a demanda de todas as unidades da Polícia Científica do Paraná.</t>
  </si>
  <si>
    <t>21.828.132-0</t>
  </si>
  <si>
    <t>SOLICITAÇÃO PARA ABERTURA DE PROCESSO LICITATÓRIO PARA CONTRATAÇÃO DE EMPRESA ESPECIALIZADA NO FORNECIMENTO, CONFIGURAÇÃO E IMPLANTAÇÃO DE SISTEMA INFORMATIZADO DE AUTOMAÇÃO E GESTÃO DE LABORATÓRIOS (LIMS), ATRAVÉS DO CONVÊNIO No 919141/2021 - PLATAFORMA + BRASIL POR 12 MESES, PARA ATENDER A SEÇÃO DE GENÉTICA MOLECULAR FORENSE.</t>
  </si>
  <si>
    <t>23.828.665-4</t>
  </si>
  <si>
    <t>Contratação de serviço de manutenção corretiva do equipamento Hamilton EasyPunch STARlet (StarQ), por inexigibilidade de licitação, para atender a demanda da Seção de Genética Molecular Forense da Polícia Científica do Paraná.</t>
  </si>
  <si>
    <t>23.912.341-4</t>
  </si>
  <si>
    <t>AQUISIÇÃO DE AR CONDICIONADO PORTÁTIL ATRAVÉS DE ADESÃO À ATA DE REGISTRO DE PREÇOS 236/2024 - UNIVERSIDADE FEDERAL DO PARANÁ - UFPR, PARA ATENDER A DEMANDA DA POLÍCIA CIENTÍFICA DO PARANÁ</t>
  </si>
  <si>
    <t>Fornecedor declinou no fornecimento</t>
  </si>
  <si>
    <t>23.918.447-2</t>
  </si>
  <si>
    <t>Solicitação de adesão ao item 42 da ata de registro de preços no 038/2023, UASG 153254, com vigência até 27/09/2025, para aquisição de ultrafreezers laboratoriais para atender a demanda da Seção de Genética Molecular Forense da Polícia Científica do Paraná</t>
  </si>
  <si>
    <t>22.403.733-3</t>
  </si>
  <si>
    <t>Dispensa de Licitação Eletrônica - Aquisição através de dispensa de licitação de aquisição de Pilhas AA e AAA recarregáveis para atendimento da demanda da Polícia Científica do Paraná. DISPENSA ELETRÔNICA</t>
  </si>
  <si>
    <t>23.976.044-9</t>
  </si>
  <si>
    <t>Dispensa de Licitação Eletrônica - Aquisição através de dispensa de licitação de aquisição de Agulha Hipodérmica 40 x 1,6 mm para atendimento da demanda da Polícia Científica do Paraná. DISPENSA ELETRÔNICA</t>
  </si>
  <si>
    <t>23.970.694-0</t>
  </si>
  <si>
    <t>Trata-se da aquisição de copos descartáveis para atendente a demanda da Policia Científica do Paraná. DISPENSA ELETRÔNICA</t>
  </si>
  <si>
    <t>23.985.100-2</t>
  </si>
  <si>
    <t>SRP Fragmentadora de Papel - Aquisição através do Registro de Preço do PE 595/2024, na modalidade PARTICIPANTE, de Fragmentadora de Papel para atender as necessidades das unidades da Polícia Científica do Paraná. VALIDADE DA ATA: 24/04/2026</t>
  </si>
  <si>
    <t>23.985.963-1</t>
  </si>
  <si>
    <t>SRP Limpador Multiuso - Aquisição através do Registro de Preço do PE 113/2024, na modalidade PARTICIPANTE, de Limpador Multiuso para atender as necessidades das unidades da Polícia Científica do Paraná. VALIDADE DA ATA: 06/03/2026</t>
  </si>
  <si>
    <t>23.994.158-3</t>
  </si>
  <si>
    <t>SRP Papel Higiênico Rolão 10 cm x 300 m - Aquisição através do Registro de Preço do PE 1025/2023, na modalidade PARTICIPANTE, de Papel Higiênico Rolão 10 cm x 300 m para atender as necessidades das unidades da Polícia Científica do Paraná. VALIDADE DA ATA: 25/11/2026</t>
  </si>
  <si>
    <t>23.901.224-8</t>
  </si>
  <si>
    <t>Aquisição de Ferramenta Forense Avançada de Remoção de Senha e Extração de Dados de Dispositivos Móveis Portáteis</t>
  </si>
  <si>
    <t>23.166.542-0</t>
  </si>
  <si>
    <t>INSTRUÇÃO DE COMPRA - CADEIRAS DO AUDITÓRIO DA NOVA SEDE DA UETC-PG</t>
  </si>
  <si>
    <t>23.695.715-2</t>
  </si>
  <si>
    <t>AQUISIÇÃO DE COOKTOP E FRIGOBAR ATRAVÉS DE ADESÃO À ATA DE REGISTRO DE PREÇOS 243/2024 - UNIVERSIDADE FEDERAL DO PARANÁ - UFPR, PARA ATENDER A DEMANDA DA POLÍCIA CIENTÍFICA DO PARANÁ</t>
  </si>
  <si>
    <t>23.841.550-0</t>
  </si>
  <si>
    <t>Solicita adesão à ATA SRP no 0008/2025, UASG 155015, para aquisição de Proteinase K (item 21) para atender a demanda da Seção de Genética Molecular Forense da Polícia Científica do Paraná.</t>
  </si>
  <si>
    <t>SRP Federal (Carona)</t>
  </si>
  <si>
    <t>24.031.360-0</t>
  </si>
  <si>
    <t>SRP Desktop e Monitores - Aquisição através do Registro de Preço do PE 1031/2023, na modalidade PARTICIPANTE, de Desktop e Monitores para atender as necessidades das unidades da Polícia Científica do Paraná. VALIDADE DA ATA: 14/04/2026</t>
  </si>
  <si>
    <t>24.040.265-3</t>
  </si>
  <si>
    <t>SRP Licença Software Archicad Brazilian - Aquisição através do Registro de Preço do PE INEX 2/2024, na modalidade PARTICIPANTE, de Licença Software Archicad Brazilian para atender as necessidades das unidades da Polícia Científica do Paraná. VALIDADE DA ATA: 15/05/2026</t>
  </si>
  <si>
    <t>Processo arquivado para solicitar outro tipo de software com ATA disponível. Aberto o 24.761.161-4</t>
  </si>
  <si>
    <t>22.683.581-4</t>
  </si>
  <si>
    <t>Aquisição de equipamentos de processamento e de armazenamento de vestígios digitais e de equipamentos de gerenciamento de rede através de Termo de Execução Descentralizada - TED no 001/2024 - Lottopar PE 698 2025 | Publicado (abertura 26/08/25)</t>
  </si>
  <si>
    <t>24.071.567-8</t>
  </si>
  <si>
    <t>SRP Lâmina e Corante Giemsa - Aquisição através do Registro de Preço do PE 2121/2024, na modalidade PARTICIPANTE, de Lâmina e Corante Giemsa para atender as necessidades das unidades da Polícia Científica do Paraná. VALIDADE DA ATA: 13/05/2026</t>
  </si>
  <si>
    <t>22.774.761-7</t>
  </si>
  <si>
    <t>Aquisição de Fuzil 5,56 por meio de adesão à Ata de Registro de Preços da Polícia Militar de Minas Gerais</t>
  </si>
  <si>
    <t>24.016.119-2</t>
  </si>
  <si>
    <t>INSTRUÇÃO INICIAL DE PROCESSO LICITATÓRIO VISANDO FUTURA E EVENTUAL AQUISIÇÃO E LOCAÇÃO DE VIATURAS</t>
  </si>
  <si>
    <t>24.090.039-4</t>
  </si>
  <si>
    <t>Monitores 24" Via SRP - Adesão -  Defensoria Publica do Amapá</t>
  </si>
  <si>
    <t>23.778.317-4</t>
  </si>
  <si>
    <t>abertura de processo licitatório para aquisição de 08 unidades de Sistema de Espectrometria de Infravermelho com Transformada de Fourier e Reflexão Total Atenuada (FTIR-ATR) para a Seção de Química Forense.</t>
  </si>
  <si>
    <t>22.415.334-1</t>
  </si>
  <si>
    <t>aquisição de dois Espectrômetros de massa com plasma indutivamente acoplado (ICP-MS)</t>
  </si>
  <si>
    <t>22.668.212-0</t>
  </si>
  <si>
    <t>Aquisição de reagentes químicos por dispensa de licitação, para atender a demanda das Seções de Genética Molecular Forense, Química Forense e Toxicologia Forense da Polícia Científica do Paraná</t>
  </si>
  <si>
    <t>Entregue os materiais parcialmente, falta somente o LUMINOL</t>
  </si>
  <si>
    <t>22.415.499-2</t>
  </si>
  <si>
    <t>Solicitação de abertura de processo de licitação para a aquisição de dois Sistemas de Cromatografia Líquida acoplada a Espectrômetro de Massas de alta resolução do tipo Quadrupolo e Tempo de Voo (LC-qTOF-MS). (Agro Forense)</t>
  </si>
  <si>
    <t>24.097.849-0</t>
  </si>
  <si>
    <t>SRP de Drones - Aquisição através do Registro de Preço do PE 1327/2024, na modalidade PARTICIPANTE, de Drones para atender as necessidades da Unidade de Execução Técnico-Científica de Curitiba da Polícia Científica do Paraná. VALIDADE DA ATA 27/04/2026</t>
  </si>
  <si>
    <t>Cobrado o Gestor Felipe Dias no dia 13/10/2025, Felipe informou que a empresa pediu prorrogação de mais 60 dias</t>
  </si>
  <si>
    <t>22.385.321-8</t>
  </si>
  <si>
    <t>Licitação para a aquisição de 03 Sistemas de cromatografia líquida acoplados a espectrometria de massas em tandem. LC-MS/MS</t>
  </si>
  <si>
    <t>23.656.828-8</t>
  </si>
  <si>
    <t>SRP - Contratação através do Registro de Preço do PE 847/2024, de prestação de serviço de limpeza, postos 12x36 com insalubridade 40% para atender a unidade de Telemaco Borba da Polícia Científica do Paraná. VALIDADE DA ATA: 17/11/2025.</t>
  </si>
  <si>
    <t>23.766.345-4</t>
  </si>
  <si>
    <t>adesão como carona em ATA DE REGISTRO DE PREÇO no 0050/2024/PCI da Polícia Científica de Santa Catarina, para aquisição de Fast Blue Salt e Tiocianato de Cobalto II, para atender a demanda da Seção de Química Forense.</t>
  </si>
  <si>
    <t>22.168.566-0</t>
  </si>
  <si>
    <t>Licitação - Abertura de procedimento Licitatório, visando a aquisição de CÂMARAS MORTUÁRIAS para a nova unidade da Polícia Científica de Ponta Grossa.</t>
  </si>
  <si>
    <t>24.116.894-8</t>
  </si>
  <si>
    <t>Solicitação de Adesão a ATA 011/2024 da SUPERINTENDÊNCIA REGIONAL DA POLÍCIA FEDERAL NO ESTADO DO AMAPÁ visando a aquisição de 40 unidades de Smart Tv 55</t>
  </si>
  <si>
    <t>22.488.200-9</t>
  </si>
  <si>
    <t>Aquisição de Equipamentos SGMF - Inexigibilidade StarletID, EasyPunch e QuantStudio.</t>
  </si>
  <si>
    <t>22.212.489-1</t>
  </si>
  <si>
    <t>Prestação de serviço de manutenção, preventiva e corretiva, de câmaras mortuárias refrigeradas, para atender a demanda de 18 (dezoito) Unidades de Execução Técnico-Científicas (UETCs) da Polícia Científica do Paraná (PCP), pelo período de 12 (doze) meses</t>
  </si>
  <si>
    <t>22.124.897-0</t>
  </si>
  <si>
    <t>Instrução de compra referente às mesas de necropsia da nova unidade da Polícia Científica de Ponta Grossa</t>
  </si>
  <si>
    <t>22.443.126-0</t>
  </si>
  <si>
    <t>AQUISIÇÃO DE SISTEMA DE CROMATOGRAFIA IÔNICA PARA ANÁLISE SIMULTÂNEA DE ÂNIONS E CÁTIONS COM DETECTORES POR CONDUTIVIDADE</t>
  </si>
  <si>
    <t>Empresa pediu prorrogação até dia 30/10/2025</t>
  </si>
  <si>
    <t>24.162.789-6</t>
  </si>
  <si>
    <t>Aquisição, através de procedimento licitatório de carrinho de instrumentação para atender a demanda das unidades que realizam exames de necropsia da Polícia Científica do Paraná</t>
  </si>
  <si>
    <t>24.075.464-9</t>
  </si>
  <si>
    <t>Aquisição de Tanques Balísticos - Adesão a Ata de Registro de Preços N° 0049/2024/PCI</t>
  </si>
  <si>
    <t>vencimento da ata de registro de
preços e impossibilidade de aquisição</t>
  </si>
  <si>
    <t>24.172.889-7</t>
  </si>
  <si>
    <t>protocolo de adesão à ata de lençol descartável</t>
  </si>
  <si>
    <t>24.195.717-9</t>
  </si>
  <si>
    <t>SRP - Banco de Jardim - Aquisição através do Registro de Preço do PE 026/2025, na modalidade CARONA, de Banco de Jardim para atender as necessidades das unidades da Polícia Científica do Paraná.</t>
  </si>
  <si>
    <t>24.195.811-6</t>
  </si>
  <si>
    <t>SRP MATERIAL DE COPA E COZINHA – GRUPO II - Aquisição através do Registro de Preço do PE 366/2023, na modalidade PARTICIPANTE, de MATERIAL DE COPA E COZINHA – GRUPO II para atender as necessidades das unidades da Polícia Científica do Paraná. VALIDADE DA ATA: 01/09/2025</t>
  </si>
  <si>
    <t>23.885.636-1</t>
  </si>
  <si>
    <t>processo de compra por inexigibilidade para aquisição de um Espectrômetro de Ressonância Magnética Nuclear (RMN) de bancada para atender a demanda da seção de química forense da Polícia Científica do Paraná</t>
  </si>
  <si>
    <t>24.197.585-1</t>
  </si>
  <si>
    <t>SRP Detergente Laboratorial - Aquisição através do Registro de Preço do PE 107/2024, na modalidade CARONA, de Detergente Laboratorial para atender as necessidades das unidades da Polícia Científica do Paraná. VALIDADE DA ATA: 17/09/2025</t>
  </si>
  <si>
    <t>24.198.214-9</t>
  </si>
  <si>
    <t>Aquisição de sacos plásticos para acondicionamento de resíduos hospitalares/infectantes, através de adesão à ata SRP no 2216/2024/SESA PR, vigência: 06/05/2026, para atender a demanda da Polícia Científica do Paraná.</t>
  </si>
  <si>
    <t>24.202.922-4</t>
  </si>
  <si>
    <t>Aquisição, através de dispensa eletrônica de processo licitatório, de Impressora de Crachá e Insumos, a fim de suprir a demanda do órgão da Polícia Científica do Paraná.</t>
  </si>
  <si>
    <t>Ipressora entregue em 03/10/2025  (24.771.263-1 - Encaminha Nota Fiscal  - Impressora de Crachá ) Ribbon entregue em 08/10/2025  (24.805.307-0- Encaminha Nota Fiscal Insumos(Ribbon) para Impressora de Crachá )</t>
  </si>
  <si>
    <t>21.642.557-0</t>
  </si>
  <si>
    <t>Solicitação de compra de Geladeiras Automotivas Portáteis por licitação.</t>
  </si>
  <si>
    <t>24.186.420-0</t>
  </si>
  <si>
    <t>SRP Poltronas Auditório CWB e Ponta Grossa - Aquisição através do Registro de Preço do PE 127/2025, na modalidade CARONA, para atender as necessidades das unidades da Polícia Científica do Paraná.</t>
  </si>
  <si>
    <t>22.720.658-6</t>
  </si>
  <si>
    <t>Aquisição de uma licença do software de análise de marcadores STR Genemapper ID-X Full e dez (10) licenças de software de análise de marcadores STR Genemapper ID-X Client, através de Inexigibilidade de licitação, para atender a demanda da Seção de Genética Forense.</t>
  </si>
  <si>
    <t>24.224.903-8</t>
  </si>
  <si>
    <t>EP Paraná Mais Cidades - SRP Eletroposto - Aquisição através do Registro de Preço do PE 1073/2023, na modalidade CARONA, de estação de carregamento para veículo elétrico (Eletroposto) para atender as necessidades UETC Maringa. VALIDADE DA ATA 01/09/2025.</t>
  </si>
  <si>
    <t>24.208.961-8</t>
  </si>
  <si>
    <t>Aquisição via adesão à ATA DE REGISTRO DE PREÇOS No 55/2025 realizada pela DITEC/PF, de VÍDEO COMPARADOR ESPECTRAL REGULA 4308.</t>
  </si>
  <si>
    <t>24.266.562-7</t>
  </si>
  <si>
    <t>SRP Mobilia de Escritório - Aquisição através do Registro de Preço do PE 90005/2024, na modalidade CARONA, de Mobilia de escritório para atender as necessidades das unidades da Polícia Científica do Paraná. VALIDADE DA ATA: 26/09/2025</t>
  </si>
  <si>
    <t>24.238.205-6</t>
  </si>
  <si>
    <t>Aquisição de insumos laboratoriais (vidrarias), por meio da ata de registro de preços 884/2024, na modalidade PARTICIPANTE, para atender a demanda dos laboratórios de química e toxicologia forense</t>
  </si>
  <si>
    <t>24.142.921-0</t>
  </si>
  <si>
    <t>Adesão à Ata de Registro de Preços no 24D/2024 - PLANEJ 261/2024- Item 06 Caminhonete 4x4 caracterizada com compartimento de detidos. Visando atendimento ao Convênio n 936068/2022.</t>
  </si>
  <si>
    <t>23.912.434-8</t>
  </si>
  <si>
    <t>Solicita-se a aquisição de caixas para armazenamento de microtubos de contraprovas.</t>
  </si>
  <si>
    <t>24.148.117-4</t>
  </si>
  <si>
    <t>Contratação de Prestação de serviço programado de manutenção preventiva e corretiva com fornecimento de peças e insumos de 01 unidade de Grupo Motor Gerador Stemac de 220 Kva com motor FPT NEF-67TM6, por dispensa de licitação, para atender a demanda da UETC Curitiba - Tarumã da Polícia Científica do Paraná</t>
  </si>
  <si>
    <t>O serviço começa imediatamente após a assinatura do contrato.</t>
  </si>
  <si>
    <t>24.010.132-7</t>
  </si>
  <si>
    <t>[Verba Parlamentar Moro] Aquisição de Termociclador e termoblocos para a SGMF</t>
  </si>
  <si>
    <t>24.290.361-7</t>
  </si>
  <si>
    <t>SRP Colete Balístico Nível III-A- Aquisição através do Registro de Preço do PE 14/2024, na modalidade CARONA, de Mobilia de escritório para atender as necessidades das unidades da Polícia Científica do Paraná. VALIDADE DA ATA: 07/10/2025</t>
  </si>
  <si>
    <t>23.156.142-0</t>
  </si>
  <si>
    <t>SRP CARONA - Adesão de Aquisição através do Registro de Preço do PE 27/2023, de aquisição de Pastas tipo A/Z para atender as unidades da Polícia Científica do Paraná</t>
  </si>
  <si>
    <t>24.342.992-7</t>
  </si>
  <si>
    <t>SRP Comparador Espectral de Vídeo - Aquisição através do Registro de Preço do PE 055/2025, na modalidade PARTICIPANTE, de Comparador Espectral de Vídeo para atender as necessidades da Unidade de Execução Técnico-Científica de Curitiba da Polícia Científica do Paraná. VALIDADE DA ATA 16/05/2026.</t>
  </si>
  <si>
    <t>24.342.142-0</t>
  </si>
  <si>
    <t>Solicita-se a aquisição de frascos diversos para a coleta de vestígios.</t>
  </si>
  <si>
    <t>Chegou o parafilm e tubo falcom, Coletor Universal</t>
  </si>
  <si>
    <t>24.364.066-0</t>
  </si>
  <si>
    <t>SRP Insumos para Patologia - Aquisição através do Registro de Preço do PE 39/2024, na modalidade CARONA, de Insumos para Patologia para atender as necessidades da Unidade de Execução Técnico-Científica de Curitiba da Polícia Científica do Paraná. VALIDADE DA ATA 21/08/2025.</t>
  </si>
  <si>
    <t>Processo arquivado pela vencimento da ATA</t>
  </si>
  <si>
    <t>24.366.546-9</t>
  </si>
  <si>
    <t>24.377.758-5</t>
  </si>
  <si>
    <t>SRP Protetor Solar FPS 60 - Aquisição através do Registro de Preço do PE 290/2025, na modalidade CARONA, de Protetor Solar FPS 60 para atender as necessidades das unidades da Polícia Científica do Paraná. VALIDADE DA ATA: 12/03/2026</t>
  </si>
  <si>
    <t>24.386.238-8</t>
  </si>
  <si>
    <t>SRP Fita adesiva - Aquisição através do Registro de Preço do PE 26/2023, na modalidade PARTICIPANTE, de Fita adesiva para atender as necessidades das unidades da Polícia Científica do Paraná. VALIDADE DA ATA: 15/01/2026</t>
  </si>
  <si>
    <t>Entregue parcial, falta um item</t>
  </si>
  <si>
    <t>24.406.951-7</t>
  </si>
  <si>
    <t>SRP Vestimentas Operacionais Profissionais, Fardamento, Uniforme - Aquisição através do Registro de Preço do PE 6/2025, na modalidade CARONA, de Vestimentas Operacionais Profissionais para atender as necessidades da Polícia Científica do Paraná. VALIDADE DA ATA: 09/04/2026</t>
  </si>
  <si>
    <t>24.426.189-2</t>
  </si>
  <si>
    <t>Aquisição de mangotes plásticos descartáveis, visando atender a demanda da Polícia Científica do Estado do Paraná</t>
  </si>
  <si>
    <t>Cobrado a entrega no dia 14/11/2025</t>
  </si>
  <si>
    <t>23.984.183-0</t>
  </si>
  <si>
    <t>SRP - Padrões Analíticos Certificados – OPIOIDES I</t>
  </si>
  <si>
    <t>23.983.840-5</t>
  </si>
  <si>
    <t>SRP - Padrões Analíticos Certificados – DROGAS II</t>
  </si>
  <si>
    <t>23.983.883-9</t>
  </si>
  <si>
    <t>SRP - Padrões Analíticos Certificados – DROGAS IV</t>
  </si>
  <si>
    <t>23.984.538-0</t>
  </si>
  <si>
    <t>SRP - Padrões Analíticos Certificados – DROGAS ESTIMULANTES</t>
  </si>
  <si>
    <t>23.984.572-0</t>
  </si>
  <si>
    <t>SRP - Padrões Analíticos Certificados – ANTIPSICÓTICOS, HIPNÓTICOS E SEDATIVOS</t>
  </si>
  <si>
    <t>23.984.330-1</t>
  </si>
  <si>
    <t>SRP - Padrões Analíticos Certificados – AGROT. PESTICIDAS I</t>
  </si>
  <si>
    <t>23.984.498-7</t>
  </si>
  <si>
    <t>SRP - Padrões Analíticos Certificados – AGROT. PESTICIDAS III</t>
  </si>
  <si>
    <t>24.456.004-0</t>
  </si>
  <si>
    <t>Carrinho plataforma abastecedor para atender a demanda do almoxarifado central</t>
  </si>
  <si>
    <t>Protocolo 24.821.547-0 foi aberto para abertura da Dispensa</t>
  </si>
  <si>
    <t>22.822.268-2</t>
  </si>
  <si>
    <t>Aquisição de Magnificador por meio de adesão à Ata de Registro de Preços PE 12/2024 da Polícia Militar do Pará, para suprir a demanda da Polícia Científica do Paraná.</t>
  </si>
  <si>
    <t>22.797.404-4</t>
  </si>
  <si>
    <t>Aquisição de Miras Optrônicas por meio de adesão à Ata de Registro de Preços n 11/2024 da Polícia Militar do Pará, para suprir a demanda da Polícia Científica do Paraná.</t>
  </si>
  <si>
    <t>24.482.178-2</t>
  </si>
  <si>
    <t>SRP Federal - Aquisição de Nobreaks 1500 VA, via Adesão a ATA de registro de preços 108/2024 SENASP, para atender a demanda do órgão da Polícia Científica do Paraná. VALIDADE DA ATA: 07/01/2026.</t>
  </si>
  <si>
    <t>24.487.991-8</t>
  </si>
  <si>
    <t>SRP Swab de Algodão e Fio Encerado - Aquisição através do Registro de Preço do PE 32/2025, na modalidade CARONA, de Swab de Algodão e Fio Encerado para atender as necessidades das unidades da Polícia Científica do Paraná. VALIDADE DA ATA: 16/07/2026</t>
  </si>
  <si>
    <t>21.555.888-6</t>
  </si>
  <si>
    <t>Tem este o objetivo de solicitar a instauração de processo de licitação para aquisição de um Sistema de Cromatografia Gasosa Acoplado a Espectrômetro de Massas (GC/MS/MS), visando atender as necessidades de ampliação do escopo de análises analíticas realizadas pelos Laboratórios de Química Forense e Toxicologia Forense da Polícia Científica do Paraná</t>
  </si>
  <si>
    <t>24.480.565-5</t>
  </si>
  <si>
    <t>Aquisição de álcool em gel 70% V/V, por meio da ATA SRP 107/2024, na modalidade adesão, para atender a demanda da Polícia Científica do Paraná, VALIDADE DA ATA: 17/09/2025.</t>
  </si>
  <si>
    <t>24.510.381-6</t>
  </si>
  <si>
    <t>SRP Álcool Etílico hidratado - Aquisição através do Registro de Preço do PE 3/2025, na modalidade CARONA, de Álcool Etílico hidratado, para atender as necessidades das unidades da Polícia Científica do Paraná. VALIDADE DA ATA: 11/05/2026</t>
  </si>
  <si>
    <t>24.512.327-2</t>
  </si>
  <si>
    <t>SRP Gases Especiais - Aquisição através do Registro de Preço do PE 377/2025, na modalidade PARTICIPANTE, de Gases Especiais para atender as necessidades dos Laboratórios da Polícia Científica do Paraná. VALIDADE DA ATA: 10/08/2026</t>
  </si>
  <si>
    <t>24.449.124-3</t>
  </si>
  <si>
    <t>Trata-se de processo destinado à contratação de solução completa para a locação de tomógrafos computadorizados multislice, com vistas ao aprimoramento dos exames de Tanatologia Forense na Polícia Científica do Paraná.</t>
  </si>
  <si>
    <t>24.520.311-0</t>
  </si>
  <si>
    <t>SRP Colchão Solteiro - Aquisição através do Registro de Preço do PE 97/2025, na modalidade PARTICIPANTE, de Colchão Solteiro para atender as necessidades das unidades da Polícia Científica do Paraná. VALIDADE DA ATA 30/07/2026</t>
  </si>
  <si>
    <t>24.512.556-9</t>
  </si>
  <si>
    <t>Aquisição de Viaturas ARP 33/2025-SENASP - Adesão - PCP - Veículo</t>
  </si>
  <si>
    <t>Sobrestado, pq quem conduziria o processo seria a o Setor de Compras SESP, foi pedido para que fosse tudo instruído por aqui, por isso abertura do protocolo 24.668.410-3</t>
  </si>
  <si>
    <t>24.526.769-0</t>
  </si>
  <si>
    <t>Aquisição de 02 (duas) unidades de Microcomparadores Balísticos, via Ata de Registro de Preços no 38/2025 da SENASP, na modalidade PARTICIPANTE, para atender as demandas da Polícia Científica do Paraná.</t>
  </si>
  <si>
    <t>Arquivado devido a necessidade de instruir novo processo de aquisição devido a mudança de fornecedor da ata.</t>
  </si>
  <si>
    <t>24.528.768-2</t>
  </si>
  <si>
    <t>Aquisição de Mesa de Necropsia, por meio da Ata de Registro de Preços no 38/2024 PCI-SC, na modalidade ADESÃO, para atender a demanda da UETC Paranaguá da Polícia Científica do Paraná</t>
  </si>
  <si>
    <t>24.500.870-8</t>
  </si>
  <si>
    <t>SRP SENASP - Aquisição através de registro de preço n 20/2025, PE n 29/2024 de Veículos (Van e Furgão Refrigerado) para atendimento da Polícia Científica do Paraná. VALIDADE 28/05/2026</t>
  </si>
  <si>
    <t>24.526.961-7</t>
  </si>
  <si>
    <t>SRP SENASP - Aquisição através de registro de preço n 20/2025, PE n 39/2025 aquisição de Cubas Ultrassônicas</t>
  </si>
  <si>
    <t>24.565.512-6</t>
  </si>
  <si>
    <t>Dispensa de Licitação Eletrônica - aquisição de insumos de patologia, visando atender a demanda da Seção de Patologia Forense da Polícia Científica do Paraná. DISPENSA ELETRÔNICA</t>
  </si>
  <si>
    <t>24.504.198-5</t>
  </si>
  <si>
    <t>Dispensa de Inexigibilidade - Aquisição de plataforma de DNA Rápido através de procedimento de inexigibilidade para atendimento da Seção de Genética Molecular Forense da Polícia Científica do Paraná.</t>
  </si>
  <si>
    <t>24.606.920-4</t>
  </si>
  <si>
    <t>Aquisição de insumos do Analisador Genético 3500 Applied Biosystem, por meio da Ata de Registro de Preços no 58/2024 da SENASP, vigente até 20/12/2025, na modalidade PARTICIPANTE, para atender a demanda da Seção de Genética Molecular Forense da Polícia Científica do Paraná.</t>
  </si>
  <si>
    <t>24.081.061-1</t>
  </si>
  <si>
    <t>SRP - Padrões Analíticos Certificados – ANTIDEPRESSIVOS II</t>
  </si>
  <si>
    <t>24.635.628-9</t>
  </si>
  <si>
    <t>SRP Papel Higiênico e Toalha de Papel - Aquisição através do Registro de Preço do PE 1025/2023, na modalidade PARTICIPANTE, de Papel Higiênico e Toalha de Papel para atender as necessidades das unidades da Polícia Científica do Paraná. VALIDADE DA ATA: 10/06/2026</t>
  </si>
  <si>
    <t>Chegou no dia 02/12 o papel higiênico da empresa Kelly Minioli e Mastersul</t>
  </si>
  <si>
    <t>24.645.670-4</t>
  </si>
  <si>
    <t>SRP Luva Nitrílica - Aquisição através do Registro de Preço do PE 747/2023, na modalidade PARTICIPANTE, de Luva Nitrílica para atender as necessidades das unidades da Polícia Científica do Paraná. VALIDADE DA ATA: 28/04/2026</t>
  </si>
  <si>
    <t>24.650.340-0</t>
  </si>
  <si>
    <t>Trata-se da aquisição de impressora térmica modelo transferência de térmica para atender a demando do patrimônio da Policia Cientifica do Paraná.</t>
  </si>
  <si>
    <t>24.668.410-3</t>
  </si>
  <si>
    <t>Trata-se da aquisição de viaturas caracterizadas, por meio de adesão a ATA de Registro de preço - 33/2025 gerenciada pela Secretaria Nacional de Segurança Publica - SENASP. veículo duster 10un</t>
  </si>
  <si>
    <t>24.670.103-2</t>
  </si>
  <si>
    <t>Aquisição de lâminas de vidro para microscopia, via Ata de Registro de Preços 163/2024 da SESA/PR, na modalidade ADESÃO, para atender a demanda da Polícia Científica do Paraná.</t>
  </si>
  <si>
    <t>24.700.197-2</t>
  </si>
  <si>
    <t>Aquisição de Botas Táticas, por meio da ATA SRP 001/2024, na modalidade ADESÃO (CARONA), para atender a demanda da Polícia Científica do Paraná, VALIDADE DA ATA: 12/12/2025.</t>
  </si>
  <si>
    <t>24.701.131-5</t>
  </si>
  <si>
    <t>[Verba Parlamentar - Moro] - SRP SENASP - Aquisição através de registro de preço no 8/2025 E 9/2025, na modalidade PARTICIPANTE de INSUMOS PARA PROC. DE AMOSTRAS LGMF para atendimento da Polícia Científica do Paraná. VALIDADE 20/03/2026</t>
  </si>
  <si>
    <t>24.718.923-8</t>
  </si>
  <si>
    <t>SRP Federal Comparador Espectral de Vídeo - Aquisição através do Registro de Preço do PE 055/2025, na modalidade PARTICIPANTE, de Comparador Espectral de Vídeo para atender as necessidades da Unidade de Execução Técnico-Científica de Curitiba da Polícia Científica do Paraná. VALIDADE DA ATA 16/05/2026</t>
  </si>
  <si>
    <t>arquivado e será continuado pelo protocolo n 24.342.992-7.</t>
  </si>
  <si>
    <t>24.676.215-5</t>
  </si>
  <si>
    <t>Aquisição de cartões de proximidade RFID em frequência dupla, por meio de dispensa de licitação, para atender a demanda da Polícia Científica do Paraná.</t>
  </si>
  <si>
    <t>24.085.766-9</t>
  </si>
  <si>
    <t>SRP - Padrões Analíticos Certificados – ANESTÉSICOS</t>
  </si>
  <si>
    <t>24.751.180-6</t>
  </si>
  <si>
    <t>SRP Reagentes Químicos - Aquisição através do Registro de Preço do PE 254/2025, na modalidade PARTICIPANTE, de Reagentes Químicos para atender as necessidades das unidades da Polícia Científica do Paraná. VALIDADE DA ATA: 01/10/2026</t>
  </si>
  <si>
    <t>24.671.891-1</t>
  </si>
  <si>
    <t>abertura de processo de compra direta por dispensa de licitação para aquisição de materiais gráficos e brindes personalizados</t>
  </si>
  <si>
    <t>24.761.161-4</t>
  </si>
  <si>
    <t>SRP Softwares Autodesk - Aquisição através do Registro de Preço do PE 1037/2023, na modalidade PARTICIPANTE, de Softwares Autodesk BIM Collaborate Pro e Collection Autodesk Architecture para atender as necessidades das unidades da Polícia Científica do Paraná. VALIDADE DA ATA: 25/09/2027</t>
  </si>
  <si>
    <t>24.534.485-6</t>
  </si>
  <si>
    <t>Solicita contratação de serviço de manutenção preventiva, corretiva e qualificação operacional para os equipamentos da marca Agilent Technologies utilizados nas seções de Toxicologia Forense e Química Forense da Polícia Científica do Paraná</t>
  </si>
  <si>
    <t>24.784.824-0</t>
  </si>
  <si>
    <t>24.793.353-0</t>
  </si>
  <si>
    <t>SRP Materiais de Limpeza SRP 113/2024 - Aquisição através do Registro de Preço do PE 113/2024, na modalidade PARTICIPANTE, de Materiais de Limpeza para atender as necessidades das unidades da Polícia Científica do Paraná. VALIDADE DA ATA: 06/03/2026</t>
  </si>
  <si>
    <t>Entregue parcial no dia 13/11/2025</t>
  </si>
  <si>
    <t>24.528.833-6</t>
  </si>
  <si>
    <t>(OPERAÇÃO VERÃO) SRP SENASP - Aquisição através de registro de preço n 104/2024, PE n 17/2024 de Mesa Ginecológica para atendimento da Polícia Científica do Paraná.</t>
  </si>
  <si>
    <t>24.797.031-2</t>
  </si>
  <si>
    <t>SRP Materiais de Expediente - Grupo 2 - Aquisição através do Registro de Preço do PE 1858/2024, na modalidade PARTICIPANTE, de Materiais de Expediente para atender as necessidades das unidades da Polícia Científica do Paraná. VALIDADE DA ATA: 05/10/2026</t>
  </si>
  <si>
    <t>24.778.347-4</t>
  </si>
  <si>
    <t>Aquisição de 3 unidades de LC/MSMS via SRP. Recurso Lottopar. Vigência: até 30/01/2026.</t>
  </si>
  <si>
    <t>24.806.819-1</t>
  </si>
  <si>
    <t>SRP Caixa Arquivo - Aquisição através do Registro de Preço do PE 27/2023, na modalidade PARTICIPANTE, de Caixa Arquivo para atender as necessidades das unidades da Polícia Científica do Paraná. VALIDADE DA ATA: 26/02/2026</t>
  </si>
  <si>
    <t>24.807.199-0</t>
  </si>
  <si>
    <t>SRP Detergente - Aquisição através do Registro de Preço do PE 112/2024, na modalidade PARTICIPANTE, de Detergente para atender as necessidades das  unidades da Polícia Científica do Paraná. VALIDADE DA ATA 28/08/2025</t>
  </si>
  <si>
    <t>24.821.547-0</t>
  </si>
  <si>
    <t>24.244.306-3</t>
  </si>
  <si>
    <t>Dispensa de Inexigibilidade através do [FUNSUSP] para aquisição de Indexador Balístico para a atender a demanda da Seção de Balística Forense da Polícia Científica do Paraná.</t>
  </si>
  <si>
    <t>24.803.758-0</t>
  </si>
  <si>
    <t>SRP ADESÃO - Aquisição através do Registro de Preço do PE 128/2025 -IV da Polícia Civil do Estado de Minas Gerais, na modalidade CARONA de 100 Câmeras Fotográficas para atender as unidades da Polícia Científica do Paraná. VALIDADE DA ATA: 05/06/2026</t>
  </si>
  <si>
    <t>24.824.547-6</t>
  </si>
  <si>
    <t>SRP CADEIRAS GIRATÓRIA -  PE 90002/2025 de São Paulo, na modalidade CARONA, VALIDADE DA ATA: 05/06/2026 - 335 unidades</t>
  </si>
  <si>
    <t>24.830.107-4</t>
  </si>
  <si>
    <t>Trata-se do pedido de adesão à ATA de Registro de Preço de cadeiras giratorias FOZ N 003 - PE92115/2024 ao Órgão Gerenciador - UNIOESTE.</t>
  </si>
  <si>
    <t>24.854.313-2</t>
  </si>
  <si>
    <t>SRP Luva Látex - Aquisição através do Registro de Preço do PE 75/2023, na modalidade PARTICIPANTE, de Luva Látex para atender as necessidades das unidades da Polícia Científica do Paraná. VALIDADE DA ATA 19/10/2026</t>
  </si>
  <si>
    <t>24.834.503-9</t>
  </si>
  <si>
    <t>(Programa Paraná mais Cidades) - SRP Veículo Suv/Minivan - Aquisição através de Registro de Preço n719/2024 na modalidade PARTICIPANTE, de veículo suv/minivan para atender a UETC de Jacarezinho da Polícia Científica do Paraná. VALIDADE DA ATA 25/09/2026</t>
  </si>
  <si>
    <t>24.866.312-0</t>
  </si>
  <si>
    <t>SRP Material de Acondicionamento de Embalagens Grupo III - Aquisição através do Registro de Preço do PE 1028/2023, na modalidade PARTICIPANTE, de Material de Acondicionamento de Embalagens para atender as necessidades das  unidades da Polícia Científica do Paraná. VALIDADE DA ATA 14/01/2026</t>
  </si>
  <si>
    <t>24.872.808-6</t>
  </si>
  <si>
    <t>SRP VAN E FURGÕES - Aquisição através do Registro de Preço do PE 719/2024, na modalidade PARTICIPANTE, de Van e Furgões para atender as necessidades das unidades da Polícia Científica do Paraná. VALIDADE DA ATA 01/09/2026</t>
  </si>
  <si>
    <t>24.741.978-0</t>
  </si>
  <si>
    <t>Solicitação de Aquisição de Tanques Balísticos</t>
  </si>
  <si>
    <t>24.868.627-8</t>
  </si>
  <si>
    <t>SRP Câmaras Frias - Aquisição através do Registro de Preço do PE 1388/2024, de 04 unidades de Câmaras Frias para atender as necessidades das unidades da Polícia Científica do Paraná (segunda adesão). Para as UETCs Ivaiporã, Apucarana, Guarapuava e Londrina</t>
  </si>
  <si>
    <t>24.869.838-1</t>
  </si>
  <si>
    <t>Aquisição de Estantes pela Ata de Registro de Preços n 45/2025/TRT11.</t>
  </si>
  <si>
    <t>24.825.878-0</t>
  </si>
  <si>
    <t>Aquisição de sistema de ultrapurificação de água, por meio da ata SRP 67/2025 do Ministério da Saúde, na modalidade ADESÃO, validade da ata: 24/03/2026.</t>
  </si>
  <si>
    <t>24.803.230-8</t>
  </si>
  <si>
    <t>munições intactas nos calibres nominais 9mm Luger, .40S&amp;W, 5,56x45mm NATO, 7,62x51mm e 12 GA via Ata SRP 01/2023 DECON/PR, na modalidade PARTICIPANTE, vigente até 09/04/2026 . Munição</t>
  </si>
  <si>
    <t>24.910.997-5</t>
  </si>
  <si>
    <t>SENTINELA - Aquisição de veículos para deslocamento pericial. Viatura 02 Trailblazer</t>
  </si>
  <si>
    <t>24.943.160-5</t>
  </si>
  <si>
    <t>Trata-se de aquisição de mesas para escritório por meio de CARONA- ATA DE REGISTRO DE PREÇOS No 08/2024. Validade: 29/09/2026</t>
  </si>
  <si>
    <t>23.145.411-0</t>
  </si>
  <si>
    <t>SRP - Aquisição através do Registro de Preço do PE 644/2023, de aquisição de Tela Interativa e Suporte Pedestal para atender as unidades da Polícia Científica do Paraná.</t>
  </si>
  <si>
    <t>SENTINELA - SRP SENASP Aquisição através de registro de preço 18/2025 de Veículo SUV 4x4 para atendimento da Polícia Científica do Paraná.</t>
  </si>
  <si>
    <t>24.879.513-1</t>
  </si>
  <si>
    <t>Aquisição de Armários Deslizantes</t>
  </si>
  <si>
    <t>24.947.637-4</t>
  </si>
  <si>
    <t>Aquisição de micropipetas e repipetadores monocanais, manuais e eletrônicas, via ATA SRP 163/2025 SESA PR, válida até 28/10/2026, na modalidade PARTICIPANTE, para atender a demanda dos laboratórios forenses da Polícia Científica do Paraná.</t>
  </si>
  <si>
    <t>24.949.355-4</t>
  </si>
  <si>
    <t>SRP Drone - Aquisição através do Registro de Preço do PE 1327/2024, na modalidade PARTICIPANTE, de Drone para atender as necessidades das unidades da Polícia Científica do Paraná. VALIDADE DA ATA: 27/04/2026. (CONVÊNIO 936068_2022)</t>
  </si>
  <si>
    <t>24.837.456-0</t>
  </si>
  <si>
    <t>[Projeto Sentinela Forense] - Solicitação de compra por inexigibilidade de 02 Sistemas de Análise de Bebidas para atender demanda de análise de falsificação de bebidas dos laboratórios da Polícia Científica do Paraná</t>
  </si>
  <si>
    <t>24.988.558-4</t>
  </si>
  <si>
    <t>Aquisição de agitador de tubos tipo vórtex e cabine de segurança biológica, via ATA SRP no 425/2023 da SESA, vigente até 17/09/2026, na modalidade ADESÃO, para atender a demanda da Polícia Científica do Paraná.</t>
  </si>
  <si>
    <t>24.828.562-1</t>
  </si>
  <si>
    <t>[Programa Sentinela] Aquisição de Sistema Automatizado de Identificação e Comparação Balística EVOFINDER - Seção de Balística Forense de Curitiba</t>
  </si>
  <si>
    <t>24.991.091-0</t>
  </si>
  <si>
    <t>Solicita-se a aquisição de frascos para ARLA.</t>
  </si>
  <si>
    <t>24.910.383-7</t>
  </si>
  <si>
    <t>Equipamento Forense para Leitura de Dados de Unidades de Controle Eletrônica de Veículos</t>
  </si>
  <si>
    <t>25.027.768-7</t>
  </si>
  <si>
    <t>SRP Reagentes Químicos (Processo 2) - Aquisição através do Registro de Preço do PE 252/2025, na modalidade PARTICIPANTE, de Reagentes Químicos para atender as necessidades das unidades da Polícia Científica do Paraná. VALIDADE DA ATA 16/10/2026</t>
  </si>
  <si>
    <t>24.819.502-9</t>
  </si>
  <si>
    <t>Aquisição de Ferramenta Avançada de Recuperação - Convênio federal 936068-2022 - Etapa 3 Meta</t>
  </si>
  <si>
    <t>25.069.470-9</t>
  </si>
  <si>
    <t>SRP Café Superior - Aquisição através do Registro de Preço do PE 501/2025, na modalidade PARTICIPANTE, de Café Superior para atender as necessidades das unidades da Polícia Científica do Paraná. VALIDADE DA ATA 25/11/2026</t>
  </si>
  <si>
    <t>24.911.467-7</t>
  </si>
  <si>
    <t>SRP Vidrarias - Aquisição através do Registro de Preço do PE 488/2024, na modalidade CARONA, de Vidrarias para atender a demanda de Seção de Química Forense da Polícia Científica do Paraná. VALIDADE DA ATA: 07/01/2026</t>
  </si>
  <si>
    <t>Devolvido a origem</t>
  </si>
  <si>
    <t>23.983.776-0</t>
  </si>
  <si>
    <t>SRP - Padrões Analíticos Certificados – DROGAS I</t>
  </si>
  <si>
    <t>23.984.297-6</t>
  </si>
  <si>
    <t>SRP - Padrões Analíticos Certificados – OPIÓIDES II</t>
  </si>
  <si>
    <t>24.760.281-0</t>
  </si>
  <si>
    <t>Contratação de empresa especializada para desmontagem e descarte da câmara fria da UETC Paranaguá</t>
  </si>
  <si>
    <t>25.097.438-8</t>
  </si>
  <si>
    <t xml:space="preserve">Aquisição de água mineral 500 mL, via Ata SRP n 1089/2024/DECON/SEAP, na modalidade PARTICIPANTE, para atender a demanda da Polícia Científica do Paraná.
</t>
  </si>
  <si>
    <t>SRP Federal - (Adesão) Aquisição de Estantes pela Ata de Registro de Preços n 45/2025/TRT11 para atender a demanda da Polícia Científica do Paraná. VALIDADE DA ATA 13/08/2026.</t>
  </si>
  <si>
    <t>24.984.760-7</t>
  </si>
  <si>
    <t>SRP Federal - (Adesão) Aquisição de Centrífugas, através de Ata de Registro de Preço 7/20225, para atender a demanda de Seção de Química Forense da Polícia Científica do Paraná. Validade da Ata 13/01/2026.</t>
  </si>
  <si>
    <t>R$ 109.146.876,16</t>
  </si>
  <si>
    <t>instrução</t>
  </si>
  <si>
    <t>UNIDADE PCP</t>
  </si>
  <si>
    <t>Unidade a ser atendida</t>
  </si>
  <si>
    <t>EMPENHO ENVIADO AO FORNECEDOR (DATA)</t>
  </si>
  <si>
    <t>Data Máxima de entrega</t>
  </si>
  <si>
    <t>VERBA</t>
  </si>
  <si>
    <t>Convênio</t>
  </si>
  <si>
    <t>GESTOR</t>
  </si>
  <si>
    <t>FISCAL</t>
  </si>
  <si>
    <t>ONDE ESTÁ</t>
  </si>
  <si>
    <t>Desde Consulta</t>
  </si>
  <si>
    <t>Observações</t>
  </si>
  <si>
    <t>21.104.002-5</t>
  </si>
  <si>
    <t>PROGRAMA PARANÁ MAIS CIDADES - Aquisição de VTR por SRP</t>
  </si>
  <si>
    <t>Eduarda</t>
  </si>
  <si>
    <t>Grupo Auxiliar Administrativo</t>
  </si>
  <si>
    <t>UETC Maringa</t>
  </si>
  <si>
    <t>R$ 150.000,00</t>
  </si>
  <si>
    <t>REGISTRO DE PREÇO (ESTADUAL)</t>
  </si>
  <si>
    <t>SESP/APCP</t>
  </si>
  <si>
    <t>05/12/2023 - Aguardando email de confirmação da Toyota                                                                                                            11/01/2023 - Considerando que não houve exito de nenhuma empresa para fornecer o veículo sedan, retorna-se ao divisional para ciência18/01/2024- Encaminhado ao PCP/DA/GAA/COMPRAS para providências</t>
  </si>
  <si>
    <t>20.620.696-9</t>
  </si>
  <si>
    <t>Convênio No 936068/2022 - aquisição de maletas para atendimento de local de crime (Meta 1 - etapas 1 e 2) Drone e maleta de ferramenta</t>
  </si>
  <si>
    <t>CURITIBA</t>
  </si>
  <si>
    <t>TODAS</t>
  </si>
  <si>
    <t>R$ 381.353,30</t>
  </si>
  <si>
    <t>LICITAÇÃO</t>
  </si>
  <si>
    <t>936.068/2022</t>
  </si>
  <si>
    <t>Alexandre Guilherme de Lara</t>
  </si>
  <si>
    <t>Roman Hector Abril</t>
  </si>
  <si>
    <t>PCP/ACF/DIR</t>
  </si>
  <si>
    <t>23/08/2023 - , restitua-se os autos à PCP/DA/GAA/COMPRAS para ciência, análise e demais providências                                                                                                                                04/10/2023 Encaminhado com adequações ao setor de licitações via Acessoria                                                          16/11/2023 - Encontra-se no setor de licitações para abertura de procedimento licitatório                       05/12/2023 - Encontra-se SESP/DG em fase de adjudicação/homologação17/05/2024- Encaminhado ao PCP/DA/GAOFS para inserção da nota de empenho11/07/2024- Encaminhado ao gestor para acompanhamento da entrega25/09/2024- Descumprimento contratual</t>
  </si>
  <si>
    <t>21.585.332-2</t>
  </si>
  <si>
    <t>SRP - Aquisição através do Registro de Preço do PE 25/2023, de Etiquetas Adesivas para atender a unidade da Polícia Científica do Paraná.</t>
  </si>
  <si>
    <t>R$ 3.595,26</t>
  </si>
  <si>
    <t>Não se aplica</t>
  </si>
  <si>
    <t>SESP/DG/NFS</t>
  </si>
  <si>
    <t>17/01/2024 - Encaminhado ao Chefe da Divisão para a análise a manifestação                                                                                                        16/02/2024 - Encaminhado para o setor de almoxarifado para aguardar entrega13/03/2024- Material recebido08/05/2024- Material recebido</t>
  </si>
  <si>
    <t>21.585.336-5</t>
  </si>
  <si>
    <t>SRP - Aquisição através do Registro de Preço do PE 1181/2022, de Material de Limpeza para atender a unidade da Polícia Científica do Paraná.</t>
  </si>
  <si>
    <t>R$ 727,96</t>
  </si>
  <si>
    <t>17/01/2024 - Encaminhado ao Chefe da Divisão para a análise a manifestação                                                                                                        16/02/2024 - Encaminhado para o setor de almoxarifado para aguardar entrega20/02/2024- Materiais recebidos</t>
  </si>
  <si>
    <t>21.602.015-4</t>
  </si>
  <si>
    <t>SRP - Contratação através do Registro de Preço do PE 146/2022, de prestação de serviço de locação de veículo para transporte de cadáver para atender as unidades da Polícia Científica do Paraná.VALIDADE DA ATA: 14/02/2024</t>
  </si>
  <si>
    <t>R$ 504.048,00</t>
  </si>
  <si>
    <t>Alessandro Burko Lopes</t>
  </si>
  <si>
    <t>Philippe Alicio de Carvalho</t>
  </si>
  <si>
    <t>PCP/DA - PCP/DA/GAA/CONTRATOS</t>
  </si>
  <si>
    <t>22/01/2024 - Encaminhado ao Chefe da Divisão para a análise a manifestação                                                                                                                          19/02/2024 - Encaminhado ao SESP/APC para continuação da tramitação 15/03/2024- Encaminhado ao GAOFS para inserção de nota de empenho02/04/024- Nota de empenho inserida (ainda não foi assinada)03/04/2024- Contrato e Nota de Empenho encaminhados ao fornecedor</t>
  </si>
  <si>
    <t>21.607.728-8</t>
  </si>
  <si>
    <t>Dispensa de Licitação - Aquisição através de dispensa de licitação de aquisição de Tubo de Coleta Fluoretado e microtubo Eppendorf para atendimento da demanda da Polícia Científica do Paraná. DISPENSA ELETRÔNICA</t>
  </si>
  <si>
    <t>Laboratórios</t>
  </si>
  <si>
    <t>R$ 14.730,00</t>
  </si>
  <si>
    <t>DISPENSA ELETRÔNICA</t>
  </si>
  <si>
    <t>Camilla Borges Gazolla</t>
  </si>
  <si>
    <t>Josiane Brodzinski</t>
  </si>
  <si>
    <t>PCP/CWB/TAR/NECRO</t>
  </si>
  <si>
    <t>30/01/2024 - Encaminhado ao Chefe do Financeiro para a atualização de informações orçamentárias                                                                                                                                         17/04/2024 - Encaminhado para SESP/APC para continuação da tramitação03/05/2024- Encaminhado ao NFS/OR para aprovação das informações orçamentárias                                                                                    24/06/2024 - Encaminhado para SESP/COMPRAS para continuação da tramitação                                                                                                 07/08/2024 - Encaminhado para Chefe Divisional para ciência e encaminhamento a SESP/APC                                                                          12/09/2024 - Encaminhado para o GAOFS para emissão da Nota de Empenho</t>
  </si>
  <si>
    <t>20.917.975-0</t>
  </si>
  <si>
    <t>Solicita aquisição de um Sistema de Cromatografia Líquida acoplado a Espectrômetro de Massas Sequencial do tipo Triplo Quadrupolo (LC-MS/MS) para atender as necessidades da Seção de Toxicologia Forense</t>
  </si>
  <si>
    <t>Marcia</t>
  </si>
  <si>
    <t>Tarumã</t>
  </si>
  <si>
    <t>Laboratório de Toxicologia</t>
  </si>
  <si>
    <t>R$ 2.649.085,08</t>
  </si>
  <si>
    <t>Carolina Schmeiske da Graça</t>
  </si>
  <si>
    <t>Raquel de Oliveira Vilhena</t>
  </si>
  <si>
    <t>PCP/CWB/TAR/TOX</t>
  </si>
  <si>
    <t>23/01/2024 - Encaminhado ao Chefe da Divisão para a análise a manifestação</t>
  </si>
  <si>
    <t>R$ 2.503.120,12</t>
  </si>
  <si>
    <t>finalizado</t>
  </si>
  <si>
    <t>SESP - SESP/SL</t>
  </si>
  <si>
    <t>25/01/2024 - Encaminhado ao Chefe da Divisão para a análise a manifestação08/04/2024- Encaminhado à origem para ciência e providências</t>
  </si>
  <si>
    <t>difícil</t>
  </si>
  <si>
    <t>Possibilidade de Empenho Baixa</t>
  </si>
  <si>
    <t>20.575.782-1</t>
  </si>
  <si>
    <t>Aquisição, através de procedimento licitatório, de duas unidades de Sistema de Espectrometria de Infravermelho com Transformada de Fourier (FTIR) para os Laboratórios de Química Forense da Polícia Científica do Paraná.</t>
  </si>
  <si>
    <t>Laboratório de Química Forene</t>
  </si>
  <si>
    <t>R$ 900.215,75</t>
  </si>
  <si>
    <t>SESP - SESP/DEST/SC</t>
  </si>
  <si>
    <t>25/01/2024 - Encaminhado ao Chefe da Divisão para a análise a manifestação11/06/2024- Encaminhado à PGE para análise e deliberações              30/07/2024 - Com adequações restituído à APC para continuidade</t>
  </si>
  <si>
    <t>Licitado - Falta Homologar</t>
  </si>
  <si>
    <t>Empenho Condicional</t>
  </si>
  <si>
    <t>21.599.749-9</t>
  </si>
  <si>
    <t>Adesão à Ata de Registro de Preços - PE no 1883/2022, objetivando a aquisição de termômetros para suprir a demanda dos Laboratórios Forenses da Polícia Científica do Paraná.VALIDADE DA ATA: 27/05/2024</t>
  </si>
  <si>
    <t>Amanda</t>
  </si>
  <si>
    <t>Laboratórios Forenses</t>
  </si>
  <si>
    <t>R$ 5.034,00</t>
  </si>
  <si>
    <t>Jaqueline de Moura da Silva</t>
  </si>
  <si>
    <t>22/01/2024- Aguardando análise do Centro de Planejamento de Compras 01/03/2024- Aguardando autorização da carona04/04/2024-  Encaminhado ao Chefe da Divisão para a análise a manifestação29/05/2024- Material entregue 04/06/2024- Encaminhado para liquidação e pagamento</t>
  </si>
  <si>
    <t>21.634.362-0</t>
  </si>
  <si>
    <t>Solicita a abertura de processo de licitação para aquisição de Café, com o intuito de atender à demanda de todas as Unidades da Polícia Científica do Paraná</t>
  </si>
  <si>
    <t>Raphael</t>
  </si>
  <si>
    <t>R$ 141.057,00</t>
  </si>
  <si>
    <t>Leonardo Morrissy Hostin</t>
  </si>
  <si>
    <t>Mauricio Catitas de Sousa</t>
  </si>
  <si>
    <t>PCP/DA/GAA/COMPRAS</t>
  </si>
  <si>
    <t>30/01/2024 - Encaminhado ao Chefe da Divisão para a análise a manifestação08/02/2024- Retorno devido à existência de Regitro de Preço vigente 21/03/2024- Encaminhado à PCP/DA/DIV informando o vencimento da ata09/04/2024 - Despacho do DG SESP informando que é para aguardar a liberação da ata de registro de preços.                                                                                                                                        13/09/2024 Com cancelamento dos lotes 1 e 2 do SRP, documentos e valores atualizados, enviado ao divisional, sugerindo encaminhamento ao financeiro para atualização e posterior envio ao setor de licitaçãoes17/10 - cONSIDERANDO A DIFICULDADE DO PROCESSO, ARQUIVADO (TEM QUE CONTRATAR LABORATORIO PARA ANALISAR AS AMOSTRAS)</t>
  </si>
  <si>
    <t>NÃO</t>
  </si>
  <si>
    <t>21.592.164-6</t>
  </si>
  <si>
    <t>Aquisição através de processo licitatório de papel toalha e papel higiênico para atender a demanda das unidades da Polícia Científica do Paraná.</t>
  </si>
  <si>
    <t>R$ 109.513,75</t>
  </si>
  <si>
    <t>sim</t>
  </si>
  <si>
    <t>Lucas de França Leviski</t>
  </si>
  <si>
    <t>22/01/2024- Encaminhado ao Chefe da Divisão para a análise e manifestação06/02/2024- Retorno devido à existência de Registro de Preço vigente                              26/03/2024 - Com as negativas de participação às SRP e adequações dos documentos que se fizeram necessárias, enviado à PCP/DA/DIV para conhecimento, sugerindo encaminhamento à SESP                    06/05/2024- Encaminhado ao PCP/DA/GAA/COMPRAS para providências09/09/2024- Encaminhado ao Almoxarifado para aguardar recebimento</t>
  </si>
  <si>
    <t>21.588.711-1</t>
  </si>
  <si>
    <t>Inexigibilidade- Manutenção Cromatógrafo gasoso</t>
  </si>
  <si>
    <t>Seção de Toxicologia Forense</t>
  </si>
  <si>
    <t>R$ 98.797,40</t>
  </si>
  <si>
    <t>INEXIGIBILIDADE</t>
  </si>
  <si>
    <t>Dayse Fernanda de Souza</t>
  </si>
  <si>
    <t>30/01/2024 - Encaminhado ao Chefe da Divisão para a análise e manifestação                                                                                                                                                         08/03/2024 - Encaminhado ao SESP/SC para continuação da tramitação03/04/2024- Encaminhado ao PCP/DA/GAA/COMPRAS para inclusão do ato de designação do agente de contratação20/06/2024- Nota de empenho assinada25/06/2024- Encaminhado para a gestora do contrato para acompanhamento da prestação do serviço</t>
  </si>
  <si>
    <t>21.349.114-8</t>
  </si>
  <si>
    <t>Dispensa de Licitação - Aquisição através de dispensa de licitação de aquisição de álcool e água oxigenada para atendimento da demanda da Polícia Científica do Paraná. DISPENSA ELETRÔNICA</t>
  </si>
  <si>
    <t>R$ 16.715,60</t>
  </si>
  <si>
    <t>29/08/2024; 27/09/2024</t>
  </si>
  <si>
    <t>Regina de Paula Xavier Gomes</t>
  </si>
  <si>
    <t>Anne Caroline Kambara Scholze</t>
  </si>
  <si>
    <t>30/01/2024 - Encaminhado ao Chefe do Financeiro para a atualização de informações orçamentárias21/02/2024 - Encaminhado ao SESP/AT via SESP/APC para continuação da tramitação21/05/2024- Encaminhado ao PCP/DA/GAA/COMPRAS para ciência e providências                                                                                                                       13/06/2024 - Após disputa eletrônica enviado ao setor de compras/sesp29/07/2024- Encaminhado ao GAOFS para inserção de nota de empenho16/08/2024- Aguardando entrega29/08/2024- Material entregue 27/09/2024- Material entregue</t>
  </si>
  <si>
    <t>20.651.072-2</t>
  </si>
  <si>
    <t>Solicita a abertura de processo de licitação para aquisição de controle de acesso, com o intuito de atender à demanda da Unidade Tarumã</t>
  </si>
  <si>
    <t>PCP/DCV/DIV</t>
  </si>
  <si>
    <t>R$ 587.051,94</t>
  </si>
  <si>
    <t>Vinicius Gamarra Contieri</t>
  </si>
  <si>
    <t>26/01/2024 - Encaminhado ao Chefe da Divisão para a análise a manifestação                                                                                                       21/02/2024 - Encaminhado ao SESP/NFS via SESP/APC para continuação da tramitação 12/04/2024- Encaminhado à PGE/PRC para análise e deliberações                                                                                                                                     09/05/2024 - Encaminhado a unidade demandante para adequações                                                                                                                                                         17/05/2024 - Encaminhado a SESP/APC para continuação da tramitação                                                                                                           03/02/2025 - Encaminhado ao Gestor do contrato para acompanhamento da execução das instalações</t>
  </si>
  <si>
    <t>Licitado e Homologado</t>
  </si>
  <si>
    <t>Empenho Imediato</t>
  </si>
  <si>
    <t>Dilação de prazo formalizada, os produtos deverão ser entregues ate dia 23/07/2025</t>
  </si>
  <si>
    <t>20.402.562-2</t>
  </si>
  <si>
    <t>FUNSUSP - AQUISIÇÃO, ATRAVÉS DE PROCEDIMENTO LICITATÓRIO, DE 20 POLTRONAS DE MASSAGEM</t>
  </si>
  <si>
    <t>Eduarda/Raphael</t>
  </si>
  <si>
    <t>R$ 287.230,60</t>
  </si>
  <si>
    <t>FUNSUSP</t>
  </si>
  <si>
    <t>Marceli dos Santos Gama</t>
  </si>
  <si>
    <t>PCP/DIR/DIRADM</t>
  </si>
  <si>
    <t>22/05/2023 - Encaminhado ao PCP/DIV para análise e manifestação                                                                                              20/06/2023 - Encaminhado a ao SESP/SL via Apoio Técnico da Polícia Científica para continuação da tramitação                                                                                                               11/07/2023 - Retorno para o GAA para providências                                                                                                                                          21/09/2023 - Encaminhado a ao SESP/SL via Apoio Técnico da Polícia Científica para continuação da tramitação   03/10/2023 - Enviado ao SESP/GOFS/FI para atualizações orçamentárias, sugerindo encaminhamento SESP/SL via SESP/APC                                                                                                                                                     16/11/2023 - Retorno a PCP/DA/DIRADM tendo em vista que o protocolo chegou após a data limite para análise juridica.31/01/2024- Aguardando atualização de orçamento para envio ao SESP/APC                                                                                                                                                       19/02/2024 - Encaminhado a SESP/NFS via SESP/APC para inclusão das informações orçamentarias e continuação da tramitação                                                                                                                                                             01/04/2024 - Após nova atualização de valores, encaminhado à SESP/NFS via APC para inclusão de Inf. Orç, solicitando retorno para continuidade de instrução                                                                                                                                                                                                                                       09/05/2024 - Encaminhado a unidade demandante para adequações                                                                                                                                            11/07/2024 - Encaminhado para SESP/APC para continuação da tramitação</t>
  </si>
  <si>
    <t>não</t>
  </si>
  <si>
    <t>Sem Possibilidade de Empenho</t>
  </si>
  <si>
    <t>21.582.699-6</t>
  </si>
  <si>
    <t>Solicita a abertura de processo de licitação para aquisição de aparelhos de ar condicionado, com o intuito de atender à demanda da Polícia Científica do Paraná</t>
  </si>
  <si>
    <t>R$ 448.316,80</t>
  </si>
  <si>
    <t>Weverson Mendes de Lima</t>
  </si>
  <si>
    <t>Augusto Pasqualini Neto</t>
  </si>
  <si>
    <t>SESP/SL</t>
  </si>
  <si>
    <t>31/01/2024- Aguardando orçamentos para conclusão de cadastro em PCP/DA/GAA/COMPRAS07/06/2024- Encaminhado à Direção Administrativa para aprovação da despesa                                                                      04/10/2024-Com adequações encaminhado Setor de Licitações</t>
  </si>
  <si>
    <t>Licitando - PE90866/2024 - Talvez</t>
  </si>
  <si>
    <t>Indefinido</t>
  </si>
  <si>
    <t>21.267.957-7</t>
  </si>
  <si>
    <t>Manutenção nos microscópios comparadores balísticos Leica</t>
  </si>
  <si>
    <t>Curitiba, Maringá, Londrina e Ponta Grossa</t>
  </si>
  <si>
    <t>R$ 168.750,00</t>
  </si>
  <si>
    <t>Luiz Henrique da Silva Rotta</t>
  </si>
  <si>
    <t>Luciano Gardano Elias Bucharles</t>
  </si>
  <si>
    <t>30/01/2024 - Encaminhado ao Chefe do Financeiro para a atualização de informações orçamentárias09/04/2024- Encaminhado a PGE/AUT para análise e manifestação13/06/2024- Encaminhado para acompanhamento da entrega</t>
  </si>
  <si>
    <t>20.634.920-4</t>
  </si>
  <si>
    <t>Aquisição através de dispensa de licitação de cofres mecânicos relativo ao convênio federal 906.311/2020 para atendimento da Academia de Ciência Forense da Polícia Científica do Paraná. DISPENSA ELETRÔNICA</t>
  </si>
  <si>
    <t>ACF</t>
  </si>
  <si>
    <t>CURITIBA - ACADEMIA DE CIÊNCIAS FORENSES - ACF</t>
  </si>
  <si>
    <t>R$ 19.055,67</t>
  </si>
  <si>
    <t>906.311/2020</t>
  </si>
  <si>
    <t>Ronald Silva Szafirski</t>
  </si>
  <si>
    <t>Emílio Merino de Paz Júnior</t>
  </si>
  <si>
    <t>21/08/2023 - encaminhe-se à SESP/DG para apreciação e demais gestões                23/08/2023 - Encaminhado a SESP/DG para analise.                                                                                                                               14/11/2023 - Encaminhado a SESP/COMPRAS via SESP/APC para continuação da tramitação                                                                                                                  16/11/2023 - Encontra-se no setor de compras para analise do processo                                                       05/12/2023 - Encontra-se SESP/DG em fase de autorizo19/01/2024 - Atualizado orçamento da empresa vencedora, encaminhado SESP/APC para continuidade</t>
  </si>
  <si>
    <t>20.481.153-9</t>
  </si>
  <si>
    <t>Solicitação de abertura de procedimento licitatório, visando a contratação de empresa especializada em prestação de serviços de locação de rastreadores veiculares, em substituição ao Protocolo 18.805.485-4, a fim de atender a demanda da Polícia Científica do Paraná. Apensado ao 21.828.937-1</t>
  </si>
  <si>
    <t>R$ 164.160,00</t>
  </si>
  <si>
    <t>Apensado</t>
  </si>
  <si>
    <t>31/05/2023 - Protocolo enviado DA/SEC para análise e manifestação                                                                                      16/08/2023 - Enviado ao Apoio Técnico para continuidade de tramitação                                                                             16/11/2023 - Retorno a Origem tendo em vista que o protocolo chegou após a data limite para análise juridica. (Aguardar 2024)16/01/2024 - Com devidas adequações enviado PCP/DA/DIV06/02/2024 - Após adequações Prot devolvido ao Setor de Licitações.</t>
  </si>
  <si>
    <t>21.672.986-2</t>
  </si>
  <si>
    <t>SRP - Aquisição através do Registro de Preço do PE 26/2023, objetivando aquisição de material de Expediente - Grupo B para suprir a demanda da Polícia Científica do Paraná.VALIDADE DA ATA: 16/01/2025</t>
  </si>
  <si>
    <t>Rodrigo Bianchini</t>
  </si>
  <si>
    <t>R$ 4.059,60</t>
  </si>
  <si>
    <t>16/04/2024; 22/04/2024</t>
  </si>
  <si>
    <t>Rodrigo Taborda Ribas</t>
  </si>
  <si>
    <t>PCP/DA/GAA/ALMOX</t>
  </si>
  <si>
    <t>07/02/2024 - Encaminhado para o Chefe da Divisão Administrativa para análise e manifestação20/02/2024- Encaminhado ao GAOFS para informações orçamentárias e nota de reserva11/03/2024- Nota de empenho assinada 16/04/2024- Materiais recebidos22/04/2024- Materiais recebidos 07/05/2024- Encaminhado para liquidação e pagamento</t>
  </si>
  <si>
    <t>21.680.216-0</t>
  </si>
  <si>
    <t>SRP - Aquisição através do Registro de Preço do PE 28/2023, objetivando aquisição de material de Expediente - Grupo D para suprir a demanda da Polícia Científica do Paraná.VALIDADE DA ATA: 29/01/2025</t>
  </si>
  <si>
    <t>R$ 1.817,48</t>
  </si>
  <si>
    <t>07/02/2024 - Encaminhado para o Chefe da Divisão Administrativa para análise e manifestação07/02/2024- Encaminhado ao GAOFS para informações orçamentárias e nota de reserva22/03/2024- Encaminhado para assinatura das notas de empenho25/04/2024- Materiais recebidos07/05/2024- Encaminhado para liquidação e pagamento</t>
  </si>
  <si>
    <t>21.343.742-9</t>
  </si>
  <si>
    <t>DISPENSA DE PROCEDIMENTO LICITATÓRIO POR INEXIGIBILIDADE PARA AQUISIÇÃO DE IMUNOENSAIOS CROMATOGRÁFICOS PARA A DETECÇÃO RÁPIDA DE HB PARA A IDENTIFICAÇÃO DE SANGUE E DE ANTÍGENO ESPECÍFICO DA PRÓSTATA (PSA) PARA A DENTIFICAÇÃO DE LÍQUIDO SEMINAL EM AMOSTRAS FORENSES, PARA ATENDER A DEMANDA DA SEÇÃO DE GENÉTICA MOLECULAR FORENSE DA POLÍCIA CIENTÍFICA DO PARANÁ.</t>
  </si>
  <si>
    <t>Genética</t>
  </si>
  <si>
    <t>R$ 617.250,00</t>
  </si>
  <si>
    <t>Jaqueline Andressa Machado Trentin Luz</t>
  </si>
  <si>
    <t>Juliane Carlotto</t>
  </si>
  <si>
    <t>16/01/2024 - Encaminhado para o Chefe da Divisão Administrativa para análise e manifestação06/02/2024 Após adequações restituído ao setor de Compras/SESP21/02/2024- Empenho emitido, encaminhado à SESP/DG para providências                                                                                                                               15/03/2024 - Encaminhado a SESP/DEST/SC para continuação da tramitação30/04/2024- Contrato cadastrado no GMS; encaminhado ao GAOFS para providências 04/07/2024- Materiais entregues</t>
  </si>
  <si>
    <t>21.555.831-2</t>
  </si>
  <si>
    <t>Tem este o objetivo de solicitar a instauração de processo de licitação para aquisição de um Sistema de Cromatografia Líquida Acoplado a Espectrômetro de Massas de Alta Resolução (quadrupolo e tempo de voo - LC-qTOF), visando atender as necessidades de ampliação do escopo de análises analíticas realizadas pelos Laboratórios de Química Forense e Toxicologia Forense da Polícia Científica do Paraná. QUímica AGRO Forense</t>
  </si>
  <si>
    <t>Química</t>
  </si>
  <si>
    <t>R$ 3.694.713,38</t>
  </si>
  <si>
    <t>PCP/CWB/TAR/QUIM</t>
  </si>
  <si>
    <t>08/02/2024 - Abertura do processo licitatório03/05/2024- Encaminhado à SESP/DEST para providências</t>
  </si>
  <si>
    <t>21.556.083-0</t>
  </si>
  <si>
    <t>Solicita abertura de processo licitatório para aquisição de freezers e refrigeradores científicos, a fim de atender as demandas dos Laboratórios de Toxicologia Forense, Química Forense, Genética Forense e Central de Custódia da Polícia Científica do Paraná.</t>
  </si>
  <si>
    <t>Toxicologia</t>
  </si>
  <si>
    <t>R$ 116.916,00</t>
  </si>
  <si>
    <t>Anna Carolina de Moraes Braga</t>
  </si>
  <si>
    <t>08/02/2024 - Abertura do processo licitatório                                                                                                                                                                                       16/02/2024 - Encaminhado ao Divisional para análise e manifestação                                                                                                                                                                                                  26/03/2024 - Encaminhado a origem para adequação 04/06/2024- Encaminhado à SESP/SL para ciência e providências 21/06/2024- Encaminhado à origem para adequações</t>
  </si>
  <si>
    <t>Não - Enviado em 06/2024 para adequar e não retornou mais</t>
  </si>
  <si>
    <t>21.556.070-8</t>
  </si>
  <si>
    <t>Tem este o objetivo de solicitar a instauração de processo de licitação para aquisição de um Sistema de Cromatografia iônica, visando atender as necessidades do Laboratórios de Química Forense e Toxicologia Forense da Polícia Científica do Paraná. Química Agro Forense</t>
  </si>
  <si>
    <t>R$ 1.155.560,80</t>
  </si>
  <si>
    <t>21.706.486-4</t>
  </si>
  <si>
    <t>Adesão à Ata de Registro de Preços - PE no 1142/2022, na modalidade carona, objetivando a aquisição de papel higiênico para suprir a demanda da Polícia Científica do Paraná. VALIDADE DA ATA: 01/04/2024</t>
  </si>
  <si>
    <t>Todos</t>
  </si>
  <si>
    <t>R$ 26.250,00</t>
  </si>
  <si>
    <t>20/02/2024- Encaminhado ao GAOFS para informação orçamentária e nota de reserva04/03/2024- Aguardando autorização da carona21/03/2024 - Não oha saldo para carona conforme informação do DECON</t>
  </si>
  <si>
    <t>21.722.777-1</t>
  </si>
  <si>
    <t>Dispensa de processo licitatório por inexigibilidade para aquisição de insumos para a Plataforma de Sequenciamento Massivo Paralelo (de nova geração) Ion Genestudio S5 e Ion Chef HID para atender a demanda da Seção de Genética Molecular Forense da Polícia Científica do Paraná.</t>
  </si>
  <si>
    <t>R$ 1.954.863,96</t>
  </si>
  <si>
    <t>APENSADO</t>
  </si>
  <si>
    <t>Luciellen D'avilla Giacomel Kobachuck</t>
  </si>
  <si>
    <t>Pedro Henrqiue Canezin</t>
  </si>
  <si>
    <t>PCP/CWB/TAR/GENET</t>
  </si>
  <si>
    <t>20/02/2024 - Encaminhado para o Chefe da Divisão Administrativa para análise e manifestaçãoEste protocolo está apensado ao 21.760.337-4</t>
  </si>
  <si>
    <t>21.556.005-8</t>
  </si>
  <si>
    <t>Tem este o objetivo de solicitar a instauração de processo de licitação para aquisição de um Sistema de Espectometria de Massas com plasma indutivamente acoplado (ICP/MS/MS), visando atender as necessidades de ampliação do escopo de análises analíticas realizadas pelos Laboratórios de Química Forense e Toxicologia Forense da Polícia Científica do Paraná. Química Agro Forense</t>
  </si>
  <si>
    <t>Laboratórios de Química Forense e Toxicologia Forense</t>
  </si>
  <si>
    <t>R$ 2.539.153,47</t>
  </si>
  <si>
    <t>21/02/2024 - Encaminhado para o Chefe da Divisão Administrativa para análise e manifestação03/05/2024- Encaminhado à SESP/DEST para ciência e providências</t>
  </si>
  <si>
    <t>21.631.509-0</t>
  </si>
  <si>
    <t>SRP Cadeiras Giratórias - Aquisição através do Registro de Preço do PE 1415/2022, de Cadeiras Giratórias para atender a demanda das unidades da Polícia Científica do Paraná.VALIDADE DA ATA: 15/10/2024</t>
  </si>
  <si>
    <t>R$ 13.621,21</t>
  </si>
  <si>
    <t>02/09/2024; 18/09/2024</t>
  </si>
  <si>
    <t>Adriano Saldanha Carneiro</t>
  </si>
  <si>
    <t>Edgar Mallmann</t>
  </si>
  <si>
    <t>19/02/2024 - Encaminhado a SESP/COMPRAS para continuação da tramitação                                                                                                                 13/03/2024 - Encaminhado a SESP/DEST/SC para continuação da tramitação, bem como, elaboração da minuta de contrato30/04/2024- Retorno do processo à PCP/DA/GAA/COMPRAS para inserção de documentos                                                                                                     24/05/2024 - Encaminhado a AT/SESP via SESP/APC para continuação da tramitação 09/07/2024- Encaminhado ao GAOFS para inserção de nota de empenho08/08/2024- Aguardando entrega02/09/2024- Material entregue (FK)18/09/2024- Material entregue (EKOMB)</t>
  </si>
  <si>
    <t>20.719.484-0</t>
  </si>
  <si>
    <t>Licitação para aquisição de kits de Sistema de Vigilância - Circuito Fechado de TV (CFTV), sem instalação, para as sedes do Interior da Polícia Científica do Paraná</t>
  </si>
  <si>
    <t>Computação Forense</t>
  </si>
  <si>
    <t>Todas</t>
  </si>
  <si>
    <t>R$ 347.269,76</t>
  </si>
  <si>
    <t>Leonardo de Ataide Jedneralski</t>
  </si>
  <si>
    <t>Marcio Lopes Villanova e Silva</t>
  </si>
  <si>
    <t>PCP/DA/GAOFS</t>
  </si>
  <si>
    <t>06/11/2023 - Retorno ao setor de compras PCP para adequações                                                                                            16/11/2023 - Com as devidas alterações, restituído SESP/SL via SESP/APC                                             05/12/2023 - Encontra - se na assessoriaTécnica desta SESP para análise da redação de minuta do edital.                                                                                        06/12/2023 - DEVOLVIDO A ORIGEM ENVIO FORA DO PRAZO - PCP/DIR/NI22/02/2024- Anexada a minuta padronizada da PGE, remetemos o procedimento à Assessoria Técnica Jurídica para providências cabíveis09/04/2024- Encaminhado ao PCP/DA/GAA/COMPRAS para ciência e providências                                                                                     26/09/2024 - Com novas atualizações encaminhado ao setor financeiro para atualizações de informações orçamentárias.                                                                                                                                                                          04/02/2025 - Encaminhado para o PCP/DA/GAOFS para emissão da nota de empenho</t>
  </si>
  <si>
    <t>TALVEZ - CERTAME | PE 994/23 | PUBLICADO (abertura em 11/11/24)</t>
  </si>
  <si>
    <t>21.739.658-1</t>
  </si>
  <si>
    <t>Aquisição de café por meio da Ata de Registro de Preços - PE no 1786/2022, para suprir a demanda da Polícia Científica do Paraná.</t>
  </si>
  <si>
    <t>R$ 75.600,00</t>
  </si>
  <si>
    <t>21.728.149-0</t>
  </si>
  <si>
    <t>Contratação direta por dispensa de licitação para aquisição de rolos de papel alumínio com 7,5 m de comprimento e 30 cm de largura para atender a demanda das Seções de Química Forense e Toxicologia Forense, da Polícia Científica do Paraná.</t>
  </si>
  <si>
    <t>Seção de Química e Toxicologia Forense</t>
  </si>
  <si>
    <t>R$ 510,94</t>
  </si>
  <si>
    <t>DISPENSA DE LICITAÇÃO</t>
  </si>
  <si>
    <t>Ricardo Maia</t>
  </si>
  <si>
    <t>Paula Eidt Fornari</t>
  </si>
  <si>
    <t>28/02/2024 - Encaminhado a PCP/DIV para análise e manifestação                                                                                                            12/03/2024 - Encaminhado ao SESP/COMPRAS para continuação da tramitação por menor valor                                                                                  04/04/2024 - Encaminhado ao SESP/COMPRAS para continuação da tramitação29/04/2024- Encaminhado para assinatura da Nota de Empenho21/05/2024- Empenho e O.C encaminhados ao fornecedor- Aguardando entrega03/06/2024- Encaminhado para liquidação e pagamento</t>
  </si>
  <si>
    <t>21.399.689-4</t>
  </si>
  <si>
    <t>Dispensa de Licitação, na modalidade Eletrônica, para aquisição de Caixa de Arquivo Morto em atendimento da demanda da Polícia Científica do Paraná. DISPENSA ELETRÔNICA</t>
  </si>
  <si>
    <t>R$ 11.504,00</t>
  </si>
  <si>
    <t>Beatriz Rossi Canuto de Menezes Rodrigues</t>
  </si>
  <si>
    <t>Mauricio Catitas de Souza</t>
  </si>
  <si>
    <t>06/12/2023 - ENCAMINHADO EM 04/12 PARA NFS/OR para assinatura das informações orçamentárias                                                                                                                                                                                                                                13/12/2023 - Encaminhado ao PCP/DA/DIV para ciência e posterior envio até o dia 02/01/2024                                                                                                                                                                          22/01/2024 - Encaminhado ao PCP/DA/GAOFS para continuação da tramitação                                                                                                23/02/2024 - Encaminhado ao SESP/COMPRAS para continuação da tramitação18/03/2024- Encaminhado à Assessoria Técnica da SESP solicitando autorizção do ordenador de despesas                                                                                                                                                                                                                                   26/06/2024 - Encaminhado para SESP/COMPRAS para continuação da tramitação 08/08/2024- Aguardando entrega17/09/2024- Material entregue</t>
  </si>
  <si>
    <t>21.307.642-6</t>
  </si>
  <si>
    <t>Dispensa de procedimento licitatório por inexigibilidade para aquisição de insumos para a Plataforma Automatizada Hamilton Starlet e para os Analisadores Genéticos 3500 conforme instrumento de convênio Federal firmado sob o no 905.779/2020 para atender a demanda da Seção de Genética Molecular Forense da Polícia Científica do Paraná.</t>
  </si>
  <si>
    <t>Seção de Genética Forense</t>
  </si>
  <si>
    <t>R$ 371.418,26</t>
  </si>
  <si>
    <t>905.779/2020</t>
  </si>
  <si>
    <t>Pedro Henrique Canezin</t>
  </si>
  <si>
    <t>20/11/2023 - Encaminhado a PCP/DIV para análise e manifestação                             05/12/2023 - Devolvido ao setor sugerindo a remessa dos autos à origem para impulsionamento do protocolado a partir do dia 02 de janeiro de 2024                                              06/12/2023 - DEVOLVIDO À ORIGEM - PCP/CWB/TAR/QUIM                                                                                                                                                                      02/01/2024 - Encaminhado a AT/SESP via SESP/APC para a continuação da tramitação                                                                                                                                                  19/01/2024 - Encanhado a SESP/APC para a continuação da tramitação                                                                                                              26/02/2024 - Encanhado a SESP/APC para a continuação da tramitação01/04/2024- Encaminhado para emissão da CALV09/05/2024- Contrato assinado07/06/2024- Parte dos materiais entregue</t>
  </si>
  <si>
    <t>21.775.959-5</t>
  </si>
  <si>
    <t>SRP - Contratação de dois postos de arquivista por meio de adesão à Ata de Registro de Preços - PE n 2168/2022, para suprir a demanda da Polícia Científica do Paraná. VALIDADE DA ATA: 15/07/2024</t>
  </si>
  <si>
    <t>R$ 219.573,60</t>
  </si>
  <si>
    <t>Fabiola Schutzenberger Machado</t>
  </si>
  <si>
    <t>06/03/2024- Carona autorizada; aguardando instrução                                                                                                                                                                   15/03/2024 - Encaminhado a PCP/DA/DIV para análise e manifestação18/03/2024- Encaminhado ao GAOFS para informações orçamentárias e nota de reserva                                                                                                                                           09/05/2024 - Encaminhado para SESP/COMPRAS para análise e continuação da tramitação                                                                                                                              17/05/2024 - Encaminhado para SESP/DEST/SC                                                                                                                                                         06/06/2024 - Encaminhado para AT/SESP via SESP/APC para continuação da tramitação                                                                                                               14/08/2024 - Encaminhado para Divisional para ciência</t>
  </si>
  <si>
    <t>21.556.068-6</t>
  </si>
  <si>
    <t>Processo de compra de microscópios comparadores para a Seção de Balística de Curitiba - Inexigibilidade de Licitação</t>
  </si>
  <si>
    <t>Visconde</t>
  </si>
  <si>
    <t>Seção de Balística Forense</t>
  </si>
  <si>
    <t>R$ 3.510.000,00</t>
  </si>
  <si>
    <t>Gisele Rodrigues dos Santos Oliveira</t>
  </si>
  <si>
    <t>Carlos Silveira de Barros</t>
  </si>
  <si>
    <t>PCP/CWB/VISC/BALI</t>
  </si>
  <si>
    <t>28/02/2024 - Encaminhado a PCP/DIV para análise e manifestação</t>
  </si>
  <si>
    <t>21.718.196-8</t>
  </si>
  <si>
    <t>Contratação direta por dispensa de processo licitatório para aquisição de papel de filtro qualitativo de e caixas de fibra de papelão para armazenamento de amostras, para atender a demanda das Seções de Química Forense e Toxicologia Forense da Polícia Científica do Paraná.</t>
  </si>
  <si>
    <t>Seção de Quimica e Toxicologia Forense</t>
  </si>
  <si>
    <t>R$ 5.674,98</t>
  </si>
  <si>
    <t>28/02/2024 - Retornado a origem para adequação</t>
  </si>
  <si>
    <t>21.790.813-2</t>
  </si>
  <si>
    <t>SRP - Aquisição através do Registro de Preço do PE 53/2023, de Detergente e Desodorizador para atender a unidade da Polícia Científica do Paraná. VALIDADE DA ATA: 27/06/2024</t>
  </si>
  <si>
    <t>R$ 2.789,25</t>
  </si>
  <si>
    <t>28/02/2024 - Encaminhado a PCP/DIV para análise e manifestação08/03/2024- Encaminhado ao NFS/OR para assinatura das informações orçamentárias11/03/2024- Empenho assinado 16/04/2024- Materiais recebidos07/05/2024- Encaminhado para liquidação e pagamento</t>
  </si>
  <si>
    <t>20.195.722-2</t>
  </si>
  <si>
    <t>Aquisição de Equipamentos de gerenciamento de rede para grandes volumes de dados com instalação, por licitação - Convênio Federal no 936068/2022</t>
  </si>
  <si>
    <t>SESSÃO DE COMPUTAÇÃO FORENSE</t>
  </si>
  <si>
    <t>R$ 260.576,58</t>
  </si>
  <si>
    <t>Henrique Galperin</t>
  </si>
  <si>
    <t>Fabio Luiz Correia da Rocha</t>
  </si>
  <si>
    <t>PCP/CWB/VISC/COMP</t>
  </si>
  <si>
    <t>17/04/2023 - Encaminhado à Divisão Administrativa para análise e demais providências                                                                                                                        31/07/2023 - Devolvido à origem para adequações                                                                                               30/08/2023 -  Encaminhado ao setor de compras após adequações necessarias                                                                   04/09/2023 - Devolvido a origem para adequação TR                                                                                        16/11/2023 - Análise da Tecnologia de Comunicação  quanto ao objeto pretendido ser, ou não, caracterizado como TIC                                                                                                                                         05/12/2023 - Encontra-se SESP/AT/ASS                                                                                                                                                                                                     16/01/2024 - Encaminhado a SESP/APC para continuação da tramitação                                                                                                                                             28/02/2024 - Devolvido a origem para adequações                                                                                                                                                    04/03/2024 - Encaminhado a SESP/APC para continuação da tramitação16/05/2024- Encaminhado para emissão de Nota de Reserva16/09/2024- Aguardando entrega</t>
  </si>
  <si>
    <t>21.790.967-8</t>
  </si>
  <si>
    <t>SRP - Aquisição através do Registro de Preço do PE 54/2023, de Sabão em Pó, Sabão em Barra e Pedra Sanitária para atender a unidade da Polícia Científica do Paraná.</t>
  </si>
  <si>
    <t>R$ 1.299,65</t>
  </si>
  <si>
    <t>12/04/2024; 18/04/2024</t>
  </si>
  <si>
    <t>29/02/2024 - Encaminhado a PCP/DIV para análise e manifestação  21/03/2024- Empenho assinado12/04/2024- Materiais recebidos18/04/2024- Materiais recebidos07/05/2024- Encaminhado para liquidação e pagamento</t>
  </si>
  <si>
    <t>21.791.908-8</t>
  </si>
  <si>
    <t>SOLICITAÇÃO PARA AQUISIÇÃO DE PAPEL KRAFT, VIA PREGÃO ELETRÔNICO 26/2023/DECON - LOTE 29 - NA MODALIDADE ADESÃO/CARONA, VALIDADE DA ATA 16/01/2025, ENTREGA ÚNICA, PARA SUPRIR A DEMANDA DOS LABORATÓRIOS FORENSES DA POLÍCIA CIENTÍFICA DO PARANÁ - UNIDADE TARUMÃ - CURITIBA.VALIDADE DA ATA:16/01/2025</t>
  </si>
  <si>
    <t>R$ 2.040,00</t>
  </si>
  <si>
    <t>15/03/2024- Encaminhado ao GAOFS para informações orçamentárias e nota de reserva04/04/2024- Nota de Empenho assinada29/05/2024- Material recebido04/06/2024- Encaminhado para liquidação e pagamento</t>
  </si>
  <si>
    <t>21.731.579-4</t>
  </si>
  <si>
    <t>Abertura de processo licitatório, visando a contratação de empresa especializada em prestação de serviços de consultoria e acreditação do Laboratório de Genética Molecular Forense da Polícia Científica do Paraná, na norma ABNT NBR ISO 17025:2017, conforme instrumento de convênio firmado n.o 919141/2021.</t>
  </si>
  <si>
    <t>Seção Genética Forense</t>
  </si>
  <si>
    <t>R$ 170.890,60</t>
  </si>
  <si>
    <t>Claudia Marina Schellin Becker</t>
  </si>
  <si>
    <t>SESP - SESP/DG</t>
  </si>
  <si>
    <t>04/03/2024 - Encaminhado a PCP/DA/DIV para análise e manifestação20/05/2024- Encaminhado para a unidade demandante para adequações                                                                  30/07/2024 - Com adequações restituido a SESP APC para adequações                                                                                                                                  18/10/2024 - Encaminhado ao SESP/NFS via SESP/APC para continuação da tramitação</t>
  </si>
  <si>
    <t>21.635.875-9</t>
  </si>
  <si>
    <t>SOLICITAÇÃO PARA AQUISIÇÃO DE ARMÁRIO ALTO EM MDF, VIA PREGÃO ELETRÔNICO 1415/2022/DECON - LOTES 09 E 10, NA MODALIDADE PARTICIPANTE, VALIDADE DA ATA 09/05/2024, ENTREGA ÚNICA, PARA SUPRIR A DEMANDA DA POLÍCIA CIENTÍFICA DO PARANÁ - UNIDADE TARUMÃ. VALIDADE DA ATA: 09/05/2024</t>
  </si>
  <si>
    <t>Seção de Química Forense</t>
  </si>
  <si>
    <t>R$ 11.594,00</t>
  </si>
  <si>
    <t>29/02/2024- Encaminhado ao setor de origem para aguardar entrega dos materiais16/02/2024- Notas de empenho assinadas03/04/2024- Encaminhado ao SESP/DA/GAOFS para continuidade</t>
  </si>
  <si>
    <t>21.810.072-4</t>
  </si>
  <si>
    <t>SRP - Aquisição através do Registro de Preço do PE 27/2023, objetivando aquisição de material de Expediente - Grupo C para suprir a demanda da Polícia Científica do Paraná. VALIDADE DA ATA: 27/02/2025</t>
  </si>
  <si>
    <t>R$ 4.013,82</t>
  </si>
  <si>
    <t>05/03/2024 - Encaminhado a PCP/DA/DIV para análise e manifestação25/04/2024- Materiais recebidos 07/05/2024- Encaminhado para liquidação e pagamento</t>
  </si>
  <si>
    <t>21.726.417-0</t>
  </si>
  <si>
    <t>Solicitação de compra de lacres tipo pino para uso nas embalagens reutilizáveis. DISPENSA ELETRÔNICA</t>
  </si>
  <si>
    <t>RAPHAEL</t>
  </si>
  <si>
    <t>R$ 39.000,00</t>
  </si>
  <si>
    <t>Rodrigo Rocha Freire da Silva</t>
  </si>
  <si>
    <t>21/03/2024-  Encaminhado a PCP/DA/DIV para análise e manifestação03/04/2024- Encaminhado ao NFS/OR para assinatura das informações orçamentárias e nota de reserva                                                                                                                                                                                          12/07/2024 - Encaminhado para SESP/SC para continuação da tramitação 05/08/2024- Aguardando entrega</t>
  </si>
  <si>
    <t>21.133.292-1</t>
  </si>
  <si>
    <t>Solicitação de compra de caixas plásticas para as Centrais de Custódia de Vestígios.</t>
  </si>
  <si>
    <t>Custodia</t>
  </si>
  <si>
    <t>R$ 108.991,00</t>
  </si>
  <si>
    <t>Mariane Moreira Poletto</t>
  </si>
  <si>
    <t>Wellerson Jeremias Colombari</t>
  </si>
  <si>
    <t>01/11/2023 - Encaminhado ao Chefe da Divisão Administrativa para análise e aprovação                                                        01/11/2023 - Encaminhado ao GAOFS para informação orçamentaria                                                                                              07/11/2023 - Encaminhado ao SESP/DG para analise via apoio técnico                                                                            09/11/2023 - Encaminhado ao SESP/DEST para analise                                                                                                       13/11/2023 - Encaminhado ao SESP/SL para providencias                                                                                                       24/11/2023 - Encaminhado com adequações SESP/SL  via SESP/APC.                                                     05/12/2023 - SESP/DEST para continuidade                                                                                                           06/12/2023 - DEVOLVIDO A ORIGEM DEVIDO A ENVIO FORA DE PRAZO- PCP/DCV/DIV                                                                                                                                                                   08/01/2023 - Encaminhado a AT/SESP via SESP/APC para continuação da tramitação                                                                                                                                                                       23/02/2024 - Encaminhado a AT/SESP para continuação da tramitação                                                                            04/03/2024 - Encaminhado a SESP/APC para continuação da tramitação19/07/2024- Encaminhado ao Almoxarifado para acompanhamento da entrega02/08/2024- Material entregue</t>
  </si>
  <si>
    <t>20.087.803-5</t>
  </si>
  <si>
    <t>Aquisição de Ferramenta Forense de duplicação de HDs, SSDs e dispositivos USB, por Inexigibilidade de Licitação - Convênio Federal no 936068/2022</t>
  </si>
  <si>
    <t>R$ 113.826,00</t>
  </si>
  <si>
    <t>24/03/2023- Encaminhado a DA/DIV para ações caso requer                                 30/08/2023 - Encaminhado para adequações                                                                                                                                                 05/10/2023 - Encaminhado a SESP/COMPRAS via SESP/APC para continuação da tramitação                                                                                                                               16/11/2023 - Análise da Tecnologia de Comunicação  quanto ao objeto pretendido ser, ou não, caracterizado como TIC                                                                                                               05/12/2023 - Encontra-se SESP/AT/ASS                                                 07/12/2023 -  DEVOLVIDO A ORIGEM DEVIDO A ENVIO FORA DE PRAZO- PCP/CWB/VISC/COMP                                                                                                        14/03/2024 - Encaminhado ao Setor de Contratos da SESP para continuação da tramitação, bem como, a elaboração da minuta de contrato                                                                                                                                                                                                                 03/04/2024 - Encaminhado a SESP/APC para continuação da tramitação20/09/2024- Encaminhado para inserção de nota de empenho</t>
  </si>
  <si>
    <t>20.600.933-0</t>
  </si>
  <si>
    <t>Abertura de Procedimento Licitatório visando aquisição de Luvas e mangotes para atendimento da demanda de todas as unidades da Polícia Científica.</t>
  </si>
  <si>
    <t>R$ 80.180,10</t>
  </si>
  <si>
    <t>23/05/2024 Apenas Mangotes</t>
  </si>
  <si>
    <t>Raul Messias Lessa</t>
  </si>
  <si>
    <t>Francisco da Silva Martins</t>
  </si>
  <si>
    <t>28/08/2023 - o setor de Compras para atendimento à Aanalise constante às fls. 110 à 123 -                                                                                                                                          30/08/2023 - Encontra-se no compras para adequação                                                                                         05/09/2023 - Adequado, enviado para SESP/APC sugerindo envio SESP/SL                                              20/09/2023 - Adequado, enviado para SESP/APC sugerindo envio SESP/SL.                                                              16/11/2023 - Desde o dia 03/10 no setor de licitações , em fase de adjudicação                                                05/12/2023 - SESP/DG fase de Adjudicação e homologação                                                                                                                                                                            03/01/2024 - Encaminha-se ao chefe do gaofs para emissão de empenho 21/02/2024- Encaminhado ao Contratos/SESP15/03/2024- Encaminhado ao Almoxarifado para aguardo da entrega dos materiais23/05/2024- Mangotes recebidos</t>
  </si>
  <si>
    <t>21.893.710-1</t>
  </si>
  <si>
    <t>SRP - Aquisição através do Registro de Preço do PE 29/2023, objetivando aquisição de material de Expediente - Grupo E para suprir a demanda da Polícia Científica do Paraná. VALIDADE DA ATA: 14/03/2025</t>
  </si>
  <si>
    <t>R$ 6.054,35</t>
  </si>
  <si>
    <t>20/03/2024 - Encaminhado a PCP/DIV para análise e manifestação08/04//2024- Notas de empenho assinadas06/05/2024- Aguardando entrega dos materiais 10/05/2024- Materiais recebidos</t>
  </si>
  <si>
    <t>20.249.968-6</t>
  </si>
  <si>
    <t>FUNSUSP - Aquisição, através de procedimento licitatório, de uma unidade de Sistema de Cromatografia Líquida Acoplado a Espectrômetro de Massas Sequencial (LC-MS/MS)</t>
  </si>
  <si>
    <t>R$ 1.991.866,39</t>
  </si>
  <si>
    <t>Isabella Ferreira Melo</t>
  </si>
  <si>
    <t>20/04/20223 - Encaminhado para DIV para análise e manifestação 26/06/2023- No GAA para adequações a nova Lei.           29/06/2023 Documentos atualizados, encaminhado à SESP/APC para continuidade. 03/07/2023 - encaminhado ao SESP/SL para providencias                                                                         09/08/2023 - Encaminhado a SESP/SL via SESP/APC para continuação da tramitação                                                                              16/11/2023: Análise de indisponibilidade de recursos do FUNSUSP para custear a despesa em tela                                                                                                                  21/03/2024 - Encaminhado a origem para adequação do mesmo                                                                                                                                                                                    03/05/2024 - Encaminhado a SESP/APC para continuação da tramitação 11/06/2024-Encaminhado à unidade demandante para adequações</t>
  </si>
  <si>
    <t>21.906.273-7</t>
  </si>
  <si>
    <t>Abertura de Procedimento Licitatório visando aquisição de macas e carros pantográficos para atendimento da demanda de todas as unidades da Polícia Científica.</t>
  </si>
  <si>
    <t>R$ 1.575.825,77</t>
  </si>
  <si>
    <t>TRAMITAÇÃO INICIAL</t>
  </si>
  <si>
    <t>RAFAELA ROSSI MARQUES</t>
  </si>
  <si>
    <t>VINICIUS GAMARRA</t>
  </si>
  <si>
    <t>22/03/2024 - Encaminhado para DIV para análise e manifestação10/05/2024- Encaminhado à PCP/DA/GAA/COMPRAS para ciência e providências                                                                                                                                         27/05/2024 - Reenviado ao setor de licitações, via APC após adequações sugeridas pela PGE                                           13/06/2024 - Com nova atualização sugerida pelo setor de licitações restituido a SESP/SL04/09/2024- Encaminhado para inserção de nota de empenho</t>
  </si>
  <si>
    <t>21.788.217-6</t>
  </si>
  <si>
    <t>Solicita manutenção corretiva, com substituição do detector DTGS, em espectrofotômetro da marca Bruker, modelo Alpha II, utilizado na UETC de Londrina.</t>
  </si>
  <si>
    <t>Londrina</t>
  </si>
  <si>
    <t>R$ 26.000,00</t>
  </si>
  <si>
    <t>TRAMITAÇÃO</t>
  </si>
  <si>
    <t>Mauricio Nakao Yorinori</t>
  </si>
  <si>
    <t>Camila Castro Teixeira</t>
  </si>
  <si>
    <t>25/03/2024 - Aguardando a empresa atualizar o cadastro no GMS                                                                                                                                                                                     02/04/2024 - Encaminhado para DIV para análise e manifestação 06/05/2024 - Encaminhado a SESP/APC para análise da pertinência de realização de Contrato16/05/2024- Encaminhado ao NFS/OR para assinatura das informações orçamentárias                                                                                                           19/07/2024 - Encaminhado SESP/SC para continuação da tramitação                                                                                                            25/09/2024 - Encaminhado SESP/SC para continuação da tramitação</t>
  </si>
  <si>
    <t>SIM</t>
  </si>
  <si>
    <t>20.667.709-0</t>
  </si>
  <si>
    <t>AQUISIÇÃO DA PLATAFORMA AUTOMATIZADA DEDICADA À EXTRAÇÃO AUTOMATIZADA DIFERENCIAL - HAMILTON AUTOLYS SAE ID COMPLETE COM INSUMOS</t>
  </si>
  <si>
    <t>UETC Tarumã</t>
  </si>
  <si>
    <t>Genética Forense</t>
  </si>
  <si>
    <t>R$ 2.926.971,76</t>
  </si>
  <si>
    <t>Finalizado em 31/3/25</t>
  </si>
  <si>
    <t>Leonardo Arduino Marano</t>
  </si>
  <si>
    <t>09/08/2023 - Encaminhe-se à SESP/DEST para conhecimento edemais providências                                                                                                                                                                 16/11/2023 - Encontra-se no Centro de Acompanhamento de Projetos e Captação de Recursos para análise                                                                                                                                                              05/12/2023 - Encontra-se PCP/DA - PCP/DA/GAOFS                                                                                                                                                  25/03/2024 - Aguardando PCA                                                                                                                                                            05/04/2024 - Encaminhado para SESP/COMPRAS para continuação da tramitação                                                                    19/04/2024 - Encaminhado para SESP/DEST/SC para continuação da tramitação, bem como, elaboração da minuta                                                                                                                                                                                06/05/2024 - Encaminhado a SESP/APC para continuação da tramitação        26/06/2024- Encaminhado para acompanhamento da entrega</t>
  </si>
  <si>
    <t>21.837.256-2</t>
  </si>
  <si>
    <t>Contratação direta por dispensa de processo licitatório para aquisição de papel de filtro qualitativo de e caixas de fibra de papelão para armazenamento de amostras, para atender a demanda das Seções de Química Forense e Toxicologia Forense da Polícia Científica do Paraná. DISPENSA ELETRÔNICA</t>
  </si>
  <si>
    <t>R$ 4.122,00</t>
  </si>
  <si>
    <t>Amanda Cristina de Jesus Cunha</t>
  </si>
  <si>
    <t>PCP/CWB/TAR/TOXIC</t>
  </si>
  <si>
    <t>01/04/2024 - Encaminhado para DIV para análise e manifestação05/04/2024- Nota de empenho inserida                                                                                                                                                 17/05/2024 - Encaminhado ao SESP/COMPRAS para continuação da tramitação 05/06/2024- Encaminhado para abertura da disputa                                                                                                                                               02/07/2024 - Encaminhado para SESP/COMPRAS para continuação da tramitação                                                                                              11/07/2024 - Encaminhado para PCP/DA/GAOFS para inclusão das notas reservas                                                                                                                                                                                                                                        09/08/2024 - Encaminhado para SESP/APC para continuação da tramitação                                                                                                     14/08/2024 - Encaminhado a origem para aguardar a entrega dos itens</t>
  </si>
  <si>
    <t>21.872.103-6</t>
  </si>
  <si>
    <t>Aquisição de reagentes químicos via pregão eletrônico 47/2023 Lotes 11, 42, 43, 58, 64, 74 65, 71, 15, 27, 34, 81, 83, validade da Ata: 04/07/2024, na modalidade PARTICIPANTE, para suprir a demanda dos Laboratórios da Polícia Científica do Paraná, Unidade Tarumã, no valor de R$ 9.113,80 (nove mil cento e oitenta e três reais e oitenta centavos), ENTREGA UNICA. VALIDADE DA ATA: 04/07/2024</t>
  </si>
  <si>
    <t>R$ 9.113,80</t>
  </si>
  <si>
    <t>03/04/2024 - Encaminhado para DIV para análise e manifestação10/04/2024- Notas de empenho assinadas03/05/2024- Aguardando entrega dos materiais20/05/2024- Materiais entregues05/06/2024- Encaminhado para liquidação e pagamento</t>
  </si>
  <si>
    <t>21.828.937-1</t>
  </si>
  <si>
    <t>(PROTOCOLO NOVO)Abertura de procedimento licitatório, visando a contratação de empresa especializada na prestação de serviços continuados de rastreamento, monitoramento e telemetria de veículos via satélite por GPS/GSM/GPRS (sem locação de mão de obra), visando atender a demanda de todas as unidades da Polícia Científica do Paraná. Rastreador rastreadores</t>
  </si>
  <si>
    <t>R$ 220.164,84</t>
  </si>
  <si>
    <t>PCP/DA - PCP/DA/GAOFS</t>
  </si>
  <si>
    <t>01/04/2024 - Encaminhado para DIV para análise e manifestação17/04/2024- Encaminhado à PCP/DA/GAOFS para emissão de informações orçamentárias                                                                                             12/07/2024 - Encaminhado para SESP/APC para continuação da tramitação</t>
  </si>
  <si>
    <t>21.951.986-9</t>
  </si>
  <si>
    <t>Aquisição de Sulfato de Zinco Heptahidratado, via pregão eletrônico 47/2023 da SESA - lote 46, na modalidade adesão/carona, validade da ata 04/07/2024, para suprir a demanda do Laboratório de Toxicologia Forense da Polícia Científica do Paraná. VALIDADE DA ATA: 04/07/2024</t>
  </si>
  <si>
    <t>Tycianne/ Amanda</t>
  </si>
  <si>
    <t>R$ 200,00</t>
  </si>
  <si>
    <t>09/04/2024- Carona autorizada pela SESA18/04/2024- Encaminhado ao GAOFS para informações orçamentárias e nota de reserva02/05/2024- Encaminhado à NFS/OR para assinatura das informações orçamentárias17/05/2024- Empenho e O.C encaminhados ao fornecedor; Aguadando entrega10/06/2024- Encaminhado para liquidação e pagamento</t>
  </si>
  <si>
    <t>21.980.038-0</t>
  </si>
  <si>
    <t>SRP Mobiliários - Aquisição através do Registro de Preço do PE 1727/2022, na modalidade CARONA, de mobiliários para atender as necessidades das unidades da Polícia Científica do ParanáVALIDADE DA ATA: 28/08/2024</t>
  </si>
  <si>
    <t>R$ 491.107,87</t>
  </si>
  <si>
    <t>Ponta Grossa</t>
  </si>
  <si>
    <t>Edson da Silva Napoleão</t>
  </si>
  <si>
    <t>Kelly Cristina Cancela</t>
  </si>
  <si>
    <t>PCP/DA/GAA/PATR</t>
  </si>
  <si>
    <t>05/04/2024 - Encaminhado para DIV para análise e manifestação                                                                                                                                                                          22/04/2024 - Encaminhado para DIV para análise e manifestação09/05/2024- Encaminhado à SESP/NFS para inclusão do IDO, DAD e QDD                                                                                                                                             15/05/2024 - Encaminhado a SESP/APC para continuação da tramitação                                                                                                                                           11/06/2024 - Encaminhado para SESP/DEST/SC para continuação da tramitação                                                                                                                                      24/06/2024 - Encaminhado para AT/SESP via SESP/APC para continuação da tramitação 30/07/2024- Aguardando entrega</t>
  </si>
  <si>
    <t>21.760.337-4</t>
  </si>
  <si>
    <t>cópia do protocolo nr. 21.722.777-1 - dispensa de processo licitatório por inexigibilidade para aquisição de insumos para a plataforma de sequenciamento massivo paralelo (de nova geração) ion genestudio s5 e ion chef hid para atender a demanda da seção - termo de cooperação técnica sejuf x sesp - projeto fim da dúvida - protocolo inicial 16.881.163-2</t>
  </si>
  <si>
    <t>09/04/2024 Encaminhado para SESP/COMPRAS para continuação da tramitação                                                                                                                                                                  17/04/2024 - Encaminhado para SESP/APC para continuação da tramitação16/08/2024- Encaminhado para inserção de nota de empenho</t>
  </si>
  <si>
    <t>21.975.012-9</t>
  </si>
  <si>
    <t>Aquisição, através de dispensa de licitação, de açúcar refinado 1kG. DISPENSA ELETRÔNICA</t>
  </si>
  <si>
    <t>R$ 13.851,00</t>
  </si>
  <si>
    <t>LUCIANA DE ANDRADE LIMA PENCAL</t>
  </si>
  <si>
    <t>MAURICIO CATITAS DE SOUSA</t>
  </si>
  <si>
    <t>09/04/2024 - Encaminhado para DIV para análise e manifestação</t>
  </si>
  <si>
    <t>22.000.622-0</t>
  </si>
  <si>
    <t>Dispensa Eletrônica - Aquisição, através de dispensa eletrônica de insumos para impressora de Crachá, em atendimento as necessidades da demanda da Polícia Científica do Paraná. DISPENSA ELETRÔNICA</t>
  </si>
  <si>
    <t>Seção de Recursos Humanos</t>
  </si>
  <si>
    <t>R$ 12.724,37</t>
  </si>
  <si>
    <t>Manoel Luiz Vieira</t>
  </si>
  <si>
    <t>PCP/DA/GARH</t>
  </si>
  <si>
    <t>16/04/2024- Encaminhado ao GAOFS para emissão da CALV, informações orçamentárias e nota de reserva                                                                                                       14/05/2024 - Encaminhado ao SESP/NFS via SESP/APC                                                                                 14/06/2024 - Encaminhado a PCP/GAOFS para inclusão da Nota reserva                                                                                                                              08/08/2024 - Encaminha ao SESP/COMPRAS para continuação da tramitação</t>
  </si>
  <si>
    <t>R$ 113.955,01</t>
  </si>
  <si>
    <t>Leonete Ghellere</t>
  </si>
  <si>
    <t>Edson Jovimiano de Lima</t>
  </si>
  <si>
    <t>19/04/2024- Encaminhado ao setor de compras para instrução                                                                                                                                                        09/07/2024 - Encaminhado ao Centro de Licitações via SESP/APC                                                                                                       04/09/2024 - Com adequações, encaminhado ao GOFS para atualizações financeiras , sugerindo encaminhamento ao setor de licitações/SESP</t>
  </si>
  <si>
    <t>TALVEZ - EM PROCESSO LICITATORIO</t>
  </si>
  <si>
    <t>21.980.848-8</t>
  </si>
  <si>
    <t>Solicita aquisição de SSDs NVMe e memórias RAM através do convênio federal 904902-2020</t>
  </si>
  <si>
    <t>Visconde de Guarapuava</t>
  </si>
  <si>
    <t>Seção de Computação Forense</t>
  </si>
  <si>
    <t>R$ 140.559,80</t>
  </si>
  <si>
    <t>Cristiano de Mello Murbach</t>
  </si>
  <si>
    <t>Fabio Ogassawara</t>
  </si>
  <si>
    <t>22/04/2024 - Encaminhado para PCP/DA/DIV para análise e manifestação 21/06/2024- Encaminhado para a origem para adequações                                                                                                                                                  11/07/2024 - Encaminhado para SESP/NSF via SESP/APC para atualização das informações orçamentárias                                                                                                        17/09/2024 - Restituído PCP/CWB/VISC/COMP para adequações</t>
  </si>
  <si>
    <t>TALVEZ - Certame | PE 90981-24 | Abertura (em 25/11/2024)</t>
  </si>
  <si>
    <t>22.035.907-7</t>
  </si>
  <si>
    <t>Licitação - Aquisição através de procedimento licitatório, de maletas de exames periciais em local de crime do tipo 2, em atendimento a Seção de Localística da Polícia Científica do Paraná, conforme convênio Federal No 936068/2022</t>
  </si>
  <si>
    <t>Campo Mourão, Curitiba, Londrina, Maringá, Umuarama</t>
  </si>
  <si>
    <t>R$ 126.300,00</t>
  </si>
  <si>
    <t>23/04/2024 - Encaminhado para PCP/DA/DIV para análise e manifestação                                                                                                                                                                                                             13/05/2024 - Encaminhado via SESP/APC para continuação da tramitação                                                                                                                                                                                     12/07/2024 - Encaminhado para Centro de Licitações via SESP/APC para continuação da tramitação                                                                               23/09/2024 - Encaminhado para Centro de Licitações via SESP/APC para continuação da tramitação</t>
  </si>
  <si>
    <t>TALVEZ -  	CERTAME | PE90924-24 | PUBLICADO (ABERTURA 07/11) | MALETAS LOCAL CRIME CONV.FED no 936068/2022.</t>
  </si>
  <si>
    <t>22.072.433-6</t>
  </si>
  <si>
    <t>Descumprimento da Empresa LEVEL FARMACÊUTICA LTDA do Contrato n0027/2024, GMS n0562/2024, referente a entrega de Luvas e Mangote Plástico em atendimento as necessidades da Polícia Científica do Paraná</t>
  </si>
  <si>
    <t>R$ 0,00</t>
  </si>
  <si>
    <t>N/A</t>
  </si>
  <si>
    <t>CGE/CCOR</t>
  </si>
  <si>
    <t>25/04/2024 - Encaminhado a DIV para gestões do processo</t>
  </si>
  <si>
    <t>22.086.646-7</t>
  </si>
  <si>
    <t>SRP - Aquisição através do Registro de Preço do PE 467/2023, objetivando aquisição de Copo Descartável para suprir a demanda da Polícia Científica do Paraná. VALIDADE DA ATA: 08/04/2025</t>
  </si>
  <si>
    <t>R$ 9.901,23</t>
  </si>
  <si>
    <t>29/04/2024 - Encaminhado a PCP/DIV para análise e manifestação20/05/2024- Notas de Empenho assinadas 05/05/2024- Materiais entregues10/06/2024- Encaminhado para liquidação e pagamento</t>
  </si>
  <si>
    <t>22.093.650-3</t>
  </si>
  <si>
    <t>SRP - Aquisição através do Registro de Preço do PE 1086/2022, objetivando aquisição de Máscara e Avental para suprir a demanda da Polícia Científica do Paraná. VALIDADE DA ATA: 10/05/2024</t>
  </si>
  <si>
    <t>R$ 10.608,75</t>
  </si>
  <si>
    <t>30/04/2024 - Encaminhado a PCP/DIV para análise e manifestação                                                                                02/05/2024- Encaminhado ao GAOFS para providencias10/05/2024- Notas de Empenho assinadas***Protocolo arquivado devido as empresas não aceitarem ter recebido posteriormente</t>
  </si>
  <si>
    <t>22.144.943-6</t>
  </si>
  <si>
    <t>SRP - Aquisição através do Registro de Preço do PE 1355/2022, objetivando aquisição de Licença de Software AutoCAD e Adobe Creative Cloud (CC) para suprir a demanda da Polícia Científica do Paraná. VALIDADE DA ATA: 05/07/2024</t>
  </si>
  <si>
    <t>Rodrigo Bianchini/ Amanda</t>
  </si>
  <si>
    <t>Curitiba</t>
  </si>
  <si>
    <t>R$ 157.948,09</t>
  </si>
  <si>
    <t>10/05/2024 - Encaminhado a PCP/DIV para análise e manifestação21/06/2024- Encaminhado à SESP/DEST/SC para providências 09/07/2024- Encaminhado ao GAOFS para inserção de nota de empenho09/07/2024- Material entregue</t>
  </si>
  <si>
    <t>22.101.782-0</t>
  </si>
  <si>
    <t>EMERGENCIAL LUVAS - Compra emergencial para aquisição de Luvas de Látex e Luvas Nitrílicas.</t>
  </si>
  <si>
    <t>R$ 44.828,00</t>
  </si>
  <si>
    <t>Maurício Catitas de Sousa,</t>
  </si>
  <si>
    <t>10/05/2024 - Encaminhado a PCP/DIV para análise e encaminhamento à casa civil para autorização de processo emergencial20/06/2024- Encaminhado à SESP/APC para continuidade na tramitação</t>
  </si>
  <si>
    <t>22.098.366-8</t>
  </si>
  <si>
    <t>Solicita a instauração de processo de licitação para aquisição de duas unidades de Sistema de Cromatografia Líquida Acoplado a Espectrômetro de Massas Sequencial (LC-MS/MS) tipo Triplo Quadrupolo, visando atender as necessidades da Seção de Toxicologia Forense da Polícia Científica do Paraná.</t>
  </si>
  <si>
    <t>Jefté Teixeira da Silva</t>
  </si>
  <si>
    <t>R$ 5.298.170,16</t>
  </si>
  <si>
    <t>Alessandra Rodrigues de Araújo</t>
  </si>
  <si>
    <t>20/05/2024- Encaminhado à SESP/DEST para ciência e providências 11/07/2024 - tRAMITA O PROTOCOLO 22.385.321-8 que instrui a compra de 3 equipamentos semelhantes ao deste processo</t>
  </si>
  <si>
    <t>22.200.885-9</t>
  </si>
  <si>
    <t>Abertura de dispensa de licitação, visando a aquisição de Papel Sulfite A4, a fim de atender a demanda do Órgão da Polícia Científica do Paraná.</t>
  </si>
  <si>
    <t>R$ 40.320,00</t>
  </si>
  <si>
    <t>23/05/2024 - Encaminhado a PCP/DIV para análise e manifestação</t>
  </si>
  <si>
    <t>22.221.397-5</t>
  </si>
  <si>
    <t>Aquisição, através de dispensa de licitação, de Algodão, Esparadrapo e Fio para Costura de Couro, nas quantidades e exigências estabelecidas neste instrumento, visando atender a Polícia Científica do Paraná.</t>
  </si>
  <si>
    <t>R$ 5.204,53</t>
  </si>
  <si>
    <t>Rafaela Rossi Marques</t>
  </si>
  <si>
    <t>10/06/2024- Encaminhado ao GAOFS para informação orçamentária                                                                                                                       05/07/2024 Encaminhado a SESP/COMPRAS para a continuação da tramitação                                                                                                                                        07/08/2024 - Com o processo de dispensa eletrônica finalizado, enviado ao setor SESP/COMP para adjudicação/homologação.18/09/2024- Material entregue</t>
  </si>
  <si>
    <t>UETC Ponta Grossa</t>
  </si>
  <si>
    <t>R$ 697.746,00</t>
  </si>
  <si>
    <t>Izabelle Engels</t>
  </si>
  <si>
    <t>27/05/2024 - Encaminhado a PCP/DIV para análise e manifestação                                                                                                 07/08/2024 - Após adequações exigidas pela PGE , encaminhado a SESP/NFS/OR via SESP/APC                                                                                           21/08/2024 - Com adequações encaminhado ao setor de licitações via SESP/APC</t>
  </si>
  <si>
    <t>talvez - Certame | PE90681-24 | ANÁLISE PROPOSTA (06/10/24) | Mesas de necropsia - PCP</t>
  </si>
  <si>
    <t>22.232.865-9</t>
  </si>
  <si>
    <t>Aquisição, através de dispensa de licitação, de Swab de Algodão e Haste Plástica, nas quantidades e exigências estabelecidas neste instrumento, visando atender a Polícia Científica do Paraná.</t>
  </si>
  <si>
    <t>Rodrigo Bianchini / Raphael</t>
  </si>
  <si>
    <t>R$ 8.260,40</t>
  </si>
  <si>
    <t>10/06/2024- Encaminhado ao GAOFS para informação orçamentária                                                                                                                                    09/10/2024- Finalizada a etapa de disputa eletrônica encaminhado ao setor de compras para adjudicação e Homologação</t>
  </si>
  <si>
    <t>22.241.998-0</t>
  </si>
  <si>
    <t>SRP - Contratação através do Registro de Preço do PE 428/2023, de aquisição de Luvas Nitrílicas e Latex para atender as unidades da Polícia Científica do Paraná. VALIDADE DA ATA: 20/03/2025</t>
  </si>
  <si>
    <t>R$ 74.694,00</t>
  </si>
  <si>
    <t>03/06/2024 - Encaminhado a PCP/DIV para análise e manifestação26/06/2024- Encaminhado ao almoxarifado para acompanhamento da entrega18/07/2024- Material entregue</t>
  </si>
  <si>
    <t>22.242.905-6</t>
  </si>
  <si>
    <t>SRP - Contratação através do Registro de Preço do PE 116/2024, de Prestação de Serviços de Locação de Equipamento de Reprografia para atender as unidades da Polícia Científica do Paraná. VALIDADE DA ATA: 19/05/2025</t>
  </si>
  <si>
    <t>R$ 5.826,68</t>
  </si>
  <si>
    <t>PCP/DA/GAA/CONTRATOS</t>
  </si>
  <si>
    <t>SEÇÃO DE GENÉTICA MOLECULAR FORENSE</t>
  </si>
  <si>
    <t>R$ 642.413,00</t>
  </si>
  <si>
    <t>Marianna Maia Taulois do Rosário</t>
  </si>
  <si>
    <t>PGE - PGE/PRC</t>
  </si>
  <si>
    <t>Provavelmente não</t>
  </si>
  <si>
    <t>20.054.891-4</t>
  </si>
  <si>
    <t>Aquisição através de licitação de 02 Sistemas de Purificação de Água Ultrapura</t>
  </si>
  <si>
    <t>TARUMÃ - LABORATÓRIOS FORENSES</t>
  </si>
  <si>
    <t>R$ 359.233,96</t>
  </si>
  <si>
    <t>TRAMITANDO - Licitação em 24/11/2023</t>
  </si>
  <si>
    <t>17/02/2023 - Instrução processual Setor de Compras                                                                                              03/05/2023 - Encaminhado ao SESP/APC para continuação da tramitação                                                    22/05/2023 - Encaminhado ao SESP/APC para continuação da tramitação                                                                                                             02/08/2023 - Encaminhado ao SESP/APC para continuação da tramitação                                                     30/08/2023 - PCP/GAA/COMPRAS para adequações.                                                                                                                                                             21/09/2023 - Encaminhado ao SESP/APC para continuação da tramitação                                                     11/10/2023 - Devolvido ao setor jurídico via APC                       05/12/2023 - No setor de licitações em fase de documentação                                           07/03/2024- Nota de reserva assinada 11/04/2024- Encaminhado a PCP/DA/GAA/CONTRATOS para apreciação23/05/2024- Empenho assinado e aprovado</t>
  </si>
  <si>
    <t>R$ 75.039,40</t>
  </si>
  <si>
    <t>Edilson Massao Miaqui</t>
  </si>
  <si>
    <t>Simone Silva de Queiroz</t>
  </si>
  <si>
    <t>SESP/SC</t>
  </si>
  <si>
    <t>21/06/2024 - Encaminhado para PCP/DA/DIV para análise e manifestação 16/07/2024- Encaminhado à origem para adequações                                                                                                 29/07/2024 - Encaminhado a SESP/SL via SESP/APC para continuação da tramitação                                                                                                      24/09/2024 - Encaminhado à origem para adequações                                                                                                                         16/10/2024 - Encaminhado a SESP/SL via SESP/APC para continuação da tramitação                                                                                                          03/02/2025 - Encaminhado para SESP/SC com o contrato assinado pela parte da empresa, encaminhado para demais providências</t>
  </si>
  <si>
    <t>talvez - Certame | PE91024-24 | Publicado (Abertura 27/11/2024)| Cofres - PCP | (P.7) Aquisição de Cofres para atender a demanda de todas as unidades da Polícia Científica do Paraná.</t>
  </si>
  <si>
    <t>21.813.909-4</t>
  </si>
  <si>
    <t>Dispensa de Licitação de Contratação de Prestação de Serviço de Dosimetria para atendimento das necessidades da unidade do Tarumã</t>
  </si>
  <si>
    <t>TARUMÃ</t>
  </si>
  <si>
    <t>R$ 6.296,40</t>
  </si>
  <si>
    <t>11/06/2024 - Encaminhado para DIV para análise e manifestação                                                                                          27/06/2024 - Encaminhado para SESP/COMPRAS para continuação da tramitação                                                                           29/07/2024 - Encaminhado para DIV para ciência e gestões                                                                                                                    16/08/2024 - Encaminhado para SESP/APC para continuação da tramitação                                                                                            06/09/2024 - Encaminhado para o Divisional sugerindo encaminhamento a SESP/APC para gestões</t>
  </si>
  <si>
    <t>talvez - Em instrução dispensa não eletronica</t>
  </si>
  <si>
    <t>21.912.291-8</t>
  </si>
  <si>
    <t>Solicitação de aquisição de lacres plásticos para identificação de cadáveres.  DISPENSA ELETRÔNICA</t>
  </si>
  <si>
    <t>R$ 13.440,00</t>
  </si>
  <si>
    <t>20/06/2024 - Encaminhado para PCP/DA/DIV para análise e manifestação                                                                                              15/07/2024 - Encaminhamos ao SESP/NFS via SESP/APC para continuação da tramitação</t>
  </si>
  <si>
    <t>22.216.342-0</t>
  </si>
  <si>
    <t>Agua Mineral Telemaco Borba</t>
  </si>
  <si>
    <t>TELÊMACO BORBA</t>
  </si>
  <si>
    <t>UETC TELÊMACO BORBA</t>
  </si>
  <si>
    <t>R$ 2.772,00</t>
  </si>
  <si>
    <t>PCP/TB/CHEFIA</t>
  </si>
  <si>
    <t>11/07/2024 - Encaminhado para PCP/DA/DIV para análise e manifestação                                                                                                                                     31/07/2024 - Encaminhado para PCP/DA/GAOFS para emissão do empenho                                                                                                                            02/08/2024 - Encaminhado para SESP/APC para continuação da tramitação</t>
  </si>
  <si>
    <t>21.847.127-7</t>
  </si>
  <si>
    <t>Solicitação de aquisição de etiquetas e ribbons para os laboratórios de Curitiba.</t>
  </si>
  <si>
    <t>R$ 16.106,27</t>
  </si>
  <si>
    <t>22.257.594-0</t>
  </si>
  <si>
    <t>SOLICITAÇÃO PARA AQUISIÇÃO DE GASES ESPECIAIS (AR SINTÉTICO E GÁS HÉLIO), VIA PREGÃO ELETRÔNICO 15/2023/UNILA - LOTES 01 E 04, RESPECTIVAMENTE - NA MODALIDADE ADESÃO/CARONA, VALIDADE DA ATA 07/11/2024, ENTREGA ÚNICA, PARA SUPRIR A DEMANDA DOS LABORATÓRIOS FORENSES DA POLÍCIA CIENTÍFICA DO PARANÁ - UNIDADE TARUMÃ - CURITIBA.</t>
  </si>
  <si>
    <t>R$ 20.595,00</t>
  </si>
  <si>
    <t>23/07/2024- Aguardando entrega</t>
  </si>
  <si>
    <t>22.140.865-9</t>
  </si>
  <si>
    <t>Aquisição através de dispensa de licitação do serviço de CALIBRAÇÃO DOS EQUIPAMENTOS DO LIM.</t>
  </si>
  <si>
    <t>ACADEMIA FORENSE</t>
  </si>
  <si>
    <t>R$ 7.072,04</t>
  </si>
  <si>
    <t>SOBRESTADO</t>
  </si>
  <si>
    <t>Emilio Merino de Paz Junior</t>
  </si>
  <si>
    <t>13/06/2024 - Devolvido a pedido da unidade. Sobrestado la</t>
  </si>
  <si>
    <t>22.295.731-1</t>
  </si>
  <si>
    <t>Licitação - Abertura de procedimento Licitatório, visando a aquisição de um Microscópio Eletrônico de Varredura para o Laboratório de Inovação e Metrologia (LIM).</t>
  </si>
  <si>
    <t>R$ 2.255.586,19</t>
  </si>
  <si>
    <t>20/06/2024 - Encaminhado PCP/DA/DIV para analise e manifestação</t>
  </si>
  <si>
    <t>Talvez - No setor de licitação</t>
  </si>
  <si>
    <t>22.291.999-1</t>
  </si>
  <si>
    <t>INSTRUÇÃO DE COMPRA REFERENTE ÀS CADEIRAS GINECOLÓGICAS ELETRICAS - NOVA UETC PONTA GROSSA</t>
  </si>
  <si>
    <t>PONTA GROSSA</t>
  </si>
  <si>
    <t>UETC PONTA GROSSA</t>
  </si>
  <si>
    <t>R$ 42.054,58</t>
  </si>
  <si>
    <t>02/07/2024 - Encaminhado PCP/DA/DIV para analise e manifestação                                                                                                                 03/09/2024 - Encaminhado para SESP/COMPRAS para continuação da tramitação                                                                                                                                                           10/10/2024 - Encaminhado para SESP/COMPRAS para continuação da tramitação                                                                                                                                                                                                                                                                                17/10/2024 - Encaminhado para SESP/CONTRATOS para continuação da tramitação</t>
  </si>
  <si>
    <t>21.728.751-0</t>
  </si>
  <si>
    <t>AQUISIÇÃO, ATRAVÉS DE INEXIGIBILIDADE DE LICITAÇÃO, DE ESPECTRÔMETRO DE FLUORESCÊNCIA DE RAIOS X (XRF) PORTÁTIL S1 TITAN (BRUKER), A FIM DE ATENDER A DEMANDA DA SEÇÃO DE CRIMES AMBIENTAIS DA POLÍCIA CIENTÍFICA DO PARANÁ</t>
  </si>
  <si>
    <t>Angela Andreassa</t>
  </si>
  <si>
    <t>Seção de Crimes Ambientais</t>
  </si>
  <si>
    <t>R$ 465.430,04</t>
  </si>
  <si>
    <t>Denise Maria Gineste</t>
  </si>
  <si>
    <t>SESP/NFS/LIQSEM</t>
  </si>
  <si>
    <t>19/07/2024 - Encaminhado PCP/DIR/DIRADM para analise e manifestação                                                                 06/09/2024 - Encaminhado a origem para adequações                                                                                                                        11/09/2024 - Encaminhado para o SESP/CONTRATOS via SESP/APC para continuação da tramitação                                                                                                                                                                                              12/09/2024 - Após a certificação solicitada, encaminhe-se ao SESP/CONTRATOS para continuação da tramitação.</t>
  </si>
  <si>
    <t>R$ 1.436.816,34</t>
  </si>
  <si>
    <t>30/09/2024 - Com adequações encaminhado ao financeiro para informações, sugerindo encaminhamento ao setor de compras SESP</t>
  </si>
  <si>
    <t>dificilmente - em analise na PGE da minuta do edital</t>
  </si>
  <si>
    <t>22.447.757-0</t>
  </si>
  <si>
    <t>Licitação, Abertura de procedimento Licitatório, visando a aquisição de STUBS, FITAS DE CARBONO E EMBALAGENS para coleta de resíduos de disparo de arma de fogo, a fim de atender a demanda da Polícia Científica do Paraná.</t>
  </si>
  <si>
    <t>R$ 66.201,50</t>
  </si>
  <si>
    <t>16/07/2024 - Encaminhado para análise e manifestação</t>
  </si>
  <si>
    <t>talvez -          Certame | PE91285/2024 | Publicado (06/11/2024)</t>
  </si>
  <si>
    <t>R$ 8.432.255,91</t>
  </si>
  <si>
    <t>16/07/2024 - Encaminhado para análise e manifestação                                                          17/09/2024 - Devolvido a origem para adequações sugeridas pela PGE</t>
  </si>
  <si>
    <t>provavelmente - Certame | PE91153-24 | HABILITAÇÃO (ATÉ 12/11/2024) | CROMATÓGRAFO LC MS/MS - PCP</t>
  </si>
  <si>
    <t>22.414.628-0</t>
  </si>
  <si>
    <t>FUNSUSP - Aquisição de Equipamentos de processamento e de armazenamento de vestígios digitais via ATA de Registro de Preços 999/2023 (validade 23/06/2025)</t>
  </si>
  <si>
    <t>R$ 1.193.620,00</t>
  </si>
  <si>
    <t>19/09/2024- Empenho assinado25/09/2024- Encaminhado para acompanhamento da entrega</t>
  </si>
  <si>
    <t>22.214.059-5</t>
  </si>
  <si>
    <t>Licitação para aquisição de uniformes operacionais para a Operação Verão 2024/2025 a fim de atender a demanda da Polícia Científica do Paraná.</t>
  </si>
  <si>
    <t>Paranaguá e Matinhos</t>
  </si>
  <si>
    <t>R$ 105.584,40</t>
  </si>
  <si>
    <t>21/08/2024 - Com adequações enviado ao financeiro para ações que o caso requer.</t>
  </si>
  <si>
    <t>Provavelmente -  	Certame| PE 91181 | Publicado 06.11 | UNIFORMES OP. VERÃO - PCP | 9h30</t>
  </si>
  <si>
    <t>22.474.402-1</t>
  </si>
  <si>
    <t>Aquisição de um Scanner Tridimensional de Ambiente por meio de adesão à Ata de Registro de Preços PE n 92/2023 da Polícia Científica de Santa Catarina, para suprir a demanda da Polícia Científica do Paraná.</t>
  </si>
  <si>
    <t>Campo Mourão</t>
  </si>
  <si>
    <t>R$309.000,00</t>
  </si>
  <si>
    <t>Carlos Alberto Bambini Junior</t>
  </si>
  <si>
    <t>Leonardo Rodrigues da Silva</t>
  </si>
  <si>
    <t>PCP/CM/CHEFIA</t>
  </si>
  <si>
    <t>17/07/2024- Encaminhado à Direção Administrativa para solicitação da carona à Polícia Científica de SC.                                                                                                                                                                                                                      07/11/2024 - Encaminhado para SESP/COMPRAS para continuação da tramitação                                                                                                                                13/12/2024 - Encaminhado para AT/SESP via SESP/APC para continuação da tramitação                                                                                              31/01/2025 - Contrato e Empenho enviado ao Fornecedor para entrega do bem, protocolo enviado ao Gestor do contrato para aguardar equipamento.</t>
  </si>
  <si>
    <t>Provavelmente - processo instruído</t>
  </si>
  <si>
    <t>19.723.342-7</t>
  </si>
  <si>
    <t>Aquisição de Estação Forense de alto desempenho para processamento de vestígios digitais, com Adesão a Ata de Registro de Preços - Convênio FIA/SEJUF - Projeto "Combate à Pandemia de Cyberpornografia - Fim da Impunidade!"</t>
  </si>
  <si>
    <t>R$2.008.860,00</t>
  </si>
  <si>
    <t>29/07/2024 - Com informação ref. a vantajosidade, restituido SESP/DEST/SC</t>
  </si>
  <si>
    <t>???</t>
  </si>
  <si>
    <t>22.454.265-8</t>
  </si>
  <si>
    <t>Aquisição de Estações Forenses de alto desempenho para processamento de vestígios digitais via Adesão à ATA de Registro de Preços - TED 001/2024 (LOTTOPAR)</t>
  </si>
  <si>
    <t>R$ 382.640,00</t>
  </si>
  <si>
    <t>19/09/2024- Empenho assinado</t>
  </si>
  <si>
    <t>GAA</t>
  </si>
  <si>
    <t>Química Forense</t>
  </si>
  <si>
    <t>R$ 5.922.423,12</t>
  </si>
  <si>
    <t>LUIS HENRIQUE SOARES</t>
  </si>
  <si>
    <t>RONALD SILVA SZAFIRSKI</t>
  </si>
  <si>
    <t>PCP/CWB/TAR - PCP/CWB/TAR/TOX</t>
  </si>
  <si>
    <t>06/09/2024 - Encaminhado para origem para adequações                                                                    20/09/2024 - Com adequações reenviado Setor de Licitações via APC</t>
  </si>
  <si>
    <t>talvez - Tem parecer da PGE da minuta do edital. Esta no taruma para adequções</t>
  </si>
  <si>
    <t>22.114.799-5</t>
  </si>
  <si>
    <t>aquisição de  Espectrômetro RAMAN Portátil</t>
  </si>
  <si>
    <t>Operação Verão</t>
  </si>
  <si>
    <t>R$ 324.802,68</t>
  </si>
  <si>
    <t>LEONEL LETNAR JUNIOR</t>
  </si>
  <si>
    <t>MARCIO ALEXANDRE TAVARES</t>
  </si>
  <si>
    <t>PCP/DO/SEC</t>
  </si>
  <si>
    <t>20/08/2024 - Encaminhado para a origem para adequações                                                                                                                            27/08/2024 - Encaminhado a SESP/SL via SESP/APC para continuação da tramitação                                                                                                         04/10/2024 - com adequações  Encaminhado a SESP/SL via SESP/APC para continuação da tramitação                                                                                                                                       04/02/2025 - Encaminhado para o Gestor do contrato para acompanhamento da entrega dos itens</t>
  </si>
  <si>
    <t>talvez - Certame | PE91299-24 | Publicado 07.11 | ESPECTRÔMETRO RAMAN PORTÁTIL - PCP | 9h30</t>
  </si>
  <si>
    <t>R$ 7.879.099,67</t>
  </si>
  <si>
    <t>Agro Forense</t>
  </si>
  <si>
    <t>22/07/2024 - Encaminhado para análise e manifestação                                                                                                                         18/09/2024 - Encaminhado para o Centro de Licitações SESP via SESP/APC para continuação da tramitação</t>
  </si>
  <si>
    <t>Tem parecer da PGE. na origem para adequações</t>
  </si>
  <si>
    <t>22.497.064-1</t>
  </si>
  <si>
    <t>SRP - Contratação através do Registro de Preço do PE 33/2024, de aquisição de Papel Sulfite A4 para atender demanda das unidades da Polícia Científica do Paraná. VALIDADE DA ATA: 18/07/2025</t>
  </si>
  <si>
    <t>R$ 29.205,00</t>
  </si>
  <si>
    <t>24/07/2024 - Encaminhado para análise e manifestação</t>
  </si>
  <si>
    <t>PCP/CWB/TAR/GENT</t>
  </si>
  <si>
    <t>GENÉTICA MOLECULAR</t>
  </si>
  <si>
    <t>CONVÊNIO 919141/2021 PLATAFORMA + BRASIL</t>
  </si>
  <si>
    <t>ENVIADO A ORIGEM PARA ADEQUAÇÕES</t>
  </si>
  <si>
    <t>PEDRO HENRIQUE CANEZIN</t>
  </si>
  <si>
    <t>MARIANA MAIA TAULOIS DO ROSÁRIO</t>
  </si>
  <si>
    <t>23/07/2024 - ENVIADO PARA PCP/CWB/TAR/GENET PARA ADEQUAÇÕES                                                                          30/07/2024 - Com adequações restituido ao setor de licitações via APC</t>
  </si>
  <si>
    <t>está na PGE</t>
  </si>
  <si>
    <t>22.472.929-4</t>
  </si>
  <si>
    <t>Solicita abertura de procedimento licitatório - dispensa de licitação - a fim de contratar empresa para sondagem de terreno que será construída a sede da UETC de Foz do Iguaçu. DISPENSA ELETRÔNICA</t>
  </si>
  <si>
    <t>FOZ DO IGUAÇU</t>
  </si>
  <si>
    <t>UETC FOZ DO IGUAÇU</t>
  </si>
  <si>
    <t>R$ 6.516,54</t>
  </si>
  <si>
    <t>Luis Henrique Soares</t>
  </si>
  <si>
    <t>Ricardo Langwinski</t>
  </si>
  <si>
    <t>PCP/FOZ/CHEFIA</t>
  </si>
  <si>
    <t>27/08/2024 - Encaminhado para ciência e manifestação</t>
  </si>
  <si>
    <t>22.469.724-4</t>
  </si>
  <si>
    <t>Solicitação de abertura de procedimento licitatório, visando a contratação de empresa especializada na prestação de serviços de locação de veículos adaptados para transporte de cadáveres (sem locação de mão de obra), visando atender a demanda de todas as unidades da Polícia Científica do Paraná - Rabecão</t>
  </si>
  <si>
    <t>Todas as Unidades da PCP</t>
  </si>
  <si>
    <t>R$ 8.845.200,00</t>
  </si>
  <si>
    <t>Phillipe Alicio de Carvalho</t>
  </si>
  <si>
    <t>Alessandro Burko</t>
  </si>
  <si>
    <t>SEAP/DECON/SU</t>
  </si>
  <si>
    <t>24/07/2024 - Encaminhado para análise e manifestação                                                                   09/09/2024 - Com adequações, encaminhado SESP/APC para ações que o caso requer.</t>
  </si>
  <si>
    <t>no decon para licitar</t>
  </si>
  <si>
    <t>22.075.210-0</t>
  </si>
  <si>
    <t>Solicitação de compra de armários roupeiros para armas longas.</t>
  </si>
  <si>
    <t>CUSTÓDIA</t>
  </si>
  <si>
    <t>R$ 151.123,50</t>
  </si>
  <si>
    <t>Lennon Biancato Ruhnke</t>
  </si>
  <si>
    <t>30/07/2024 - Encaminhado para SESP/SL via SESP/APC para continuação da tramitação</t>
  </si>
  <si>
    <t>PROVAVELMENTE - Certame| PE 91228 | Publicado 21.11 | Armários PCP 9H30</t>
  </si>
  <si>
    <t>22.528.716-3</t>
  </si>
  <si>
    <t>SRP - Contratação através do Registro de Preço do PE 1003/2023, de aquisição de Café Torrado e Moído para atender demanda das unidades da Polícia Científica do Paraná. VALIDADE DA ATA: 28/07/2025</t>
  </si>
  <si>
    <t>R$ 35.409,00</t>
  </si>
  <si>
    <t>24/07/2024 - Encaminhado para a PCP/DA/DIV análise e manifestação 02/09/2024- Aguardando entrega</t>
  </si>
  <si>
    <t>22.577.394-7</t>
  </si>
  <si>
    <t>SRP - Aquisição através do Registro de Preço do PE 352/2024, de Materiais Diversos de Laboratório para atender a unidade da Polícia Científica do Paraná. VALIDADE DA ATA: 28/07/2025</t>
  </si>
  <si>
    <t>R$ 3.737,30</t>
  </si>
  <si>
    <t>09/08/2024 - Encaminhado para a PCP/DA/DIV análise e manifestação04/09/2024- Notas de empenho inseridas                                                                                               05/12/2024 - UETC Tarumã realizou a abertura de protocolo para cada empresa referente ao pagamento das NF's, desta forma, arquivamos o protocolado.</t>
  </si>
  <si>
    <t>22.342.626-3</t>
  </si>
  <si>
    <t>Aquisição de microscópios comparadores balísticos para a Polícia Científica do Paraná - Inexigibilidade de Licitação</t>
  </si>
  <si>
    <t>R$3.510.000,00</t>
  </si>
  <si>
    <t>12/08/2024 - Com alterações exigidas protocolo encaminhado à SESP/COMP para continuidade de tramitação                                                                                                                                   05/09/2024 - Com alterações exigidas protocolo encaminhado à SESP/COMP para continuidade de tramitação                                                                                                07/10/2024 - Encaminhado para SESP/COMPRAS para continuação da tramitação</t>
  </si>
  <si>
    <t>22.538.812-1</t>
  </si>
  <si>
    <t>Adesão a ATA Federal de Registro de Preços - PE n 0023/2024 - UASG 200109 - Polícia Rodoviária Federal - PRF, item 5, para suprir a demanda da da Polícia Científica do Paraná. VIATURA CANINA CAMIONETA 4X4 CARACTERIZADA PARA CANINOS</t>
  </si>
  <si>
    <t>PCP/CWB/TAR</t>
  </si>
  <si>
    <t>R$ 312.990,00</t>
  </si>
  <si>
    <t>SRP FEDERAL</t>
  </si>
  <si>
    <t>Viviane Paola Zibe e Piegel</t>
  </si>
  <si>
    <t>AT/SESP</t>
  </si>
  <si>
    <t>09/08/2024 - Restituído a origem para adequações necessárias                                                                                    18/10/2024 - Encaminhado para SESP/DEST/SC para continuação da tramitação                                                                                                           26/11/2024 - Encaminhado para o SESP/COMPRAS para continuação da tramitação                                                                                          10/12/2024 - Encaminhado para AT/SESP via SESP/APC para continuação da tramitação</t>
  </si>
  <si>
    <t>TALVEZ - FALTAM ALGUNS DETALHES</t>
  </si>
  <si>
    <t>22.564.762-3</t>
  </si>
  <si>
    <t>Solicita-se a aquisição de lacres para cadáveres.</t>
  </si>
  <si>
    <t>Beatriz</t>
  </si>
  <si>
    <t>DCV</t>
  </si>
  <si>
    <t>R$ 13.340,00</t>
  </si>
  <si>
    <t>13/12/2024 - Encaminhado para SESP/DEST/SC para continuação da tramitação</t>
  </si>
  <si>
    <t>SIM - DISPENSA HOMOLOGADA</t>
  </si>
  <si>
    <t>22.598.491-3</t>
  </si>
  <si>
    <t>SRP - Aquisição através do Registro de Preço do PE 22/2023, de Água Mineral para atender a unidade da Polícia Científica do Paraná. VALIDADE DA ATA: 19/09/2024</t>
  </si>
  <si>
    <t>União da Vitória, Maringá, Apucarana e Litoral para Operação Verão 2024/2025</t>
  </si>
  <si>
    <t>R$ 7.116,20</t>
  </si>
  <si>
    <t>14/08/2024 - Encaminhado para a PCP/DA/DIV análise e manifestação 16/09/2024- Aguardando entrega</t>
  </si>
  <si>
    <t>22.515.476-7</t>
  </si>
  <si>
    <t>Solicita-se a abertura de processo licitatório para aquisição de envelopes de segurança, lacres e sacos mortuários.</t>
  </si>
  <si>
    <t>Beatriz/Raphael</t>
  </si>
  <si>
    <t>R$ 4.615.146,00</t>
  </si>
  <si>
    <t>20/09/2024 - Com check list enviado via APC para setor de licitações</t>
  </si>
  <si>
    <t>TALVEZ- FOI AUTORIZADA EM 1/11 A LICITAÇÃO</t>
  </si>
  <si>
    <t>2 Sistemas de Cromatografia Iônica para análise simultânea de ânions e cátions com detectores por condutividade</t>
  </si>
  <si>
    <t>TarumãFoz do Iguaçu</t>
  </si>
  <si>
    <t>R$ 2.953.164,86</t>
  </si>
  <si>
    <t>21/08/2024 - Encaminhado para o Chefe Divisional Administrativo para ciência e manifestação                                                                                                                                17/09/2024 - Restituído à PCP/CWB/TAR/QUIM para adequações29/04/2025 - Contrato Cadastrado no GMS</t>
  </si>
  <si>
    <t>21.155.550-5</t>
  </si>
  <si>
    <t>SRP Material de Limpeza PE 1181/2022 - Aquisição através do Registro de Preço do PE 1181/2022, de Materiais de Limpeza (rodo, pano de limpeza e flanela) para atender a demanda da unidade da Polícia Científica do Paraná</t>
  </si>
  <si>
    <t>R$ 1.332,10</t>
  </si>
  <si>
    <t>Não se Aplica</t>
  </si>
  <si>
    <t>10/10/2023 - Encaminhado ao Chefe da Divisão Administrativa para análise e aprovação 06/11/2023 - Encaminhamos o processo ao Setor Almoxarifado para aguardo daentrega e recebimento dos materiais a serem adquiridos.17/05/2024- Materiais entregues</t>
  </si>
  <si>
    <t>22.475.109-5</t>
  </si>
  <si>
    <t>Aquisição de Padrões analíticos, via pregão eletrônico 109/2023 da Polícia Científica de Santa Catarina, na modalidade adesão/carona, validade da ata 04/01/2025, para suprir a demanda dos Laboratórios de Química Forense e Toxicologia Forense da Polícia Científica do Paraná.</t>
  </si>
  <si>
    <t>R$ 88.774,10</t>
  </si>
  <si>
    <t>01/11/2024 - Encaminhado para SESP/DEST/SC para continuação da tramitação                                                                         13/02/2025 - Encamnhado para origem para arquivamento, considerando que a ATA venceu dia 04/01 não tendo tempo hábil para assinatura do contrato pela parte do DG</t>
  </si>
  <si>
    <t>TALVEZ - PROCESSO JA INSTRUÍDO</t>
  </si>
  <si>
    <t>22.652.904-7</t>
  </si>
  <si>
    <t>SRP - Aquisição através do Registro de Preço do PE 25/2023, de Envelope para atender a unidade da Polícia Científica do Paraná. VALIDADE DA ATA: 17/12/2024</t>
  </si>
  <si>
    <t>R$ 139,50</t>
  </si>
  <si>
    <t>16/09/2024- Aguardando entrega                                                                                                                                      02/10/2024 - Encaminhado para almoxarifado para aguardar a entrega dos itens</t>
  </si>
  <si>
    <t>22.641.242-5</t>
  </si>
  <si>
    <t>Aquisição de ferramenta forense de duplicação e recuperação de dados de dispositivos de armazenamento computacional e ferramenta forense de bloqueio de ondas eletromagnéticas através de Termo de Execução Descentralizada - TED no 001/2024 - Lottopar</t>
  </si>
  <si>
    <t>UETC Visconde</t>
  </si>
  <si>
    <t>R$ 1.207.626,59</t>
  </si>
  <si>
    <t>TED Lottopar</t>
  </si>
  <si>
    <t>Gustavo Borelli Bedendo</t>
  </si>
  <si>
    <t>Aline Midori Rodrigues Sato</t>
  </si>
  <si>
    <t>SESP/SC/PUB</t>
  </si>
  <si>
    <t>19/09/2024 - Encaminhado para Chefe Divisional para análise e manifestação                                                                                                                                        27/09/2024 - Encaminhado para SESP/COMPRAS para continuação da tramitação                                                                                                                                                                                    09/10/2024 - Encaminhado SESP/CONTRATOS para continuação da tramitação</t>
  </si>
  <si>
    <t>SIM - JA TEM CONTRATO ASSINADO FALTA SÓ EMPENHO</t>
  </si>
  <si>
    <t>20.705.298-1</t>
  </si>
  <si>
    <t>Licitação de Containers para o Laboratório de Inovação e Metrologia, relativo ao convênio federal 906.311/2020</t>
  </si>
  <si>
    <t>Laboratório de Inovação</t>
  </si>
  <si>
    <t>R$ 74.900,00</t>
  </si>
  <si>
    <t>906.311/2019</t>
  </si>
  <si>
    <t>SESP/DG/NFS/CON</t>
  </si>
  <si>
    <t>04/07/2023 - Por todo o exposto, solicitamos providências para a contratação dos itens relacionados                                                                                                                      30/08/2023 - Processo em tramitação                                                                                                                                                                                  05/09/2023 - Encaminhado ao divisional para análise e providências                                                  31/10/2023 - Encaminhado após adequações ao setor SESP/APC sugerindo envio SESP/SL           13/11/2023 - Enviado SESP/DEST via SESP/APC                                                                                              05/12/2023 - ENVIADO FORA DO PRAZO, AGUARDAR EXERCÍCIO 2024                                                                                              06/12/2023 - DEVOLVIDO A ORIGEM - PCP/ACF/DIR          05/04/2024- Encaminhado à pregoeira para finalização do processo no GMS</t>
  </si>
  <si>
    <t>R$ 4.768.676,76</t>
  </si>
  <si>
    <t>Moro</t>
  </si>
  <si>
    <t>SESP - SESP/COMP/ANALISE</t>
  </si>
  <si>
    <t>TALVEZ - SENDO ANALISADO PELO SETOR DE COMPRAS</t>
  </si>
  <si>
    <t>22.665.289-2</t>
  </si>
  <si>
    <t>SRP 30/2023 – MATERIAIS DE ESCRITÓRIO - Cola, prancheta, regua, barbante</t>
  </si>
  <si>
    <t>R$ 2.719,62</t>
  </si>
  <si>
    <t>22.074.140-0</t>
  </si>
  <si>
    <t>Dispensa Eletrônica – Contratação de Serviço de Pintura</t>
  </si>
  <si>
    <t>Jacarezinho</t>
  </si>
  <si>
    <t>R$ 55.642,33</t>
  </si>
  <si>
    <t>Evandro Antonio Lara Seabra</t>
  </si>
  <si>
    <t>Christian Patrizi</t>
  </si>
  <si>
    <t>SESP - SESP/APC</t>
  </si>
  <si>
    <t>29/08/2024 - Encaminhado para Chefe Divisional para ciência e manifestação                                                                                                                         18/10/2024 - Encaminhado para SESP/COMPRAS para continuação da tramitação</t>
  </si>
  <si>
    <t>22.690.685-1</t>
  </si>
  <si>
    <t>SRP - Aquisição através do Registro de Preço do PE 639/2023, de Centrífuga e Câmara UV para atender a unidade da Polícia Científica do Paraná. VALIDADE DA ATA: 13/08/2025</t>
  </si>
  <si>
    <t>Laboratórios Tarumã</t>
  </si>
  <si>
    <t>R$ 11.340,56</t>
  </si>
  <si>
    <t>Gabriela de Moraes Pinto</t>
  </si>
  <si>
    <t>03/09/2024 - Encaminhado para Chefe Divisional para ciência e manifestação</t>
  </si>
  <si>
    <t>faltam orçamentos</t>
  </si>
  <si>
    <t>Tycianne</t>
  </si>
  <si>
    <t>R$ 29.093,95</t>
  </si>
  <si>
    <t>11/09/2024 - Encaminhado para Chefe Divisional para ciência e manifestação                                                                           17/10/2024- Conforme solicitação do setor jurídico, ETP aprovado, restituído ao setor jurídico.                                                                                                                                       27/11/2024 - Encaminhado para SESP/COMPRAS para continuação da tramitação.                                                                                                                       06/12/2024 - Encaminhado para SESP/DEST/SC para elaboração da minuta e continuação da tramitação                                                                                                                                                                                                                            12/12/2024 - Encaminhado para PCP/GAOFS para emissão do empenho para continuação da tramitação.                                                                                                                            07/05/2025 - Encaminhado para SESP/COMPRAS para continuação da tramitação</t>
  </si>
  <si>
    <t>Correndo a dispensa eletrônica - em fase de proposta</t>
  </si>
  <si>
    <t>22.667.287-7</t>
  </si>
  <si>
    <t>Contratação direta por dispensa de processo licitatório para aquisição de seringa para cromatografia gasosa para injeção líquida de amostras para atender a demanda da Seção de Química Forense da Polícia Científica do Paraná.</t>
  </si>
  <si>
    <t>R$ 4.841,28</t>
  </si>
  <si>
    <t>Marina Gomes Sobral Stroski</t>
  </si>
  <si>
    <t>SESP - SESP/COMP</t>
  </si>
  <si>
    <t>13/09/2024 - Encaminhado para Chefe Divisional para ciência e manifestação                                                                                                                     13/11/2024 - Encaminhado para SESP/COMPRAS para analise e continuação da tramitação, visando a adjudicação e homologo</t>
  </si>
  <si>
    <t>Manutenção de Câmaras frigoríficas Mortuarias</t>
  </si>
  <si>
    <t>Não</t>
  </si>
  <si>
    <t>R$ 465.017,40</t>
  </si>
  <si>
    <t>Convênio Plataforma +Brasil número 919141/2021</t>
  </si>
  <si>
    <t>Luciellen D’Avila Giacomel Kobachuk</t>
  </si>
  <si>
    <t>20/09/2024 - Encaminhado para Chefe Divisional para ciência e manifestação                                                                                                                                               19/12/2024 - Encaminhado para unidade demandante para adequações</t>
  </si>
  <si>
    <t>Talvez. está instruido</t>
  </si>
  <si>
    <t>22.739.358-0</t>
  </si>
  <si>
    <t>manutenção corretiva em espectrofotômetro da marca Agilent, modelo Cary 630, utilizado na UETC de Londrina</t>
  </si>
  <si>
    <t>PCP/LDA</t>
  </si>
  <si>
    <t>UETC Londrina</t>
  </si>
  <si>
    <t>R$ 93.154,78</t>
  </si>
  <si>
    <t>PGE - PGE/GAB/CHEF</t>
  </si>
  <si>
    <t>07/10/2024 - Encaminhado para Chefe Divisional para ciência e manifestação                                                                                                   05/11/2024 - Encaminhado para PCP/DA/GAOFS para atualização das informações orçamentárias e para continuação da tramitação</t>
  </si>
  <si>
    <t>em análise na PGE</t>
  </si>
  <si>
    <t>Aquisição de Fuzil por meio de adesão à Ata de Registro de Preços n 05/2023 da Polícia Militar de Minas Gerais, para suprir a demanda da Polícia Científica do Paraná.</t>
  </si>
  <si>
    <t>R$ 40.971,50</t>
  </si>
  <si>
    <t>SESP - SESP/AT/ASS</t>
  </si>
  <si>
    <t>21.036.725-0</t>
  </si>
  <si>
    <t>INSTRUIR PROCESSO DE LICITAÇÃO PARA EXECUÇÃO DE SERVIÇO DE MÃO DE OBRA PARA SUBSTITUIÇÃO DO PISO DA SALA DE NECROPSIA DA UETC DE CASCAVEL E SALA DE NECROPSIA E CORREDOR DE ACESSO DA UETC DE TOLEDO</t>
  </si>
  <si>
    <t>UETC Toledo</t>
  </si>
  <si>
    <t>UETC Toledo e Cascavel</t>
  </si>
  <si>
    <t>R$ 119.779,40</t>
  </si>
  <si>
    <t>EDSON JOVIMIANO DE LIMA</t>
  </si>
  <si>
    <t>JEFFERSON LEITE</t>
  </si>
  <si>
    <t>20/10/2023 - Encaminhado ao Chefe da Divisão Administrativa para análise e aprovação                                                                                                  16/11/2023 - Retorno a origem para adequações                                                                                                                       04/12/2023 - Enviado p/SESP/SL via SESP/APC para continuidade 02/02/2024- Encaminhado ao NFS/OR para assinatura das informações orçamentárias07/04/2024- Encaminhado à PGE/PCO para providências06/05/2024- Encaminhado à Unidade demandante                                                                                                         19/09/2024 - Com adequações sugeridas pela PGE realizadas, encaminhado ao setor de licitações para continuidade</t>
  </si>
  <si>
    <t>talvez - Certame | PE1057-23 | Análise propostas (08/11/24) | Substituição de piso - PCP</t>
  </si>
  <si>
    <t>22.488.230-0</t>
  </si>
  <si>
    <t>Aquisição de novas Licenças do Software Genemapper V. 1.7 para a SGMF. Convênio Fedral 919141/2021</t>
  </si>
  <si>
    <t>R$ 137.822,74</t>
  </si>
  <si>
    <t>23/09/2024 - Encaminhado para análise e manifestação do chefe divisional</t>
  </si>
  <si>
    <t>R$ 28.470,00</t>
  </si>
  <si>
    <t>Sergio Augusto Zanin</t>
  </si>
  <si>
    <t>Jefferson Leite</t>
  </si>
  <si>
    <t>SESP/APC</t>
  </si>
  <si>
    <t>18/11/2024 - Encaminhado para SESP/APC para continuação da tramitação</t>
  </si>
  <si>
    <t>sim - EM INSTRUÇÃO - fALTA UMA JUSTIFICATIVA DA VANTAJOSIDADE ECONOMICA (NÃOÉ ORÇAMENTO)</t>
  </si>
  <si>
    <t>22.690.826-9</t>
  </si>
  <si>
    <t>CONTRATAÇÃO DE SOLUÇÃO TECNOLÓGICA ESPECIALIZADA DE APOIO À COMPUTAÇÃO FORENSE - Serviço de Extração de Dados de Dispositivos móveis</t>
  </si>
  <si>
    <t>Taborda</t>
  </si>
  <si>
    <t>UETC Centro</t>
  </si>
  <si>
    <t>Seçã de Computação Forense</t>
  </si>
  <si>
    <t>R$ 7.236.000,00</t>
  </si>
  <si>
    <t>Leandro Cerqueira Lima</t>
  </si>
  <si>
    <t>Marcio Lopes Vilanova e Silva</t>
  </si>
  <si>
    <t>18/10/2024 - Encaminhado para SESP/DEST/SC para continuação da tramitação                                                                                                                                          05/11/2024 - Encaminhado para SESP/DEST/SC para continuação da tramitação</t>
  </si>
  <si>
    <t>TALVEZ - ESTÁ NA PGE</t>
  </si>
  <si>
    <t>SESP/AT/ASS</t>
  </si>
  <si>
    <t>SIM - contrato asinado pela empresa, vai para SESP para assinar</t>
  </si>
  <si>
    <t>22.738.554-5</t>
  </si>
  <si>
    <t>Aquisição de Alimento completo para cães adultos (ração animal para cães), por meio da Ata Federal de Registro de Preços n 02/2024, Pregão Eletrônico no 01/2024 - UASG 200334 - Polícia Federal - PF, item 3, validade da ATA: 12/03/2025, na modalidade ADESÃO/CARONA, para suprir a demanda do cão farejador da Polícia Científica do Paraná.</t>
  </si>
  <si>
    <t>Academia de Ciências Forenses</t>
  </si>
  <si>
    <t>R$ 8.477,80</t>
  </si>
  <si>
    <t>PCP/CWB/TAR - PCP/CWB/TAR/QUIM</t>
  </si>
  <si>
    <t>22.846.346-9</t>
  </si>
  <si>
    <t>SRP Reprografia - Aquisição através do Registro de Preço do PE 116/2023, na modalidade CARONA, de locação de equipamento de reprografia para atender as necessidades das unidades da Polícia Científica do Paraná. VALIDADE DA ATA: 19/05/2025.</t>
  </si>
  <si>
    <t>R$ 681.984,00</t>
  </si>
  <si>
    <t>Fabiano da Cruz</t>
  </si>
  <si>
    <t>SEAP/DECON/DAA/AD</t>
  </si>
  <si>
    <t>02/10/2024 - Abertura do protocolo</t>
  </si>
  <si>
    <t>22.787.873-8</t>
  </si>
  <si>
    <t>Aquisição de materiais consumíveis laboratoriais por dispensa de licitação, para atender a demanda das Seções de Genética Molecular Forense, Química Forense e Toxicologia Forense da Polícia Científica do Paraná</t>
  </si>
  <si>
    <t>LABORATÓRIOS</t>
  </si>
  <si>
    <t>PCP/CWB/TAR - PCP/CWB/TAR/GENET</t>
  </si>
  <si>
    <t>DIFICILMENTE - AINDA TRAMITE INICIAL</t>
  </si>
  <si>
    <t>Raphael / Beatriz</t>
  </si>
  <si>
    <t>Todas que possuem IML</t>
  </si>
  <si>
    <t>R$ 2.192.989,56</t>
  </si>
  <si>
    <t>Camilla Borges Gazolla, Juliana Adriely Gouveia, Evandro Antonio Lara Seabra, Leonardo Rodrigues da Silva, Emilio de Santana Junior</t>
  </si>
  <si>
    <t>09/10/2024 - Encaminhado para análise e manifestação do chefe divisional</t>
  </si>
  <si>
    <t>EM ANÁLISE NA PGE</t>
  </si>
  <si>
    <t>22.859.942-5</t>
  </si>
  <si>
    <t>IRP no 68/2024 - Aquisição de Sistema de Cromatografia Líquida Acoplado a Espectrometria de Massas Sequencial (LC-MS/MS)</t>
  </si>
  <si>
    <t>Curitba, Foz, Londrina e Maringá</t>
  </si>
  <si>
    <t>IRP</t>
  </si>
  <si>
    <t>SESP/PRE/ARQ</t>
  </si>
  <si>
    <t>Para arquivamento.
IRP já cadastrada no sistema siasgnet</t>
  </si>
  <si>
    <t>22.865.178-8</t>
  </si>
  <si>
    <t>IRP 70 - Aquisição de comparadores balísticos e equipamentos de limpeza ultrassônica para Laboratórios de Balística Forense dos Órgãos de Perícia Criminal Estaduais.</t>
  </si>
  <si>
    <t>Curitiba, Foz, Cascavel, Londrina, Maringá, Ponta Grossa e Guarapuava</t>
  </si>
  <si>
    <t>SESP/ARQUIVO</t>
  </si>
  <si>
    <t>R$ 20.627,00</t>
  </si>
  <si>
    <t>Guilherme Wendler Alves</t>
  </si>
  <si>
    <t>SESP/COMPRAS</t>
  </si>
  <si>
    <t>18/10/2024 - Encaminhado para análise e manifestação do chefe divisional                                                                                                                                                   04/11/2024 - Encaminhado para SESP/AT via SESP/APC para continuação da tramitação                                                                                                                  04/02/2025 - Encaminhado para o SESP/COMPRAS para continuação da tramitação                                                                                                     21/03/2025 - Encaminhado para SESP/APCP para providências quanto a solução do referido protocolo</t>
  </si>
  <si>
    <t>Sim - Correndo a dispensa eletrônica</t>
  </si>
  <si>
    <t>22.936.475-8</t>
  </si>
  <si>
    <t>Aquisição de ferramenta forense de desbloqueio de dispositivos móveis portáteis via inexigibilidade de licitação</t>
  </si>
  <si>
    <t>R$ 339.000,00</t>
  </si>
  <si>
    <t>PCP/DA/DIV</t>
  </si>
  <si>
    <t>11/11/2024 - Encaminhado para análise e manifestação do chefe divisional</t>
  </si>
  <si>
    <t>TRAMITE INICIAL</t>
  </si>
  <si>
    <t>Aquisição de equipamentos de processamento e de armazenamento de vestígios digitais e de equipamentos de gerenciamento de rede através de Termo de Execução Descentralizada - TED no 001/2024 - Lottopar</t>
  </si>
  <si>
    <t>R$ 6.793.984,17</t>
  </si>
  <si>
    <t>LOTTOPAR/FIN</t>
  </si>
  <si>
    <t>28/10/2024 - Encaminhe-se ao GAA para instrução processual                                                                   24/04/2025 - Encaminhe-se à Direção da Lottopar para ciência e demais providências, visando a emissão de informações orçamentárias (IDO, QDD e DAD)</t>
  </si>
  <si>
    <t>23.003.332-3</t>
  </si>
  <si>
    <t>SRP - Contratação através do Registro de Preço do PE 116/2023, de prestação de serviço de locação de equipamento de reprografia para atender as unidades da Polícia Científica do Paraná. VALIDADE DA ATA: 19/05/2025.</t>
  </si>
  <si>
    <t>R$ 450.990,00</t>
  </si>
  <si>
    <t>05/11/2024 - Encaminhado diretamente para o PCP/GAOFS conforme acordado entre o chefe do GAA e o chefe do PCP/DA/GAOFS                                                                                                                    29/11/2024 - Encaminhado a AT/SEPS via SESP/APC para continuação da tramitação</t>
  </si>
  <si>
    <t>sim - processo tramitando</t>
  </si>
  <si>
    <t>21.395.530-6</t>
  </si>
  <si>
    <t>SOLICITAÇÃO DE DISPENSA DE PROCEDIMENTO LICITATÓRIO POR INEXIGIBILIDADE PARA AQUISIÇÃO DE MESA DE SUPORTE PARA TABLET MULTIESPECTRAL FORENSE - FORENSCOPE, NO VALOR TOTAL DE R$ 24.360,00 (VINTE E QUATRO MIL TREZENTOS E SESSENTA REAIS), PARA ATENDER A DEMANDA DA SEÇÃO DE GENÉTICA MOLECULAR FORENSE DA POLÍCIA CIENTÍFICA DO PARANÁ.</t>
  </si>
  <si>
    <t>Márcia</t>
  </si>
  <si>
    <t>R$ 24.360,00</t>
  </si>
  <si>
    <t>DISPENSA (INEXIGIBILIDADE)</t>
  </si>
  <si>
    <t>SIM - contrato assinado - Falta só o empenho</t>
  </si>
  <si>
    <t>23.058.016-2</t>
  </si>
  <si>
    <t>Aquisição de uma segunda unidade de Scanner Tridimensional de Ambiente por meio de adesão à Ata de Registro de Preços PE n 92/2023 da Polícia Científica de Santa Catarina, para suprir a demanda da Polícia Científica do Paraná.</t>
  </si>
  <si>
    <t>SRP</t>
  </si>
  <si>
    <t>Leandro Bacelar</t>
  </si>
  <si>
    <t>Valeria Cardoso Pereira</t>
  </si>
  <si>
    <t>19/12/2024 - Encaminhado para AT/SESP via SESP/APC para continuação da tramitação</t>
  </si>
  <si>
    <t>23.045.802-2</t>
  </si>
  <si>
    <t>Intenção de Registro de Preço - IRP no 72/2024 - Câmeras corporais.</t>
  </si>
  <si>
    <t>18/11/2024 - Encaminhado para Divisão Operacional para informar o quantitativo para solicitação                                                              22/11/2024 - Encaminhado para Divisão Administrariva para ciênica e encaminhamento a SEP/COMPRAs via SESP/APC</t>
  </si>
  <si>
    <t>22.856.818-0</t>
  </si>
  <si>
    <t>Solicita aquisição de notebooks para a Seção de Computação Forense através de adesão à ata de registro de preços</t>
  </si>
  <si>
    <t>21/11/2024 - Devolvido a origem, pois a empresa retornou negativa para fornecimento de notebook</t>
  </si>
  <si>
    <t>22.950.528-9</t>
  </si>
  <si>
    <t>Aquisição, de Alvos e Obreias, através de dispensa de licitação, para a ACF</t>
  </si>
  <si>
    <t>Rapahel</t>
  </si>
  <si>
    <t>Academia Forense</t>
  </si>
  <si>
    <t>R$ 4.823,90</t>
  </si>
  <si>
    <t>22/11/2024 - Encaminhado para SESP/COMPRAS para a continuação da tramitação</t>
  </si>
  <si>
    <t>23.099.619-9</t>
  </si>
  <si>
    <t>SRP Veículo - Aquisição através do Registro de Preço do PE 1073/2023, na modalidade CARONA, de veículo elétrico para atender as necessidades das unidades da Polícia Científica do Paraná. VALIDADE DA ATA: 01/09/2025.</t>
  </si>
  <si>
    <t>UETC Maringá</t>
  </si>
  <si>
    <t>R$ 120.000,00</t>
  </si>
  <si>
    <t>Larissa Barros Costa</t>
  </si>
  <si>
    <t>26/11/2024 - Encaminhado ao Divisional para ciencia e encaminhamento a DECON junto a SESP para solicitação da carona22/04/2025 - Contrato Assinado                                                                                                                                                                       29/04/2025 - Encaminhado ao PCP/DA/GAOFS para informações orçamentárias</t>
  </si>
  <si>
    <t>23.092.721-9</t>
  </si>
  <si>
    <t>SRP - Aquisição através do Registro de Preço do PE 22/2023, de Água Mineral (Galão 20L) para atender a unidade de Paranaguá da Polícia Científica do Paraná.</t>
  </si>
  <si>
    <t>UETC Paranaguá</t>
  </si>
  <si>
    <t>R$ 2.808,00</t>
  </si>
  <si>
    <t>03/11/2024 - Encaminhado para análise e manifestação do chefe divisional</t>
  </si>
  <si>
    <t>R$ 92.601,00</t>
  </si>
  <si>
    <t>05/12/2024 - Encaminhado para análise e manifestação do chefe divisional</t>
  </si>
  <si>
    <t>23.152.915-2</t>
  </si>
  <si>
    <t>SRP - Aquisição através do Registro de Preço do PE 1292/2024, de aquisição de Motobomba para atender as unidades da Polícia Científica do Paraná</t>
  </si>
  <si>
    <t>R$ 12.252,00</t>
  </si>
  <si>
    <t>Fernando Alvares Fernandes</t>
  </si>
  <si>
    <t>10/12/2024 - Encaminhado para análise e manifestação do chefe divisional</t>
  </si>
  <si>
    <t>22.456.644-1</t>
  </si>
  <si>
    <t>Aquisição, através de processo licitatório, de 32 postos de serviço de auxiliares técnicos de laboratório de perícias forenses nas áreas de Geologia, Histologia, Mecânica de Automóveis, Veículos Automotores a Diesel, Exceto Tratores, Obras Civis, Meio Ambiente, Necropsia, Qualidade, Química e Radiologia e Imagenologia,</t>
  </si>
  <si>
    <t>GRUPO AUXILIAR ADMINISTRATIVO</t>
  </si>
  <si>
    <t>UETC TARUMÃ</t>
  </si>
  <si>
    <t>R$ 3.562.140,60</t>
  </si>
  <si>
    <t>Pedro Henrique Canezin; Leonardo Morrissy Hostin; Alexandre Guilherme de Lara; Mauricio Nakao Yorinor; Raul Messias Lessa</t>
  </si>
  <si>
    <t>SESP/DEST</t>
  </si>
  <si>
    <t>31/03/2025 - Encaminhe-se à SESP/DEST para ciência e demais providências.</t>
  </si>
  <si>
    <t>Licitação visando a aquisição e instalação de poltronas para auditório para atender a demanda da nova Unidade de Execução Técnico-Científica (UETC) de Ponta Grossa</t>
  </si>
  <si>
    <t>Edson da Silva Napoleao</t>
  </si>
  <si>
    <t>R$ 121.371,50</t>
  </si>
  <si>
    <t>11/04/2025 - Encaminhe-se à Diretoria de Gestão Estrutural da SESP para ciência e demais providências, ressaltando que se trata de aquisição com a utilização de recursos próprios.</t>
  </si>
  <si>
    <t>22.974.693-6</t>
  </si>
  <si>
    <t>QUISIÇÃO DE ÁGUA MINERAL (GARRAFÃO 20L) POR MEIO DA ATA SRP PE 22/2023, PARA ATENDER A NECESSIDADE DAS UETCS DO TARUMÃ, VISCONDE DE GUARAPUAVA E ACADEMIA DE CIÊNCIAS FORENSES</t>
  </si>
  <si>
    <t>Tarumã, Visconde de Guarapuava e ACF</t>
  </si>
  <si>
    <t>R$ 19.710,72</t>
  </si>
  <si>
    <t>Cezar Adilson Pinto Voss</t>
  </si>
  <si>
    <t>Pasta Arquivos tipo A/Z, Aquisição através do Registro de Preço do PE 27/2023, na modalidade CARONA, de aquisição de pastas  A/Z para atender as necessidades das unidades da Polícia Científica do Paraná.</t>
  </si>
  <si>
    <t>Alexandre</t>
  </si>
  <si>
    <t>TODAS UNIDADES</t>
  </si>
  <si>
    <t>R$ 2.817,00</t>
  </si>
  <si>
    <t>Maurício Catitas de Sousa</t>
  </si>
  <si>
    <t>Luciana de Andrade Lima Pencal</t>
  </si>
  <si>
    <t>06/02/2025 - Solicitado ao fornecedor a entrega no dia 06/02/2025</t>
  </si>
  <si>
    <t>22.808.399-2</t>
  </si>
  <si>
    <t>Dispensa Emergencial de Licitação - Prestação de serviços de limpeza UETC Maringá e Umuarama da Polícia Científica do Paraná</t>
  </si>
  <si>
    <t>Camila</t>
  </si>
  <si>
    <t>MARINGÁ e UMUARAMA</t>
  </si>
  <si>
    <t>R$ 287.247,36</t>
  </si>
  <si>
    <t>Emergencial</t>
  </si>
  <si>
    <t>Luis Henrique da Silva Rotta</t>
  </si>
  <si>
    <t>PCP/DA/GAA/CHEFE</t>
  </si>
  <si>
    <t>25/11/2024 - Tendo em vista a liberação da Ata de Registro de Preços (SRP) do Pregão
Eletrônico n.º 847/2024, referente à contratação de serviços de limpeza, asseio e
conservação das unidades de Maringá e Umuarama, encaminha-se ao Chefe do
Grupo Auxiliar Administrativo para as devidas deliberações</t>
  </si>
  <si>
    <t>22.942.104-2</t>
  </si>
  <si>
    <t>Dispensa Emergencial de Licitação - Prestação de serviços de limpeza UETC Visconde de Guarapuava e Casa da Mulher Brasileira da Polícia Científica do Paraná</t>
  </si>
  <si>
    <t>R$ 607.158,96</t>
  </si>
  <si>
    <t>Patrícia Doubas Cancelier</t>
  </si>
  <si>
    <t>25/11/2024 - Tendo em vista a liberação da Ata de Registro de Preços (SRP) do Pregão Eletrônico n.º 847/2024, referente à contratação de serviços de limpeza, asseio e conservação das unidades de Visconde de Guarapuava e Casa da Mulher Brasileira, encaminha-se ao Chefe do Grupo Auxiliar Administrativo para as devidas deliberações.</t>
  </si>
  <si>
    <t>22.611.063-1</t>
  </si>
  <si>
    <t>Dispensa Emergencial de Licitação - Aquisição através de dispensa de licitação emergencial de contratação de prestação de serviços de limpeza, asseio e conservação para atendimento da demanda da unidade Paranaguá da Polícia Científica do Paraná.</t>
  </si>
  <si>
    <t>PARANAGUÁ</t>
  </si>
  <si>
    <t>R$ 125.513,52</t>
  </si>
  <si>
    <t>Weberson Mendes de Lima</t>
  </si>
  <si>
    <t>Thiago Congrossi Moreira dos Santos</t>
  </si>
  <si>
    <t>28/11/2024 - Tendo em vista a liberação da Ata de Registro de Preços (SRP) do Pregão Eletrônico n.º 847/2024, referente à contratação de serviços de limpeza, asseio e conservação das unidades de Paranaguá, encaminha-se ao Chefe do Grupo Auxiliar Administrativo para as devidas deliberações.</t>
  </si>
  <si>
    <t>22.985.209-4</t>
  </si>
  <si>
    <t>Contratação Emergencial de prestação de serviços de limpeza, asseio e conservação para atender a UETC Tarumã.</t>
  </si>
  <si>
    <t>R$ 2.081.936,04</t>
  </si>
  <si>
    <t>Patricia Doubas Cancelier</t>
  </si>
  <si>
    <t>28/11/2024 - Tendo em vista a liberação da Ata de Registro de Preços (SRP) do Pregão Eletrônico n.º 847/2024, referente à contratação de serviços de limpeza, asseio e conservação das UETC Tarumã, encaminha-se ao Chefe do Grupo Auxiliar Administrativo para as devidas deliberações.</t>
  </si>
  <si>
    <t>22.962.031-2</t>
  </si>
  <si>
    <t>Dispensa Emergencial de Licitação - Aquisição através de dispensa de licitação emergencial de contratação de prestação de serviços de limpeza, asseio e conservação para atendimento da demanda da unidade Paranaguá e Matinhos da Polícia Científica do Paraná.</t>
  </si>
  <si>
    <t>Maria Tereza</t>
  </si>
  <si>
    <t>PARANAGUÁ E MATINHOS</t>
  </si>
  <si>
    <t>R$ 107.410,80</t>
  </si>
  <si>
    <t>Marcio Alexandre Tavares</t>
  </si>
  <si>
    <t>04/12/2024 - Tendo em vista a liberação da Ata de Registro de Preços (SRP) do Pregão Eletrônico n.º 847/2024, referente à contratação de serviços de limpeza, asseio e conservação das unidades de Paranaguá e Matinhos instruído no protocolo n° 23.121.016-4, encaminha-se ao Chefe do Grupo Auxiliar Administrativo para as devidas deliberações.</t>
  </si>
  <si>
    <t>22.743.392-2</t>
  </si>
  <si>
    <t>Dispensa Emergencial de Licitação - Aquisição através de dispensa de licitação emergencial de contratação de prestação de serviços de limpeza, asseio e conservação para atendimento da demanda das unidades Campo Mourão, Paranavaí e Umuarama da Polícia Científica do Paraná</t>
  </si>
  <si>
    <t>CAMPO MOURÃO, PARANAVAÍ, UMUARAMA E MARINGÁ</t>
  </si>
  <si>
    <t>R$ 359.059,20</t>
  </si>
  <si>
    <t>Antônio Marcos Boeing da Costa, Edilson Massao Miaqui</t>
  </si>
  <si>
    <t>04/12/2024 - Tendo em vista a liberação da Ata de Registro de Preços (SRP) do Pregão Eletrônico n.º 847/2024, referente à contratação de serviços de limpeza, asseio e conservação das unidades de Campo Mourão, Paranavaí e Umuarama, encaminha-se ao Chefe do Grupo Auxiliar Administrativo para as devidas deliberações</t>
  </si>
  <si>
    <t>23.077.623-7</t>
  </si>
  <si>
    <t>PE 847/2024, serviços de limpeza, asseio e conservação - Campo Mourão, Paranavaí, Umuarama e Maringá Polícia Científica do Paraná.</t>
  </si>
  <si>
    <t>R$ 225.993,00</t>
  </si>
  <si>
    <t>Antônio Marcos Boeing Costa</t>
  </si>
  <si>
    <t>03/12/2024 - Informo que, em razão de alterações nas quantidades e descrições dos postos, foi aberto um novo protocolo para a contratação do LOTE 5, vinculado aoRegistro de Preço do PE nº 847/2024, sob o número 23.145.746-1. Diante disso, arquiva-se.</t>
  </si>
  <si>
    <t>22.906.456-8</t>
  </si>
  <si>
    <t>Contratação do serviço de ampliação da rede de gases especiais visando a instalação de novos equipamentos laboratoriais na UETC Curitiba - Tarumã.</t>
  </si>
  <si>
    <t>ASSESSORIA TECNICA DE OBRAS E PROJETOS</t>
  </si>
  <si>
    <t>R$ 171.111,52</t>
  </si>
  <si>
    <t>PCP/DIR/DIROP/OBRAS</t>
  </si>
  <si>
    <t>R$ 64.256.132,32</t>
  </si>
  <si>
    <t>Info Transitória</t>
  </si>
  <si>
    <t>ANO DA INSTRUÇÃO</t>
  </si>
  <si>
    <t>18.750.605-0</t>
  </si>
  <si>
    <t>SRP - Aquisição através do Registro de Preço do PE 867/2020, de material de escritório para atender a unidade da Polícia Científica do Paraná</t>
  </si>
  <si>
    <t>TODAS UNIDADES - PCP</t>
  </si>
  <si>
    <t>R$ 2.632,65</t>
  </si>
  <si>
    <t>Aguardando Entrega do Material02/12/2022 - Se encontra na PCP/DA/GAA/ALMOX para análise.  Entregas realizadas:  Andre Matias - 27/04/2022     JC da silva - falta entregar    Solo G9 eireli - 10/05/2022    EVL eireli - 28/04/2022</t>
  </si>
  <si>
    <t>18.805.485-4</t>
  </si>
  <si>
    <t>Licit. Rastreadores - Sol. abertura de procedimento licitatório, visando a contratação de empresa especializada em prestação de serviços de locação de rastreadores veiculares, a fim de atender a demanda da Polícia Científica do Paraná.</t>
  </si>
  <si>
    <t>R$ 107.568,00</t>
  </si>
  <si>
    <t>Hideraldo Daniel Tavares e Amilton dos Santos</t>
  </si>
  <si>
    <t>Luiz Henrique da Silva Rotta, Henrique Czap Coelho, Lennon Biancato Ruhnke, Daniel Preti, Luis Henrique Ferreira de Moraes, Rafael Ricardo Fréz, Patrick Alysson de Souza e Silva, Marcos Paulo Bebici, Keila da Silva Back, Evandro Antônio Lara Seabra, Luciano Gardano Elias Bucharles, Maria Cecília Begnossi, Vanessa Regina Kluppel, Evandro Luiz Lustre, Edson da Silva Napoleão, Augusto Pasqualini Neto, Leonete Ghellere, Claudio Luiz Mangini e Edison Alves de Jesus</t>
  </si>
  <si>
    <t>Em análise para licitação desde o dia 29/07/2022No SL desde 13/09/2022 - 09/11 Setor de Compras - atualização de orçamentos - Orçamentos atualizados, aguardando assinaturas para devolução ao SL- 16/11/202202/12/2022 - Se encontra na SESP/SL para análise.19/12/2022 - Se encontra na PCP/DA/GAOFS para análise                                                                                                                                                                                                                                                                                                                                                                                                                                                                                                                                                                                                                                                                                                                                                                                                   10/01/2023 - Se encontra na SESP/SL para demais providências17/01/2023 - Se encontra na PCP/DA/SEC para demais providências01/02/2023 - Se encontra na PCP/DA/GAA/COMPRAS para providências                                                                       18/04/2023 - Processo de investimento, aguardando verba</t>
  </si>
  <si>
    <t>18.849.645-8</t>
  </si>
  <si>
    <t>Licitação - Aquisição de maletas para exames de perícia em local de crime, a fim de atender a demanda do órgão da Polícia Científica do Paraná, conforme instrumento de convênio firmado n.° 920483/2021</t>
  </si>
  <si>
    <t>Tatiane</t>
  </si>
  <si>
    <t>R$ 998.226,88</t>
  </si>
  <si>
    <t>920.483/2021</t>
  </si>
  <si>
    <t>Ciro José Cardoso Pimenta</t>
  </si>
  <si>
    <t>Jorge Aurélio Perito de Bem</t>
  </si>
  <si>
    <t>PCP/DIR - PCP/DIR/DIROP</t>
  </si>
  <si>
    <t>Em andamenrtoNo SL desde 17/08/202202/12/2022 - Se encontra na SESP/GAS/SC para providências.19/12/2022 - Se encontra na SESP/NACC/EP para demais providências03/01/2023 - Se encontra na SESP/APC para demais providências17/01/2023 - Se encontra SESP/GOFS/CO providências                                                                                                             26/06/2023 - Encaminhado a origem para aguardar entrega                                17/08/2023 - Se encontra na PCP/DIR/GAB para providencias</t>
  </si>
  <si>
    <t>18.862.591-6</t>
  </si>
  <si>
    <t>Licitação - Aquisição de Sistema Informatizado de Automação e Gestão LIMS, a fim de atender o Laboratório de DNA da Polícia Científica. Convênio Plataforma +Brasil número 919141/2021</t>
  </si>
  <si>
    <t>CURITIBA - GENÉTICA FORENSE</t>
  </si>
  <si>
    <t>R$ 594.733,56</t>
  </si>
  <si>
    <t>919.141/2021</t>
  </si>
  <si>
    <t>Marianna Maia Taulois do Rosario</t>
  </si>
  <si>
    <t>Em análise para licitaçãoNo SL desde 31/08/2022                                                                                                                                                 11/10/2022 - Encontra-se na CELEPAR para aprovação02/12/2022 - Se encontra na CELEP/GSI-A para providências.19/12/2022 - Se encontra na PCP/CWB/TAR/GENET para demais providências SOLICITADAS PELA AT                                                                                       30/08/2023 - Se encontra na PCP/CWB/TAR/GENET desde a data 19/12/2022</t>
  </si>
  <si>
    <t>18.862.601-7</t>
  </si>
  <si>
    <t>Licitação          Contratação de serviço de consultoria à acreditação na norma ABNT NBR ISO 17025 / Convênio Plataforma +Brasil número 919141/2021</t>
  </si>
  <si>
    <t>R$ 169.900,00</t>
  </si>
  <si>
    <t>Em análise para licitaçãoNo SL desde 13/09/2022                                                                                                                                                                                                                29/11/2022 - Retornou ao setor para atualização de orçamento a termo de referência (aguardando orçamentos atualizados)02/12/2022 - Se encontra na PCP/DA/GAA/COMPRAS para providências.17/01/2023 - Se encontra na SESP/GOFS/CO para demais providências                                      17/03/2023 - Devolvido a origem para adequação na Nova Lei                                  30/08/2023 - Se encontra no PCP/CWB/TAR/GENET desde a data 17/03/2023 para adequação a nova lei</t>
  </si>
  <si>
    <t>18.898.878-4</t>
  </si>
  <si>
    <t>Licitação - Aquisição de detectores de metais para o órgão da Polícia Científica do Paraná, convênio firmado n. 920483/2021.</t>
  </si>
  <si>
    <t>Allan</t>
  </si>
  <si>
    <t>R$ 115.551,96</t>
  </si>
  <si>
    <t>PCP/DO/COORD</t>
  </si>
  <si>
    <t>Em análise para licitaçãoSL desde 13/09/2022                                                                                                                                                                                                                        08/11/2022 - Retornou para atualização de orçamentos                                                                                                                                                                       08/11/2022 - Encaminhado a SESP/SL com as devidas correções02/12/2022 - Se encontra na SESP/SL para análise.                                                                                                             26/06/2023 - Se encontra na SESP/EP para fins de libreração de recuso                                                28/08/2023 - Encaminhado para SESP/GOFS/CO para providencias.05/02/2024- Material recebido</t>
  </si>
  <si>
    <t>19.175.031-4</t>
  </si>
  <si>
    <t>SRP Produto de Limpeza II - Contratação através do SRP PE n 125/2021, de Produto de Limpeza II, visando atender a demanda do órgão da Polícia Científica do Paraná.</t>
  </si>
  <si>
    <t>R$ 33.288,26</t>
  </si>
  <si>
    <t>Aguardando finalização dos  pagamentos05/12/2022 - Seencontra na PCP/DA/GAA/ALMOX para demais providências.                                                           Kelly A.D.L - 02/08/2022 e 16/08/2022 (entregou todo o material)     Isanete - 03/08/2022 e 20/09/2022 (falta entregar)   Cig eireli - 04/08/2022 e 12/08/2022 (entregou todo o material)  Solo G9 - 15/09/2022 e 25/10/2022   (entregou todo o material)</t>
  </si>
  <si>
    <t>19.122.659-3</t>
  </si>
  <si>
    <t>Licitação - Aquisição de balanças semi-analíticas para atender a demanda das unidades da Polícia Científica do Paraná</t>
  </si>
  <si>
    <t>R$ 85.041,50</t>
  </si>
  <si>
    <t>Rafael Araújo da Silva</t>
  </si>
  <si>
    <t>24/10/2022 - Atualização de orçamentos                                                                                                                                                            18/11/2022 - Encaminhado a SESP/SL para demais providências05/12/2022 - Se encontra na SESP/SL para análise.                                                                                               26/06/2023 - Se encontra no GOFS/FI para liquidação da NF</t>
  </si>
  <si>
    <t>19.115.163-1</t>
  </si>
  <si>
    <t>Inexigibilidade - Contratação de empresa para prestação de serviços de manutenção corretiva em equipamento Microcomparador Balístico</t>
  </si>
  <si>
    <t>CURITIBA - BALÍSTICA FORENSE</t>
  </si>
  <si>
    <t>R$ 34.870,00</t>
  </si>
  <si>
    <t>23/09/2022 - PCP/DO/DIV/SEC para providências05/12/2022 - Se encontra na SESP/APC para demais providências.01/02/2023 - Se encontra na PCP/CWB/TAR/CHEFIA para demais providências                                                                                                    16/03/2023 - PCP/DA/SEC para análise e providencias                                            01/06/2023 - Encaminhado a origem para adequação                                                                                                                                         20/06/2023 - Encaminhado ao PCP/GAA/GAOFS para atualização orçamentária                                                           31/07/2023 - Devolvido à origem para adequações                                                                                                                      30/08/2023 - Se encontra na PCP/CWB/VISC/BALI desde a data 31/07/2023 para adequações</t>
  </si>
  <si>
    <t>19.217.723-5</t>
  </si>
  <si>
    <t>SRP - Aquisição através do Sistema de Registro de Preço do Pregão Eletrônico n 516/2021, de artigos de higiene e EPI's para atender a demanda do órgão da Polícia Científica do Paraná.</t>
  </si>
  <si>
    <t>R$ 41.089,84</t>
  </si>
  <si>
    <t>Aguardando demais notas de pagamento05/12/2022 - Se encontra na PCP/DA/GAA/ALMOX para demais providências.                                     INGÁDESC - 08/08/2022   MGS - 08/08/2022   Protflex - 11/08/2022  SomaPR - 23/08/2022  Sagati - 26/08/2022  Extec - 19/09/2022   Jhonathan - 08/09/2022   Tov clean 20/09/2022  CIG eireli - 28/09/2022  Dermelyne LTDA 16/09/2022</t>
  </si>
  <si>
    <t>19.184.014-3</t>
  </si>
  <si>
    <t>Licitação - Aquisição de câmaras frias mortuárias para atender a demanda das unidades da Polícia Científica de Campo Mourão, Francisco Beltrão, Paranaguá e Toledo</t>
  </si>
  <si>
    <t>R$ 302.318,00</t>
  </si>
  <si>
    <t>Leonel Letnar Junior</t>
  </si>
  <si>
    <t>Henrique Czap Coelho, Graciele Cristina Zawadzki Pereira, Vanessa Regina Kluppel Cunha, Leonete Ghellere</t>
  </si>
  <si>
    <t>Em análise setor de licitações SESPSL 27/10/2022                                                                                                                                                                           07/11/2022 - Aguardando assinatura do contrato                                                                                                                                                                                                                                              08/11/2022 - Encaminhado à SESP contratos para demais providências                                                                                                                                           16/11/2022 - Encaminhado email a empresa e para responsáveis para acompanhamento da instalção da camâra fria, protocolo enviado para o gestor para acompanhamento da execução.05/12/2022 - Se encontra na PCP/DO/SEC para demais providências.</t>
  </si>
  <si>
    <t>19.154.401-3</t>
  </si>
  <si>
    <t>Licitação - Aquisição de tanques balísticos para atender a demanda das unidades da Polícia Científica do Paraná.</t>
  </si>
  <si>
    <t>R$ 130.533,32</t>
  </si>
  <si>
    <t>Jorge Aurélio Perito de Bem, Leonel Letnar Junior</t>
  </si>
  <si>
    <t>Lennon Biancato Ruhnke, Rafael Ricardo Fréz, Graciele Cristina Zawadzki Pereira, Edson da Silva Napoleão, Augusto Pasqualini Neto</t>
  </si>
  <si>
    <t>Em andamento para realização da minutaSL 17/10/202205/12/2022 - Se encontra na SESP/SL para análise                                                                                                                     26/07/2023 - Para coletar assinatura do contratado                                            30/08/2023 - Se encontra no PCP/CWB/VISC/BALI para acompanhamento da entrega</t>
  </si>
  <si>
    <t>19.176.669-5</t>
  </si>
  <si>
    <t>Licitação - Aquisição de duas unidades de Scanners A3, a fim de atender a demanda do órgão da Polícia Científica do Paraná.</t>
  </si>
  <si>
    <t>R$ 68.083,26</t>
  </si>
  <si>
    <t>Daniel Preti</t>
  </si>
  <si>
    <t>Rafel Vinicius Monetta de Carvalho</t>
  </si>
  <si>
    <t>17/10/2022 - Retornou para ajuste dos valores (divergência R$0,01)18/10/2022- Corrigidos TR e Mapa, enviado SESP/APC para continuidade                                                                                                                                                                01/11/2022 - Retornou para o compras para atualização de orçamento                                                                                                                                         04/11/2022 - Encaminhado para SESP/AT via SESP/APC com o devido orçamento atualizado05/12/2022 - Se encontra na SESP/SL para análise.16/12/2022 - Se encontra na SESP/SL/EXPED para demais providências04/01/2023 - Se encontra na SESP/SL para análise18/01/2023 - Licitado. Aguardando liberação de recursos 14/04/2023 - enviado SESP/APC para providencias</t>
  </si>
  <si>
    <t>19.260.821-0</t>
  </si>
  <si>
    <t>(1) SRP Água Mineral (IML) - Aquisição através do Sistema de Registro de Preço do Pregão Eletrônico n.o 1857/2021, de água mineral (galão de 20L) para atender a demanda das unidades da Polícia Científica de Curitiba (Unidade Tarumã), Paranaguá e Ponta Grossa.</t>
  </si>
  <si>
    <t>R$ 13.720,80</t>
  </si>
  <si>
    <t>Entrega sob demanda</t>
  </si>
  <si>
    <t>Aguardando as notas atestadas05/12/2022 - Se encontra na PCP/DA/GAA/COMPRAS para providências.                                          Vilma distribuidora - 22/08/2022  DJ LTDA - falta entregar                                                                                 02/09/2022 - Encaminhado ao GAA para aguardar as demais NFs</t>
  </si>
  <si>
    <t>19.268.395-5</t>
  </si>
  <si>
    <t>(2) SRP Água Mineral (IML) - Aquisição através do Sistema de Registro de Preço do Pregão Eletrônico n.o 1857/2021, de água mineral (galão de 20L) para atender a demanda das unidades da Polícia Científica de Londrina, Apucarana, Jacarezinho e Ivaiporã.</t>
  </si>
  <si>
    <t>R$ 7.461,20</t>
  </si>
  <si>
    <t>Aguardando NF'S para pagamento05/12/2022 - Se encontra na PCP/DA/GAA/COMPRAS para providências.                                          KS LTDA - 24/08/2022, 25/08/2022 e 21/09/2022  (falta entregar em Apucarana e Jacarezinho)                                                                                                             02/09/2022 - Encaminhado ao GAA para aguardar as demais NFs</t>
  </si>
  <si>
    <t>19.268.428-5</t>
  </si>
  <si>
    <t>(3) SRP Água Mineral (IML) - Aquisição através do Sistema de Registro de Preço do Pregão Eletrônico n.o 1857/2021, de água mineral (galão de 20L) para atender a demanda das unidades da Polícia Científica de Maringá, Umuarama, Campo Mourão e Paranavaí.</t>
  </si>
  <si>
    <t>R$ 17.182,80</t>
  </si>
  <si>
    <t>Liquidado, aguardando pagamento05/12/2022 - Se encontra na PCP/DA/GAA/COMPRAS para providências.                                                                     KS LTDA - 22/08/2022 e 25/08/2022 (falta entregar)                                                                26/10/2022 - Encaminhado ao GAA para aguardar as demais NFs</t>
  </si>
  <si>
    <t>18.110.505-4</t>
  </si>
  <si>
    <t>Licitação - Aquisição um Sistema de Cromatografia Líquida Acoplado a Espectrômetro de Massas Sequencial (LC-MS/MS), visando atender as necessidades de ampliação do escopo de análises analíticas realizadas pelos Laboratórios de Química Forense e Toxicologia Forense da Polícia Científica do Paraná (Convênio "Em Frente Brasil")</t>
  </si>
  <si>
    <t>Adolfo</t>
  </si>
  <si>
    <t>CURITIBA - LABORATÓRIOS</t>
  </si>
  <si>
    <t>R$ 2.434.705,50</t>
  </si>
  <si>
    <t>SESP/APC/BP desde o dia 28/06/2022 05/12/2022 - Se encontra aguardando documentação na SESP/APC/BP                                                                                      20/04/2023 - Encaminhado para origem para adequação conforme nova Lei de Licitações                                                                                                                                                                                                                                                11/05/2023 - Encaminado a SESP/APC para continuação da tramitação  30/08/2023 - Se encontra no SESP/APC para continuação da tramitação                                                     05/12/2023 - SESP/APC desde 11/05/2023 aguardando recurso27/06/2024- Encaminhado à origem para arquivamento, considerando que foi instruído um novo protocolo</t>
  </si>
  <si>
    <t>19.371.367-0</t>
  </si>
  <si>
    <t>SRP  Administrativo (1) - Carona ao SRP PE n 1428/2021, visando a contratação de postos de  administrativo I 40 horas semanais junto à empresa PRODUSERV SERVIÇOS LTDA., a fim de atender a demanda do órgão da Polícia Científica do Paraná.</t>
  </si>
  <si>
    <t>R$ 199.853,36</t>
  </si>
  <si>
    <t>considerando a negativa de adesão a ata, arquivado</t>
  </si>
  <si>
    <t>19.372.680-1</t>
  </si>
  <si>
    <t>SRP Assistente Administrativo (3) - Carona ao SRP PE n 1428/2021, visando a contratação de postos de assistente administrativo I 40 horas semanais junto à empresa PLANSERVICE TERCEIRIZAÇÃO DE SERVIÇOS - EIRELI, a fim de atender a demanda do órgão da Polícia Científica do Paraná.</t>
  </si>
  <si>
    <t>R$ 59.826,08</t>
  </si>
  <si>
    <t>19.241.476-8</t>
  </si>
  <si>
    <t>Dispensa - Aquisição de equipamentos de áudio para sonorização do auditório da Polícia Científica (Unidade Tarumã). Sistema de som</t>
  </si>
  <si>
    <t>SEDE - TARUMÃ</t>
  </si>
  <si>
    <t>R$ 7.209,10</t>
  </si>
  <si>
    <t>DISPENSA (COMPRA DIRETA)</t>
  </si>
  <si>
    <t>Gabriel de Andrade Manoel</t>
  </si>
  <si>
    <t>PCP/NIC/OUV</t>
  </si>
  <si>
    <t>Aguardando análise pela Direção Geral da PCP                                                                                                                                                                                                                                                                                                              04/10/2022 - No orçamentário para informações e demais providências05/12/2022 - Se encontra na SESP/GAS/SC para demais providências.16/12/2022 - Se encontra na  SESP/SL para demais providências10/01/2023 - Se encontra na SESP/SL/EXPED para demais providências18/01/2023 - Se encontra na PCP/DA/DIV para demais providências</t>
  </si>
  <si>
    <t>19.405.931-0</t>
  </si>
  <si>
    <t>SRP Material de Expediente (grupo iv) - Aquisição através do Sistema de Registro de Preço do Pregão Eletrônico n.o 260/2022, de Material de Expediente (grupo IV), para atender a demanda do órgão da Polícia Científica do Paraná.</t>
  </si>
  <si>
    <t>R$ 1.628,25</t>
  </si>
  <si>
    <t>Aguardando entrega do Material                                                                                                                                                      11/10/2022 - Aguardando NF's para pagemento05/12/2022 - Se encontra PCP/DA/GAA/ALMOX para demias providências                                                   EVL eireli - 19/09/2022 e 20/09/2022  Distribuidora LTDA - 29/09/2022   Pem comercial - 17/10/2022 (falta entregar).</t>
  </si>
  <si>
    <t>18.536.742-8</t>
  </si>
  <si>
    <t>Abertura de Procedimento Licitatório para a Aquisição de Câmara Frigorífica Mortuária para equipar a unidade da Polícia Científica de Umuarama, Considerando o Convênio Federal N.O 920483/2021</t>
  </si>
  <si>
    <t>Umuarama</t>
  </si>
  <si>
    <t>UETC Umuarama</t>
  </si>
  <si>
    <t>R$ 162.000,00</t>
  </si>
  <si>
    <t>Claudio Luiz Mangini</t>
  </si>
  <si>
    <t>05/09/2022 - Encaminhado para SESP.10/10/2022 - Nesta data chegou no setor de licitações                                                                                                SL 17/10/202205/12/2022 - Se encontra na SESP/SL para análise.16/12/2022 - Se encontra na SESP/SL/EXPED para demais providências10/01/2023 - Se encontra na SESP/SL para análise18/01/2023 - Se encontra na SESP/NACC/EP para demais providências06/03/2022 - JA FOI LICITADO. AGUARDANDO EMISSÃO DE EMPENHO                             24/05/2023 - Encaminhado a origem para aguardar a entrega do material</t>
  </si>
  <si>
    <t>19.286.481-0</t>
  </si>
  <si>
    <t>Aquisição de Ferramenta Forense de extração e processamento de dados provenientes da navegação na Internet, com Inexigibilidade de Licitação - Convênio FUNSUSP (AÇÃO 3 - META 1: meta específica 1)</t>
  </si>
  <si>
    <t>CURITIBA - COMPUTAÇÃO FORENSE</t>
  </si>
  <si>
    <t>R$ 520.164,00</t>
  </si>
  <si>
    <t>Márcio Lopes Vilanova e Silva</t>
  </si>
  <si>
    <t>26/10/2022 - Encaminhado para elaboração da minuta07/11/2022 - Encaminhado contrato para a empresa realizar assinatura (aguardando retorno)10/11/2022 - Encaminhado ao SESP/SC para demais providências quanto a assinatura do DG e publicação do DIOE18/11/2022 - Encaminhado ao setor de computação Forense para aguardar a entrega do objeto 05/12/2022 - Se encontra na PCP/CWB/VISC/COMP para demais providências10/01/2023 - Se encontra na PCP/DA/GAA/COMPRAS para demais providências                                                                                            TECH BIZ - 06/02/2023 (2 ENTREGAS) Entregas realizadas.Falta somente nota de pagamento, verificado em 15/05/2023</t>
  </si>
  <si>
    <t>19.443.904-0</t>
  </si>
  <si>
    <t>Aditivo de Acréscimo de até 25% sob o Contrato n 1047/2021 firmado entre o Departamento de Polícia Civil e a empresa FABBRICA D'ARMI BERETTA - SPA, a fim de atender a demanda do órgão da Polícia Científica do Paraná. 20 Pistolas para ACF</t>
  </si>
  <si>
    <t>R$ 46.979,94</t>
  </si>
  <si>
    <t>ADITIVO</t>
  </si>
  <si>
    <t>PCP/DIR/GAB</t>
  </si>
  <si>
    <t>Aguardando aprovação DA/DIV                                                                                                                                     17/10/2022 - Para informação do IOF no contrato                                                                                            20/10/2022 PCP/DG encaminhado para ciência05/12/2022 - Se encontra na PCP/DIR/GAB AGUARDANDO CONCLUSÃO DO PROCESSO LICITATÓRIO</t>
  </si>
  <si>
    <t>19.401.599-2</t>
  </si>
  <si>
    <t>Licit. Câmeras e Gravadores - Sol. abertura de procedimento licitatório, visando a aquisição de câmeras de vigilância e gravadores de vídeo, a fim de atender a demanda do órgão da Polícia Científica do Paraná.</t>
  </si>
  <si>
    <t>R$ 233.381,50</t>
  </si>
  <si>
    <t>Raphael Laércio Zago</t>
  </si>
  <si>
    <t>Aguardando assinaturas                                                                                                                                                   07/10/2022 - Encaminhado a SESP/GOFS para providências                                                                         27/10/2022 - Sobretestar o protocolo até segunda ordem05/12/2022 - Se envontra na PCP/DA/GAA/CHEFE para análise.          18/04/2023 - Sendo instruído                                                                                         28/08/2023 - Encaminhado da PCP/DIR/NI para PCP/DA/GAA/COMPRAS para arquivamento</t>
  </si>
  <si>
    <t>19.234.881-1</t>
  </si>
  <si>
    <t>Aquisição de testes imunocromatográficos para Sangue Oculto e PSA</t>
  </si>
  <si>
    <t>R$ 7.990,00</t>
  </si>
  <si>
    <t>Encaminhado para o financeiro,Para informação orçamentária, pré empenho e empenho                                                                                       09/11/2022 - Retornou para atualização                                                                                                                                                                     10/11/2022 - Foi pedido a atualização as propostas, aguardando retorno.                                                                                                                                                                                  18/11/2022 - Encaminhado a SESP/APC para análise e demais providências e encaminhar a SESP/SL05/12/2022 - Se encontra na PCP/CWB/TAR/GENET para demais providências.06/03/2023 - JA PASSOU PELO FINANCEIRO, NÃO TEM DESPACHO E ESTÁ NO TAR/GENET</t>
  </si>
  <si>
    <t>19.403.625-6</t>
  </si>
  <si>
    <t>PROCESSO DE COMPRA DE ITENS PARA COLETA DE RESÍDUOS DE DISPARO DE ARMAS DE FOGO (STUBS, FITAS DE CARBONO E EMBALAGENS)</t>
  </si>
  <si>
    <t>Encaminhado para o financeiro,Para informação orçamentária, pré empenho e empenho 05/12/2022 - Se encontra sobrestar pela SESP/APC/BP.02/02/2023 - Se encontra na SESP/GAS/SC para análise07/02/2023 - Se encontra na PCP/DA/GAA/COMPRAS para demais providências                                                                    30/03/2023 - Encaminhado a origem para aguardar a entrega do material</t>
  </si>
  <si>
    <t>19.453.022-6</t>
  </si>
  <si>
    <t>Plataforma integrada de sequenciamento automatizado, paralelo e de alto rendimento</t>
  </si>
  <si>
    <t>R$ 839.123,59</t>
  </si>
  <si>
    <t>Mariana Maia Taulois do Rosario</t>
  </si>
  <si>
    <t>14/10/2022 - SL para análise05/12/2022 - Se encontra na SESP/SL para análise.16/12/2022 - Se encontra na SESP/SL/EXPED para demais providências10/01/2023 - Se encontra na SESP/SL para demais providências18/01/2023 - Se encontra na PCP/DA/GAOFS para demais providências02/02/2023 - Se encontra na PCP/CWB/TAR/GENET para demais providências03/07/2023 - Contrato assinado encaminhado à sesp11/07/2023 - Contrato e empenho assinados                                                           30/08/2023 - Se encontra na PCP/DA/GAA/PATR para patrimoniamento</t>
  </si>
  <si>
    <t>19.454.464-2</t>
  </si>
  <si>
    <t>Aquisição de equipamentos diversos - Projeto Fim da Dúvida</t>
  </si>
  <si>
    <t>R$ 118.091,50</t>
  </si>
  <si>
    <t>Arquivado</t>
  </si>
  <si>
    <t>10/10/2022 - Autorizado e Publicado 05/12/2022 - Se encontra na PCP/CWB/TAR/GENET para demais providências.05/05/2023 - Encaminhado para SEDEF informando que não é mais necessário tramitar devido aos equipamentos ja terem sido adquiridos com recursos proprios.                                                                         30/08/2023 - Encaminhado da SESP/APC para a PCP/DA/GAA/COMPRAS no dia 28/08/2023 para providencias</t>
  </si>
  <si>
    <t>17.194.401-5</t>
  </si>
  <si>
    <t>Aquisição de Perfurador automatizado de cartões tipo FTA - Projeto DNA - Fim da Dúvida</t>
  </si>
  <si>
    <t>R$ 400.000,00</t>
  </si>
  <si>
    <t>Mariana Ulyssea de Quadros</t>
  </si>
  <si>
    <t>Marcelo Malaghini</t>
  </si>
  <si>
    <t>22/09/2022 - Contrato assinado. Enviado nesta data para a SESP26/09/2022 - Retornou com o Contrato assinado para informar a empresa.27/09/2022 - Enviado para a empresa o contrato assinado e a Nota de Empenho. Em cópia Marianna Maia e Malaghini (Gestor e Fiscal) Protocolo encaminhado para que aguardem a entrega do equipamento.05/12/2022 - Se encontra na PCP/DIR/GAB para demais providências.16/12/2022 - Se encontra na PCP/DA/GAA/PATR para demais providências18/01/2023 - Se encontra na PCP/CWB/TAR/GENETpara análise02/02/2023 - Se encontra na SEDEF/NFS para demais providências08/02/2023 - Se encontra na SEDEF/CPCA para demais providências                                                       QIAGEN - Entregas em 10/10/2022 e 14/12/2022</t>
  </si>
  <si>
    <t>18.713.605-9</t>
  </si>
  <si>
    <t>processo de licitação para aquisição de reagentes químicos, visando atender as necessidades dos Laboratórios de Química Forense e Toxicologia Forense</t>
  </si>
  <si>
    <t>R$ 171.821,00</t>
  </si>
  <si>
    <t>Para intrução processual - 16/11/2022 - Aguardando assinaturas para encaminhamento ao financeiro                                                                                                                                                                24/10/2022 Processo na fase de coleta de orçamentos.31/10/2022 - Aguardando orçamentos... O que foi enviado não atendeu01/12/2022 - Protocolo se encontra na SESP - SESP/SL.06/12/2022 - Se encontra na SESP/SL para análise."05/12/2022 - Se encontra na SESP/SL para análise.  São 3 empresas, duas já realizaram as entregas.</t>
  </si>
  <si>
    <t>19.340.617-3</t>
  </si>
  <si>
    <t>COMISSÃO DO CONCURSO PÚBLICO PARA O CARGO DE AGENTE DE AUXILIAR DA PERÍCIA OFICIAL DO PARANÁ DA PCP DELIBERAÇÕES E DOCUMENTOS PARA ANÁLISE E ACOLHIMENTO DA INDICAÇÃO DE CONTRATAÇÃO DE BANCA EXAMINADORA PARA O CERTAME.</t>
  </si>
  <si>
    <t>R$ 576.000,00</t>
  </si>
  <si>
    <t>05/10/2022 - Encaminhado para Assessoria da Policia Cientifica para demais providências                             27/10/2022- Para recolher assinatura da empresa06/12/2022 - Se encontra na PCP/DIR/DIROP para análise.</t>
  </si>
  <si>
    <t>19.573.613-8</t>
  </si>
  <si>
    <t>Licit. Cromatógrafo Gasoso (02) - Sol. abertura de procedimento licitatório, visando a aquisição de dois Sistemas de Cromatografia Gasosa Acoplado a Espectrometria de Massas, a fim de atender a demanda do Laboratório de Química Forense da Polícia Científica do Paraná. (UM INVESTIMENTO E UM CONVÊNIO (EM FRENTE BRASIL 894219/2019)</t>
  </si>
  <si>
    <t>Curitiba - Laboratórios</t>
  </si>
  <si>
    <t>R$ 2.612.121,16</t>
  </si>
  <si>
    <t>sim/2</t>
  </si>
  <si>
    <t>894.219/2019</t>
  </si>
  <si>
    <t>06/10/2022 - Protocolo aberto em razão do 19.036.122-5 ter sido cancelado devido a ter apenas um sistema de cromatografia.07/10/2022 -  Encaminhado para tramitassão.                                                                                                                                                              19/10/2022 - (alteração justificativa 85) Encaminhado a SESP/APC para demais providências                                                                                                                                                     26/10/2022 - Encaminhado a assessoria da policia cientifica para análise e providências06/12/2022 - Se encontra na SESP/SL para análise.18/01/2023 - Se encontra na SESP/GOFS/FI para demais providências02/02/2023 - Se encontra na SESP/NACC/EP para demais providências                                                                                              19/06/2023 - Encaminhado ao SESP/SC para continuação da tramitação                                          23/06/2023 - Empenho enviado</t>
  </si>
  <si>
    <t>19.571.815-6</t>
  </si>
  <si>
    <t>Aquisição de Tablet Forense (multiespectral) através do Convênio Federal 894219/2019 "Em Frente Brasil"</t>
  </si>
  <si>
    <t>R$ 315.000,00</t>
  </si>
  <si>
    <t>10/10/2022 - Encaminhado PCP/DA/SEC para posterior encaminhamento ao DG                                                                                                                                            20/10/2022 - Anexado docs corrigidos e enviado p/ SESP/APC p/ continuidade                                                                                                                                   28/10/2022 Para análise01/12/2022 - Encaminhado para SESP - SESP/AT para providências.06/12/2022 - Se encontra na SESP/AT para demais providências.16/12/2022 - Se encontra na SESP/NACC/EP para demais providências09/01/2023 - Se encontra na SESP/GOFS/CO para demais providências                                                        16/06/2023 - Encaminhado a origem para aguardar a entrega do material                                                                                                       30/08/2023 - Material entregue 10/08/2023, enviado GOFS/SESP para pagamento em 23/08/2023</t>
  </si>
  <si>
    <t>19.152.596-5</t>
  </si>
  <si>
    <t>PE-1679/2022 Licit. Processador de Tecidos Histológico, a fim de atender a demanda do Laboratório de Anatomopatologia Forense da Polícia Científica do Paraná.</t>
  </si>
  <si>
    <t>R$ 69.651,55</t>
  </si>
  <si>
    <t>PCP/CWB/TAR/PATOL</t>
  </si>
  <si>
    <t>14/10/2022 - Encaminhado para adequação de orçamentos17/10/2022 - Retornou para o compras nesta data 01/11/2022 - Taborda ficou de verificar com o Luciano APC08/11/2022 - Aguardando retorno da Regina com as negativas16/11/2022 - Encaminhado a SESP/SL via SESP/APC para continuidade da tramitação. 29/11/2022 - Protocolo retornou da AT solicitando mudar orçamentos. Foi realizada uma justificativa e devolvido o protocolo.01/12/2022 - Protocolo se encontra na SESP - SESP/SL para análise.18/01/2023 - Se encontra na PCP/DA/SEC para demais providências08/02/2023 - Se encontra na  PCP/DA/GAA/CHEFE para análise                                                                                   19/07/2023 - Encaminhado para PCP/DA/DIV para continuação da tramitação                                                      30/08/2023- encontra-se no PCP/DA/GAA/COMPRAS para novas adequações.                                                                            04/09/2023 - Encaminhado a origem para as devidas adequações                                                                          05/12/2023- Desde 21/09 sobrestado na origem 12/01/2024 - Protocolo devolvido ao compras com adequações insuficientes, em acordo entre chefias em 08/02/2024 protocolo restituído a origem - PCP/CWB/TAR/GENET para instrução processual</t>
  </si>
  <si>
    <t>19.589.832-4</t>
  </si>
  <si>
    <t>SRP Administrativo (Lote 4 (DDD43) - Transferência de saldo da SESP ao DPC PE n 1428/2021, visando a contratação de postos de administrativo I 40 horas semanais junto à empresa PLANSERVICE TERCEIRIZAÇÃO DE SERVIÇOS EIRELI, a fim de atender a demanda do órgão da Polícia Científica do Paraná.</t>
  </si>
  <si>
    <t>Apucarana, Ivaiporã, Jacarezinho e Londrina</t>
  </si>
  <si>
    <t>R$ 226.180,80</t>
  </si>
  <si>
    <t>serviço</t>
  </si>
  <si>
    <t>17/10/2022 - Aguardando Assinaturas18/10/2022 - Assinaturas realizadas. Será encaminhado nesta data18/10/2022 - Enviado PCP/DA/SEC para aprovação e continuidade01/12/2022 - Protocolo se encontra na SESP - SESP/AT para providências.                                                                                       14/12/2022 - Encaminhado à SESP/APC para demais providências16/12/2022 - Se encontra na SEAP/GS para demais providências10/01/2023 - Se encontra na SESP/GS para demais providências18/01/2023 - Se encontra na SESP/GOFS/FI para demais providências08/02/2023 - Se encontra na SESP/GAS/SC para demais providências</t>
  </si>
  <si>
    <t>19.467.644-1</t>
  </si>
  <si>
    <t>Registro de Preços para contratação futura e eventual de Equipamentos de processamento e armazenamento de vestígios digitais para equipar a Seção de Computação Forense da Polícia Científica do Paraná</t>
  </si>
  <si>
    <t>SEÇÃO DE COMPUTAÇÃO FORENSE</t>
  </si>
  <si>
    <t>R$ 7.404.009,57</t>
  </si>
  <si>
    <t>11/10/2022 - Encaminhado para atualização de proposta31/10/2022 - Propostas atualizadas -  Será encaminhado                                                                                                                                                                                                       03/11/2022 - Encaminhado para DA/DIV para análise e manifestação                                                                                                                                          22/11/2022 - Retornou para ajustes no TR                                                                                                                                                                                          22/11/2022 - Encaminhado a Seção de Computação para providências01/12/2022 - Protocolose encontra na PCP/CWB/VISC/COMP06/12/2022 - Se encontra na PCP/CWB/VISC/COMP para demais providências.                                                                                              19/04/2023 - Será adequado conforme a nova Lei                                                                                                    30/06/2023 - Protocolo adequado a nova lei, enviado à PCP/DA/SEC sugerindo encaminhamento à CELEPAR  30/08/2023 - Enviado SESP/ATIC para providências.                                                                                                                                                31/10/2023 - Encamihado a SESP/APC para continuação da tramitação.                        13/11/2023 - Encaminhado a origem para adequações                                                                         05/12/2023 - desde 17/11 SEAP/DECON/DP08/04/2024- Encaminhado à Divisão de Licitação para análise e manifestação14/06/2024- Processo licitatório adjudicado e homologado25/06/2024- Aguardando arquivamento</t>
  </si>
  <si>
    <t>19.545.203-2</t>
  </si>
  <si>
    <t>PROCESSO PARA COMPRA DE INSUMOS DO LABORATORIO DE PATOLOGIA FORENSE</t>
  </si>
  <si>
    <t>LABORATÓRIO DE ANATOMOPATOLOGIA</t>
  </si>
  <si>
    <t>R$ 13.799,00</t>
  </si>
  <si>
    <t>31/10/2022 - Aguardando atualização de orçamentos e o fechamento da proposta com a empresa (resposta da empresa)03/11/2022 - Aguardando o fechamento com a empresa ganhadora                                                                                                                     04/11/2022 - Encaminhado ao PCP/DA/DIV para análise e manifestação01/12/2022 - Protocolo se encontra na SESP - SESP/SL06/12/2022 - Se encontra na SESP/SL para análise.16/12/2022 - Se encontra na PCP/DA/GAA/ALMOX para demais providências08/02/2023 - Se encontra na PCP/DA/GAOFS para demais providências</t>
  </si>
  <si>
    <t>19.671.267-4</t>
  </si>
  <si>
    <t>SRP material de escritório - aquisição através do sistema de registro de preço do pregão eletrônico no. 268/2022, de material de escritório, para atender a demanda do órgão da Polícia Científica do Paraná.</t>
  </si>
  <si>
    <t>Danielson</t>
  </si>
  <si>
    <t>R$ 524,72</t>
  </si>
  <si>
    <t>01/11/2022 - Encaminhado para DA/DIV para análise e providências                                                                                                           30/11/2022 - Encaminhado ao Almoxarifado para aguardar a entrega do material01/12/2022 - Protocolo se encontra na PCP/DA - PCP/DA/GAA/ALMOX.06/12/2022 - Se encontra na PCP/DA/GAA/ALMOX para demais providências.02/02/2023 - Se encontra na PCP/DA/GAOFS para demais providências08/02/2023 - Se encontra na PCP/DA/GAA/ALMOX para demais providências                                                  EVL eireli - 19/01/2023  Leão de Judá Comercial LTDA -Entregue em 09/05/2023, com essa última entrega, todo o material foi entregue, finalizando assim o processo.</t>
  </si>
  <si>
    <t>19.693.238-0</t>
  </si>
  <si>
    <t>NOVO Realização de termo aditivo ao contrato 0477/2022 - GMS 2013/2022, firmado entre o ESTADO DO PARANÁ, por intermédio da SECRETARIA DE ESTADO DA SEGURANÇA PÚBLICA, e a empresa VALID SOLUÇÕES S.A, referente à CONFECÇÃO DE CARTEIRAS DE IDENTIDADE FUNCIONAIS EM FORMATO FÍSICO (CARTÃO) E DE PERSONALIZAÇÃO</t>
  </si>
  <si>
    <t>R$ 24.913,04</t>
  </si>
  <si>
    <t>07/11/2022 - Instruído novo processo por solicitação da Gerência e da Assessoria da PCP01/12/2022 - Protocolo se encontra na DPC/IIPR - DPC/II/DIR.06/12/2022 - Se encontra na DPC/II/DIR para demais providências.16/12/2022 - Se encontra na DPC/DG para análise18/01/2023 - Se encontra na SESP/DG para análise02/02/2023 - Se encontra na SESP/GAS/SC para análise08/02/2023 - Se encontra na SESP/ATJ para demais providências                                                 05/12/2023 - Arquivado desde 16/02/2023</t>
  </si>
  <si>
    <t>19.700.034-1</t>
  </si>
  <si>
    <t>Apostilamento ao Contrato n 1135/2022 - LANCI INDUSTRIA E COMÉRCIO DE MÓVEIS PLÁSTICOS EIRELI (Espaço Verde), visando a retificação do descritivo do objeto.</t>
  </si>
  <si>
    <t>SESP/GOFS/FI</t>
  </si>
  <si>
    <t>09/11/2022 - Encaminhado a DA/DIV para análise e providências                                                                                                                      21/11/2022 - Encaminhado a chefia do tarumã para apensar o processo no protolo cabeça.01/12/2022 - Protocolo se encontra na PCP/CWB/TAR - PCP/CWB/TAR/CHEFIA.06/12/2022 - Se encontra na PCP/CWB/TAR/CHEFIA para demais providências.16/12/2022 - Se encontra apostado09/01/2023 - Se encontra na SESP/GOFS/FI para demais providências18/01/2023 - Se encontra na  PCP/DA/GAA/PATR para análise02/02/2023 - Se encontra apensado no protocolo 18.267.900-3 e no setor da  SESP/GOFS/FI para demais providências                                                                                                  05/12/2023 - APENSADO AO PROTOCOLO 18.267.900-3 (AMBOS ARQUIVADOS)</t>
  </si>
  <si>
    <t>19.092.656-7</t>
  </si>
  <si>
    <t>SRP - aquisição de placas balísticas nível III com capa - ATA de Registro de Preço PE-870/2021 - Protocolo 175297693</t>
  </si>
  <si>
    <t>30/11/2022 - Encaminhado ao Grupo Auxiliar Orçamentário para informação de Pré empenho e empenho01/12/2022 - Protocolo se encontra na PCP/DA - PCP/DA/GAA/CHEFE, aguardando disponibilidade orçamentáriade investimento.06/12/2022 - Se encontra sobrestar pela PCP/DA/GAA/CHEFE.16/12/2022 - Se encontra na PCP/DA/GAA/CHEFE sobrestar até segunda ordem11/01/2023 - Se encontra na PCP/DA/GAA/COMPRAS para demais providências                                                 18/04/2023 - Aguardando ser encaminhado, mas está pronto                                                                                         30/08/2023 - Sobrestado desde 25/01/2023</t>
  </si>
  <si>
    <t>19.658.195-2</t>
  </si>
  <si>
    <t>Abertura de procedimento Licitatório visando a aquisição de uniformes ( jalecos e aventais)</t>
  </si>
  <si>
    <t>R$ 141.558,00</t>
  </si>
  <si>
    <t>21/08/202328/08/2023</t>
  </si>
  <si>
    <t>17/10/2023                                                22/11/2023 - aventais</t>
  </si>
  <si>
    <t>Josué Tadeu Borba</t>
  </si>
  <si>
    <t>Bruno Trevisan Zacharias</t>
  </si>
  <si>
    <t>08/11/2022 - Encaminhado para DA/DIV para análise e providências01/12/2022 - Protocolo se encontra para análise e providências na DA/DIV.06/12/2022 - Se encontra na PCP/DA/GAA/COMPRAS para providencias18/01/2023 - Se encontra na PCP/DA/GAOFS para análise02/02/2023 - Se encontra na SESP/SL para demais providências                                                                               30/08/2023 - Contrato e nota de empenho enviado ao fornecedor em 21/08/2023 e 28/08/2023, aguardando entrega                                                                                                                   24/10/2023 - Material entregue Almoxarifado na data 17/10/2023                                                                                                                                            22/11/2023 - Recebido no dia 22/11/2023 no almoxarifado os aventais</t>
  </si>
  <si>
    <t>19.363.539-3</t>
  </si>
  <si>
    <t>SRP de contratação de controlador de acesso - aquisição através do sistema de registro de preço do pregão eletrônico no. 912/2021, de controlador de acesso, para atender a demanda do órgão da Polícia Científica do Paraná.</t>
  </si>
  <si>
    <t>SEDE - TARUMÃ E CENTRAL</t>
  </si>
  <si>
    <t>R$ 367.542,72</t>
  </si>
  <si>
    <t>Sim</t>
  </si>
  <si>
    <t>Luis Henrique Ferreira de Moraes</t>
  </si>
  <si>
    <t>Jorge Aurélio Perito de Bem E Patrícia Doubas Cancelier</t>
  </si>
  <si>
    <t>01/12/2022 - Aguardando conclusão de cadastro em PCP/DA/GAA/COMPRAS.06/12/2022 - Se encontra na PCP/DA/GAA/COMPRAS para demais providências.16/12/2022 - Se encontra na SESP/DG para demais providências18/01/2023 - Se encontra na PCP/DA/GAA/COMPRAS para demais providências (atualização de orçamento)                                                                                                         28/02/2023 - Encamminhado a SESP/GAS/SC para demais providências</t>
  </si>
  <si>
    <t>19.727.546-4</t>
  </si>
  <si>
    <t>UNIDADE PARANAGUÁ</t>
  </si>
  <si>
    <t>R$ 83.830,56</t>
  </si>
  <si>
    <t>Vanessa Regina Kluppel Cunha</t>
  </si>
  <si>
    <t>01/12/2022 - Aguardando conclusão de cadastro em PCP/DA/GAA/COMPRAS.06/12/2022 - Se encontra na PCP/DA/DIV para demais providências.16/12/2022 - Se encontra na SESP/DG para demais providências09/01/2023 - Se encontra na SESP/GOFS/FI para demais providências18/01/2023 - Se encontra na PCP/DA/GAA/COMPRAS para demais providências (atualização de orçamento)                                                                                                         28/02/2023 - Encamminhado a SESP/GAS/SC para demais providências</t>
  </si>
  <si>
    <t>19.761.614-8</t>
  </si>
  <si>
    <t>SRP Material de Limpeza - aquisição através do sistema de registro de preço do pregão eletrônico no. 594/2021, de material de limpeza, para atender a demanda do órgão da Polícia Científica do Paraná.</t>
  </si>
  <si>
    <t>R$ 2.539,00</t>
  </si>
  <si>
    <t>01/12/2022 - Aguardando conclusão de cadastro em PCP/DA/GAA/COMPRAS.                                                                02/12/2022 - Encaminhado a Chefia da divisão administrativa da para análise e manifestação.06/12/2022 - Se encontra na PCP/DIR/GAB para demais providências.                                                                       12/12/2022 - Encaminhado ao almoxarifado para aguardar a entrega do material 09/01/2023 - Se encontra na PCP/DA/GAOFS aguardando pagamento18/01/2023 - Se encontra na PCP/DA/GAOFS para demais providências08/01/2023 - Se encontra na PCP/DA/GAA/ALMOX para demais providências                                                                     Bonzao comercio de prod de limpeza eireli - 15/12/2022   Isanete - 28/02/2023.</t>
  </si>
  <si>
    <t>19.727.856-0</t>
  </si>
  <si>
    <t>Ponta Grossa, Guarapuava, Telêmaco Borba, União da Vitória, Maringá, Campo Mourão, Paranavaí, Umuarama, Jacarezinho, Apucarana, Ivaiporã e Londrina</t>
  </si>
  <si>
    <t>R$ 1.257.300,48</t>
  </si>
  <si>
    <t>Edson da Silva Napoleão, Luciano Gardano Elias Bucharles,Maria Cecília Begnossi</t>
  </si>
  <si>
    <t>Augusto Pasqualini Neto, Edison Alves de Jesus, Kelly Cristina Cancela, Marcos Paulo Bebici, Evandro Antônio Lara Seabra, Francine Matias de Paula, Leonardo de Ataíde Jedneralski, Maurício Nakao Yorinori, Claudio Luiz Mangini, Evandro Luiz Lustre, Henrique Czap Coelho, Jaqueline de Moura da Silva</t>
  </si>
  <si>
    <t>01/12/2022 - Aguardando conclusão de cadastro em PCP/DA/GAA/COMPRAS.06/12/2022 - Aguardando conclusão de cadastro em PCP/DA/GAA/COMPRAS.16/12/2022 - Se encontra na SESP/DG para demais providências09/01/2023 - Se encontra na SESP/AT para demais providências18/01/2023 - Se encontra na PCP/DA/GAA/COMPRAS para demais providências (atualização de orçamento e solicitando mais um orçamento)                                                                                                                      28/02/2023 - Encaminhado a AT/SESP via APC</t>
  </si>
  <si>
    <t>19.761.643-1</t>
  </si>
  <si>
    <t>SRP Material de Cama, Mesa e Banho - aquisição através do sistema de registro de preço do pregão eletrônico no. 1315/2021, de material de cama, mesa e banho, para atender a demanda do órgão da Polícia Científica do Paraná.</t>
  </si>
  <si>
    <t>R$ 49.211,34</t>
  </si>
  <si>
    <t>01/12/2022 - Aguardando conclusão de cadastro em PCP/DA/GAA/COMPRAS.06/12/2022 - Aguardando conclusão de cadastro em PCP/DA/GAA/COMPRAS.16/12/2022 - Se encontra na PCP/DA/GAA/COMPRAS para demais providências09/01/2023 - Se encontra na PCP/DA/GAA/ALMOX para demais providências                                                                                                                                                               15/03/2023 - Empresa Diperene entregou os colchões                                                                    Diperene - 15/03/2023   Gazin Colchões - 21/03/2023 condafe - 24/03/2023  elo textil LTDA -28/04/2023, 04/05/2023  Kelly minioli - 28/03/2023. CONDAFE REALIZOU ENTREGA EM 30/05/2023, falta somente emissão de nota de pagamento para ser finalizado</t>
  </si>
  <si>
    <t>19.761.669-5</t>
  </si>
  <si>
    <t>SRP Material de Copa - aquisição através do sistema de registro de preço do pregão eletrônico no. 833/2021, de material de copa, para atender a demanda do órgão da Polícia Científica do Paraná.</t>
  </si>
  <si>
    <t>R$ 10.990,20</t>
  </si>
  <si>
    <t>PCP/DA/GAOFS/FR</t>
  </si>
  <si>
    <t>01/12/2022 - Aguardando conclusão de cadastro em PCP/DA/GAA/COMPRAS.06/12/2022 - Aguardando conclusão de cadastro em PCP/DA/GAA/COMPRAS.                                                                                              12/12/2022 - Encaminhado ao almoxarifado para aguardar a entrega do material 16/12/2022 - Se encontra na PCP/DA/GAOFS para demais providências02/02/2022 - Se encontra na PCP/DA/GAA/ALMOX para demais providências                                                                                                                                                           03/02/2023 - Material recebido da empresa SOLO G908/02/2023 - Se encontra na PCP/DA/GAOFS para demais providências                                                                                                                                                                                                       Diperene - 12/12/2022  Solo G9 eireli - 02/02/2023  Kelly A.D.S - 21/03/2023, 28/03/2023 Todos os produtos entrgues.</t>
  </si>
  <si>
    <t>19.731.493-1</t>
  </si>
  <si>
    <t>UNIDADE DE CASCAVEL, FOZ DO IGUAÇU, FRANCISCO BELTRÃO, PATO BRANCO, TOLEDO</t>
  </si>
  <si>
    <t>R$ 665.128,32</t>
  </si>
  <si>
    <t>Leandro Paes Leme Peyneau</t>
  </si>
  <si>
    <t>Graciele Cristina Zawadzki Pereira, Edson Luiz Costa Zaparoli, Lennon Biancato Ruhnke, Leonete Ghellere, Rafael Ricardo Frez</t>
  </si>
  <si>
    <t>01/12/2022 - Aguardando conclusão de cadastro em PCP/DA/GAA/COMPRAS.06/12/2022 - Se encontra na PCP/DA/DIV.16/12/2022 - Se encontra na SESP/DG para demais providências09/01/2023 - Se encontra na SESP/AT para demais providências18/01/2023 - Se encontra na PCP/DA/GAA/COMPRAS para demais providências (atualização de orçamento e solicitando mais um orçamento)                                                                                                                      28/02/2023 - Encaminhado a AT/SESP via APC</t>
  </si>
  <si>
    <t>19.781.000-9</t>
  </si>
  <si>
    <t>SRP de contratação de jardineiro e servente - aquisição através do sistema de registro de preço do pregão eletrônico no. 912/2021, para atender a demanda do órgão da Polícia Científica do Paraná.</t>
  </si>
  <si>
    <t>Unidade do Tarumã - CTBA</t>
  </si>
  <si>
    <t>R$ 70.296,24</t>
  </si>
  <si>
    <t>30/11/2022 - Aguardando assinaturas para envio PCP/DA/DIV para análise e demais providências01/12/2022 - Enviado para PCP/DA - PCP/DA/GAOFS/CHEFE.06/12/2022 - Se encontra na PCP/DIR/GAB para demais providências.15/12/2022 - Se encontra na SESP/AT para providências09/01/2023 - Se encontra na PCP/DA/GAA/COMPRAS para demais providências18/01/2023 - Se encontra na PCP/DA/GAOFS para análise02/02/2023 - Se encontra na SESP/ATJ para demais providências08/02/2023 - Se encontra na SESP/APC para demais providências</t>
  </si>
  <si>
    <t>19.815.447-4</t>
  </si>
  <si>
    <t>SRP Furgão - Aquisição através do Sistema de Registro de Preço do Pregão Eletrônico n.o 777/2021, de furgão, para atender a demanda do órgão da Polícia Científica do Paraná.</t>
  </si>
  <si>
    <t>R$ 223.291,10</t>
  </si>
  <si>
    <t>15/12/2022 - Se encontra na SESP/DG para providências09/01/2023 - Se encontra na  SESP/GAS/SC para demais providências18/01/2023 - Se encontra na PCP/DA/GAA/COMPRAS (contratos) aguardando assinatura02/02/2023 - Se encontra na PCP/DO/SEC para demais providências</t>
  </si>
  <si>
    <t>19.817.616-8</t>
  </si>
  <si>
    <t>SRP Luvas - Aquisição através do Sistema de Registro de Preço do Pregão Eletrônico n.o 638/2021, de luvas, para atender a demanda do órgão da Polícia Científica do Paraná.</t>
  </si>
  <si>
    <t>R$ 36.137,20</t>
  </si>
  <si>
    <t>30/12/2022 - Encaminhado a DIV para análise e manifestação                                                                                                                                                 14/12/2022 - Encaminhado ao setor de almoxarifado para aguardar a entrega do material 09/01/2023 - Se encontra na PCP/DA/GAOFS para demais providências18/01/2023 - Se encontra na  PCP/DA/GAA/ALMOX para demais providências02/02/2023 - Se encontra na PCP/DA/GAOFS para demais providências08/02/2023 - Se encontra na PCP/DA/GAA/ALMOX para demais providências                                                                                             Londricir LTDA - 14/12/2022, GTmed realizou entrega em 24/05/2023</t>
  </si>
  <si>
    <t>19.933.437-9</t>
  </si>
  <si>
    <t>Aquisição através de dispensa de licitação de cortinas persianas para ACF.</t>
  </si>
  <si>
    <t>R$ 6.400,00</t>
  </si>
  <si>
    <t>ARQUIVO CORRENTE</t>
  </si>
  <si>
    <t>26/01/2023 - Encaminhado ao PCP/DA/DIV para análise e manifestação02/02/2023 - Encaminhado ao PCP/DA/DIV para análise e manisfestação                                                                 16/05/2023 - Encaminhado ao PCP/DA/DIV para ciência e ações caso requer                                                        30/08/2023 - Arquivo corrente data 22/05/2023 PCP/ACF/DIR</t>
  </si>
  <si>
    <t>19.725.376-2</t>
  </si>
  <si>
    <t>Aquisição através de dispensa de Interface de áudio para o núcleo de perícias audiovisuais</t>
  </si>
  <si>
    <t>SEÇÃO DE COMPUTAÇÃO - VISCONDE</t>
  </si>
  <si>
    <t>R$ 10.970,10</t>
  </si>
  <si>
    <t>Davi Azevedo de Queiroz Santos</t>
  </si>
  <si>
    <t>Denise de Oliveira Carneiro Berejuk</t>
  </si>
  <si>
    <t>02/02/2023 - Se encontra na PCP/DA/GAA/COMPRAS para demais providências                                                                            01/03- Enviado PCP/DA/SEC para analise e ciência sugerindo encaminhamento ao GAOFS.                                   23/03/2023 - Encaminhado à SESP/APC sugerindo encaminhamento a GAOFS para inclusão de informação orçamentária                                                                                                                                                                         17/05/2023- encaminhado à comp. forense para adequações a Lei 14.133                                                           16/11/2023 - Ainda se encontra na computação.</t>
  </si>
  <si>
    <t>19.968.524-4</t>
  </si>
  <si>
    <t>Licitação - Aquisição através de procedimento licitatório de Pijamas Cirúrgicos para atender a demanda de todas as unidades da Polícia Científica do Estado do Paraná.</t>
  </si>
  <si>
    <t>R$ 49.131,25</t>
  </si>
  <si>
    <t>Janaiana Aparecida da Cunha</t>
  </si>
  <si>
    <t>Pijama Cirurgico 500                                                                                                                                                            01/03 - enviado PCP/DA/SEC para continuidade.                                                                                                       30/08/2023 - Arquivado em 28/07/23 devido mudança de modalidade de compras para dispensa de licitação</t>
  </si>
  <si>
    <t>19.945.294-0</t>
  </si>
  <si>
    <t>Licitação - tem este o objetivo de solicitar a abertura de procedimento licitatório para aquisição de Bomba a Vácuo, visando atender a demanda de análises instrumentais periciais do Laboratório de Química Forense da Polícia Científica do Paraná.</t>
  </si>
  <si>
    <t>LABORATÓRIO DE QUÍMICA - UNIDADE TARUMÃ</t>
  </si>
  <si>
    <t>R$ 43.434,55</t>
  </si>
  <si>
    <t>02/03/2023 - Encaminhado a DA/DIV para análise e manifestação                                                                           24/04/2023 - Encaminhado para origem para adequação                                                                                                            01/06/2023 Após as adequações, restituido ao setor de licitações via Apoio Técnico da Polícia Científica                                                                                                                                     23/06/2023 - Readequado e encaminhado ao SESP/GAOFS via SESP/APC para atualização das informações orçamentárias                                                                                                                                                          26/06/2023 - Encaminhado ao APC para a continuação da tramitação                                                                 30/08/2023 - enviado 31/07 para PCP/CWB/TAR/QUIM sugerido mudança de modalidade para dispensa por baixo valor</t>
  </si>
  <si>
    <t>18.824.341-0</t>
  </si>
  <si>
    <t>PE-1345/2022 - Licit. Removedor (Acetona) - Sol. abertura de procedimento licitatório, visando a aquisição de removedores a base de acetona, a fim de atender a demanda das seções de Identificação Veicular, Balística e Laboratório de Necrotério das unidades da Polícia Científica do Paraná.</t>
  </si>
  <si>
    <t>R$ 21.199,50</t>
  </si>
  <si>
    <t>31/01/2023 - Encaminhado ao gestor para aguardar a entrega do respectivo objeto                                                      27/02/2023 - material entregue no almoxarifado                                                                                                                    18/04/2023 -  houve troca do produto entregue, pois foi constatado que os itens não atendiam as especificações do TR, informação vinda do despacho 34.</t>
  </si>
  <si>
    <t>SRP Furgão - Aquisição através do Sistema de Registro de Preço do Pregão Eletrônico n.o 777/2021, de furgão, para atender a demanda do órgão da Polícia Científica do Paraná</t>
  </si>
  <si>
    <t>19.982.122-9</t>
  </si>
  <si>
    <t>Aquisição através de dispensa de licitação de Aquisição através de dispensa de licitação de diagramação para ACF.</t>
  </si>
  <si>
    <t>R$ 2.900,00</t>
  </si>
  <si>
    <t>02/02/2023 - Encaminhado ao GAOFS para informação orçamentária. Enviado para SESP/DG em 14/02/2023;03/03/2023 - Enviado para fornecedor e protocolo para origem para entrega do produto                                                                                                         30/08/2023 - Produto entregue, despesa paga em 24/07/2023</t>
  </si>
  <si>
    <t>19.995.568-3</t>
  </si>
  <si>
    <t>Solicitação de auxiliar de manutenção predial</t>
  </si>
  <si>
    <t>PCP</t>
  </si>
  <si>
    <t>R$ 43.111,92</t>
  </si>
  <si>
    <t>20/03 - Em instrução                                                                                 22/03/2023 - Arquivo corrente                                                                            30/08/2023 - Arquivado</t>
  </si>
  <si>
    <t>20.038.153-0</t>
  </si>
  <si>
    <t>Solicita a aquisição de saco plástico simples, para uso geral, atendendo demanda de todas as Unidades da Polícia Científica do Paraná.</t>
  </si>
  <si>
    <t>R$ 16.939,60</t>
  </si>
  <si>
    <t>Tatiane Aparecida Wolf Prussak</t>
  </si>
  <si>
    <t>15/02/2023 - Encaminhado ao GAOFS para informação orçamentária e emissão de pré empenho e empenho     21/03/2023 - Encaminhado ao setor de almoxarifado para aguardar a entrega do respectivo material                                                                                     Mercado Comércio de Embalagens LTDA - 23/03/2023                                                                                                       12/05/2023 - Encaminhado ao Setor de Computação Forense para adequações</t>
  </si>
  <si>
    <t>ACADEMIA DE CIÊNCIA FORENSE</t>
  </si>
  <si>
    <t>"Encaminhado para o financeiro,Para informação orçamentária, pré empenho e empenho   05/12/2022 - Se encontra sobrestar pela SESP/APC/BP.02/02/2023 - Se encontra na SESP/GAS/SC para análise07/02/2023 - Se encontra na PCP/DA/GAA/COMPRAS para demais providências"                                       06/02/2023 - Devolvio ao GAA/COMPRAS para atualização                                                                                   06/02/2023 - Aguardando atualização de Orçamentos                                                                                       14/02/2023 - Encaminhado à APC para demais providências                                                                                      30/03/2023 Encaminhado - aguardar entrega                                                                                                   05/12/2023 - Pagamento efetuado 01/11/2023</t>
  </si>
  <si>
    <t>20.020.331-3</t>
  </si>
  <si>
    <t>Ofício 002 DEST CIRCULAR - Pesquisa de Interesse de Reprografia - PCP</t>
  </si>
  <si>
    <t>REGISTRO DE PREÇO (PESQUISA DE INTERESSE)</t>
  </si>
  <si>
    <t>SESP/COMP/ARQ</t>
  </si>
  <si>
    <t>15/02/2023 - Encaminhado à APC para demais providências                                          05/12/2023 - ARQUIVADO SESP/COMP</t>
  </si>
  <si>
    <t>19.286.556-5</t>
  </si>
  <si>
    <t>Aquisição de Ferramenta Forense de recuperação de dados de HDs e SSDs, com Licitação - Convênio FUNSUSP (AÇÃO 3 - META 1: meta específica 2)</t>
  </si>
  <si>
    <t>R$ 186.421,33</t>
  </si>
  <si>
    <t>26/09/2022 - Protocolo havia sido encaminhado diretamente ao setor de licitações da SESP sem passar pelo COMPRAS. Agora foi encaminhado para inserir documentos faltantes e solicitar novos orçamentos.17/10/2022 - Pendente de assinaturas (Fábio e Márcio) 18/10/2022- Encaminhado para PCP/SEC para análise e providências.                                                                                                                                                        22/10/2022 - Com devidas correções, protocolo enviado PCP/DA/DIV                                                                         24/10/2022 - Encaminhado a SESP/SL para análise 05/12/2022 - Se encontra na SESP/SL para demais providências.02/02/2023 - Se encontra na PCP/DA/GAA/COMPRAS para demais providências                                                                                                                                                    08/02/2023 - Encaminhado a SESP/SL via APC para continuidade da tramitação                                                  08/028/2023 - Encaminhado ao GAA/COMPRAS para atualização                                                                 14/02/2023 - Auardando atualização de orçamentos                                                                                            17/02/2023 - Encaminhado a APC para continuação da tramitação                                                                                                                       02/03/2023 - Encaminhado a SESP/SL VIA APC para continuação da tramitação05/06/2023 - Encaminhado ao SESP/SC com o contrato assinado pela empresa</t>
  </si>
  <si>
    <t>19.497.322-5</t>
  </si>
  <si>
    <t>Aquisição de Equipamentos de processamento e armazenamento de vestígios digitais, com Licitação - Convênio FUNSUSP (Meta Específica 3)</t>
  </si>
  <si>
    <t>R$ 1.128.329,85</t>
  </si>
  <si>
    <t>11/10/2022 - Encaminhado para atualização de proposta31/10/2022 - Estavamos aguardando atualização de orçamentos.                                                                                                                                                                               31/10/2022 - Encaminhado para DIV para análise e providências01/12/2022 - Protocolo encaminhado para gabinete da Policia Cientifica para analise.06/12/2022 - Se encontra na PCP/DIR/GAB para análise.09/01/2023 - Se encontra na SESP/SL para análise                                                                                                                         10/02/2023 - Encaminhado ao GAA/COMPRAS para adequação do TR                                                                                       15/02/2023 - Encaminhado para APC para continuidade da tramitação                                                         17/02/2023 - Retornou para atualização de orçamentos (aguardando cotações)                            03/03/2023 - Enviado para o SL com os documentos atualizados                                                     19/04/2023 - Encaminhado à Seção de Computação Forense para adequações</t>
  </si>
  <si>
    <t>19.520.032-7</t>
  </si>
  <si>
    <t>Aquisição de Freezers e Refrigeradores específicos para uso em Laboratórios, a fim de atender as demandas dos Laboratórios de Toxicologia Forense, Química Forense, Genética Forense e Central de Custódia da Polícia Científica do Paraná.</t>
  </si>
  <si>
    <t>TARUMÃ - LABORATÓRIOS E CUSTÓDIA</t>
  </si>
  <si>
    <t>R$ 2.247.262,42</t>
  </si>
  <si>
    <t>16/01/2023 - Atualização de orçamentos na unidade de origem                                                                                              18/01/2023 - Aguardando liberação de verba de investimento para instrução                                                                                               02/03/2023 - Enviado DA/SEC para conhecimento                                                                                                                                         03/03/2023- encontra-se SESP/SL                                                                                                                                                                                                                    15/03/2023 - Encaminhado a SESP/SL para continuidade da tramitação                                                                   17/05/2023-  Enviado para PCP/CWB/TAR - PCP/CWB/TAR/CHEFIA para adequações</t>
  </si>
  <si>
    <t>R$ 101.048,00</t>
  </si>
  <si>
    <t>Todos os chefes das unidades do interior</t>
  </si>
  <si>
    <t>03/03/2023 - Atualização de orçamentos                                                                                                                                                         15/03/2023- Aguardando Instrução na Nova Lei de Licitações</t>
  </si>
  <si>
    <t>SRP 912/2021 visando a contratação de 1 posto de servente de limpeza e 1 posto de jardineiro para atendimento a Academia de Ciências Forenses e Laboratório de Inovação</t>
  </si>
  <si>
    <t>14/02/2023 - Se encontra na PCP/DA/GAA/COMPRAS para providências (faltando 1 orçamento para comprovação da vantajosidade)</t>
  </si>
  <si>
    <t>20.064.403-4</t>
  </si>
  <si>
    <t>Compra direta por dispensa - aquisição de materiais de limpeza e higiene</t>
  </si>
  <si>
    <t>14/02/2023 - Processo em fase de instrução (coleta de orçamentos e confecção de documentos)                18/04/2023 - Rapahel instruindo</t>
  </si>
  <si>
    <t>20.028.067-9</t>
  </si>
  <si>
    <t>Aquisição de Kits de Testes de Imunocromatografia para Detecção de Cocaína em Amostras de Urina</t>
  </si>
  <si>
    <t>TARUMÃ - LABORATÓRIO DE TOXICOLOGIA</t>
  </si>
  <si>
    <t>R$ 6.280,50</t>
  </si>
  <si>
    <t>03/02/2023 - Abertura da solicitação no setor de origem07/02/2023 - Entrada do protocolo no Setor de Compras e designação da instrução da demanda09/02/2023 - Instrução realizada: envio para GAOFS via DA14/02/2023 - Se encontra com Chefia do GAOF para apreciação e distribuição                                                                            25/04/2023 - Encaminhado para APC para continuação da tramitação                                                                                                                                                                                                                                                                                    11/05/2023 - Encaminhado para PCP/DA/DIV para continuação da tramitação                                                            30/06/2023 - Após atualizações necessárias, encaminhado ao GAOFS para atualização orçamentária                                                                                                                                     11/08/2023 Contrato e Empenho enviado ao fornecedor. Aguardando entrega.</t>
  </si>
  <si>
    <t>20.080.492-9</t>
  </si>
  <si>
    <t>Convenio n936068/2022 - Aquisição de Caminhonete 4x4 para atender a demanda do órgão da Polícia Científica do Estado do Paraná.</t>
  </si>
  <si>
    <t>R$ 352.580,00</t>
  </si>
  <si>
    <t>15/02/2023 - Abertura do protocolo                                                                                                                                                17/02/2023 - Enviado a DA/DIV para análise e demais providências                                                                            16/05/2023 - Arquivo corrente , abertura prot. 20.393.415-7 visando substituição</t>
  </si>
  <si>
    <t>20.080.575-5</t>
  </si>
  <si>
    <t>Convenio n° 936068/2022-Aquisição de Tablet Forense (inexibilidade de licitação)</t>
  </si>
  <si>
    <t>15/02/2023 - Abertura do protocolo                                                                                        16/02/2023-Aguardando assinaturas para continuidade.                                                   23/02/2023-Enviado a DA/DIV para análise e demais providências                                  30/08/2023 - Enviado ao GAOFs em 28/08 para emissão de empenho                                                  05/12/2023 - Aguardando entrega desde 29/11/202315/12/2024- Encaminhado ao gestor do contrato para acompanhamento da entrega25/04/2024- Materiais recebidos                                                                                                                                                                                       05/07/2024 - Encaminhado para ponto focal para ciência</t>
  </si>
  <si>
    <t>20.058.144-0</t>
  </si>
  <si>
    <t>Aquisição através de dispensa de licitação de Lençol de Borracha para ACF.</t>
  </si>
  <si>
    <t>R$ 5.050,00</t>
  </si>
  <si>
    <t>17.02 - Aguarda o envio do contrato social e demais documentos pela empresa.                                                                                                17/03/2023 - Encaminhado ao DIV/DA/SEC para análise e manifestação                                    18/04 Encaminhado para PCP/ACF para confecção de ETP e atualização de orçamentos                                                     05/12/2023 - Arquivado ACF desde 10/07/2023</t>
  </si>
  <si>
    <t>20.067.184.8</t>
  </si>
  <si>
    <t>Aquisição através de licitação de vials, lacres e tampas para Laraboratórios Forenses.</t>
  </si>
  <si>
    <t>R$ 264.505,90</t>
  </si>
  <si>
    <t>17/02/2023 - Instrução processual Setor de Compras                                                                                                                                                   16/03 - Enviado SESP/APC para continuidade                                                                                                        30/08/2023 - GAOFS aguardando pagamento</t>
  </si>
  <si>
    <t>20.044.093-5</t>
  </si>
  <si>
    <t>Tem este o objetivo de solicitar a aquisição de Caixas e microtubos destinados à Polícia Científica do Paraná por meio da adesão à Ata de Registro de Preços (Pregão Eletrônico 1859/2021- Protocolo 17969121-8</t>
  </si>
  <si>
    <t>R$ 6.503,00</t>
  </si>
  <si>
    <t>23/02/2023 - Chegou ao COMPRAS para intrução, mas já exite um processo de SRP para a aquisição de Caixas de Fibras e a empresa poderá entregar o material somente em Abril                                                                                                                                                          09/03/2023 - Após o aceite da chefia da química para a prorrogação de entrega do material, encaminhe-se a origem para aguardar a entrega do material                                                                                                                                                                                                                      15/03/2023 - Aguardando a entrega do respectivo material         18/04/2023 - Aguardando entrega - (empresa declinou na entrega)                                                                                                                 12/05/2023 - Devolvido a origem para ações caso requer</t>
  </si>
  <si>
    <t>20.067.417-0</t>
  </si>
  <si>
    <t>Instrução de processo de aquisição, referente a compra de 19 (dezenove) seladoras.</t>
  </si>
  <si>
    <t>MARINGÁ</t>
  </si>
  <si>
    <t>R$ 11.495,00</t>
  </si>
  <si>
    <t>Maria Cecília Begnossi</t>
  </si>
  <si>
    <t>Cassiano de Oliveira Prestes</t>
  </si>
  <si>
    <t>PCP/MGF/CHEFIA</t>
  </si>
  <si>
    <t>27/02/2023 - Chegou ao COMPRAS para instrução e encontra-se em instrução                                                                                            15/03/2023 - Aguardando fechamento com empresa                                                                                                                 18/04/2023 - Aguardando investimento                                                                                                                                                       30/05/2023 - Devolvido a origem para adequação via PCP/DA/DIV</t>
  </si>
  <si>
    <t>20.064.714-9</t>
  </si>
  <si>
    <t>Instrução de processo de aqusição através de dispensa de licitação de material de limpeza</t>
  </si>
  <si>
    <t>R$ 11.583,68</t>
  </si>
  <si>
    <t>Mauricio Cottias Souza</t>
  </si>
  <si>
    <t>13/02/2023 - Chegou ao COMPRAS para instrução                                                                                                                  15/02/2023 - Aguardando Cotações                                                                                                                                                                                             28/02/2023 - Em instrução                                                                                                                                                                                   08/03/2023 - Encaminhado a PCP/DIV/DA para análise e manifestação                                                                                                             13/03/2023 - Encaminhado para o GAOFS para demais providências                                                                  02/05/2023 - Encaminhado ao Apoio Técnico para continuação da tramitação                                                                                        05/05/2023 - Encaminhado ao SESP/COMP para continuação da tramitação                                                                                                                                          22/05/2023 Encaminhado ao Setor de contratos SESP para continuação da tramitação                                                                                                                         07/07/2023 - Nota de empenho enviada                                                                                                                                     30/08/2023 - Aguardando entrega.</t>
  </si>
  <si>
    <t>20.064.896-0</t>
  </si>
  <si>
    <t>Instrução de processo de aqusição através de registro de preço  de material de limpeza</t>
  </si>
  <si>
    <t>R$ 3.201,08</t>
  </si>
  <si>
    <t>13/02/2023 - Chegou ao COMPRAS para instrução                                                                                                                  15/02/2023 - Aguardando Cotações                                                                                                                   28/02/2023 - Em instrução (aguardando assinatura)                                                                                                                                                 01/03/2023 - Encaminhado a DA/DIV para análise e manifestação                                                                                                                                                                                          16/03/2023 - Encaminhado ao setor de almoxarifado para aguardar a entrega do material                                                          05/04/2023 - Foi feita a ultim entrega, sendo assim todos os materiais foram devidamente entregues</t>
  </si>
  <si>
    <t>20.084.019-4</t>
  </si>
  <si>
    <t>Aquisição de Ferramenta Forense de recuperação de dados de HDs e SSDs, por Licitação - Convênio Federal no 936068/2022</t>
  </si>
  <si>
    <t>01/03/2023 - Encaminhado a DA/DIV para análise e manifestação 04/04/2023 - Protocolo retornou para adequação de acordo com a nova lei de licitações. 05/04/2023 - Encaminhado à Seção de Computação Forense para adequações                                                                              03/05/2023 - Aguardando documentos para instrução na Nova Lei de Licitações                                                                         04/05/2023 - Encaminhado para SESP/APC para continuação da tramitação                              12/05/2023 - Devolvido para adequações PCP/CWB/VISC/COMP</t>
  </si>
  <si>
    <t>20.045.446-4</t>
  </si>
  <si>
    <t>Aquisição de Ferramenta Forense de extração e processamento de dados provenientes da navegação na Internet, por Inexigibilidade de Licitação - Convênio Federal no 936068/2022</t>
  </si>
  <si>
    <t>R$ 173.388,00</t>
  </si>
  <si>
    <t>02/03/2023 - Encaminhado a DA/DIV para análise e manifestação 04/04/2023 - Protocolo retornou para adequação de acordo com a nova lei de licitações. 24/04/2023 - Encaminhado à Seção de Computação Forense para adequações                                                             11/05/2023 - Encamihado para SESP/APC para continuação da tramitação                                                    02/06/2023 - Encaminhado a origem para adequação do TR                                                                                 26/06/2023 - No GAA para adequações                  04/07/2023 - Encaminhado à SC/NAS/SESP para continuidade                                                                              09/08/2023 - Análise ESCRITORIO DE PROJETOS                      05/12/2023 - SESP/DG  para assinatura do empenho19/01/2024- Material recebido09/04/2024- Encaminhado para povidências de liquidação e pagamento</t>
  </si>
  <si>
    <t>20.070.968-3</t>
  </si>
  <si>
    <t>Solicitação de serviços de automatização, adaptação e instalação de grades/portões (serralheria).</t>
  </si>
  <si>
    <t>01/03/2023- Enviado ao PCP/GAOFS                                                                   30/08/2023 - Continua sobrestado na ACF</t>
  </si>
  <si>
    <t>20.067.697-1</t>
  </si>
  <si>
    <t>Instrução de processo de aquisição, referente a compra de 19 (dezenove) fragmentadores de papel.</t>
  </si>
  <si>
    <t>R$ 65.564,25</t>
  </si>
  <si>
    <t>16/05/2023 - Encaminhado ao PCP/DA/DIV/SEC para ciência e devolução a origem                                                                                                                      30/08/2023 - Continua sobrestado na PCP/PG/CHEFIA</t>
  </si>
  <si>
    <t>19.688.650-8</t>
  </si>
  <si>
    <t>Solicitação de aquisição de solução forense de escaneamento de local em 3D.</t>
  </si>
  <si>
    <t>LOCALISTICA</t>
  </si>
  <si>
    <t>R$ 737.000,00</t>
  </si>
  <si>
    <t>Flavio Pereira de Castro</t>
  </si>
  <si>
    <t>PCP/CWB/TAR/LOCAL</t>
  </si>
  <si>
    <t>02/03/2023 - Encaminhado a DA/DIV para análise e manifestação                      16/05/2023 - Encaminhado ao PCP/DA/DIV/SEC para ciência e ações caso requer                                                                                                                      30/08/2023 - Continua sobrestado na PCP/CWB/TAR/LOCAL</t>
  </si>
  <si>
    <t>20.067.356-5</t>
  </si>
  <si>
    <t>Instrução de processo de aquisição, referente a compra de 20 (vinte) biombos três corpos.</t>
  </si>
  <si>
    <t>IVAIPORÃ</t>
  </si>
  <si>
    <t>R$ 38.585,00</t>
  </si>
  <si>
    <t>Keila da Silva Back</t>
  </si>
  <si>
    <t>18/04/2023 - Será modificado     08/05/2023 - Protocolo arquivado, foi substituído pelo protocolo n° 20.386.121-4</t>
  </si>
  <si>
    <t>20.066.600-3</t>
  </si>
  <si>
    <t>Instrução de processo de aquisição, referente a compra de 3 (três) balanças digitais, plataforma corporal até 180 kg.</t>
  </si>
  <si>
    <t>CURITIBA - SEÇÃO DE CRIMES AMBIENTAIS</t>
  </si>
  <si>
    <t>R$ 8.143,00</t>
  </si>
  <si>
    <t>Bruna Balbinotti Mileki</t>
  </si>
  <si>
    <t>11/05/2023 - Encaminhado ao apoio técnico da PCP para continuação da tramitação                                                                                      12/05/2023 - Correção no Mapa de Formação de Preço e continuação da tramitação, encaminhado ao SESP/APC                                                                                                            17/05/2023 - Encaminhado para SESP/SC para continuação da tramitação                                                    19/06/2023 - Encaminhado para SESP/APC para continuação da tramitação                                                                                                                                            17/07/2023 - Encaminhado para SESP/APC para continuação da tramitação                                                                      30/08/2023 - Aguardando entrega</t>
  </si>
  <si>
    <t>20.117.883-5</t>
  </si>
  <si>
    <t>Procedimento de licitação para contratação de serviço de Limpeza, Asseio e Conservação carga horária 12x36, visando atender as demandas da Polícia Científica do Paraná.</t>
  </si>
  <si>
    <t>(Apucarana, Guarapuava, Ponta Grossa, União da Vitória e Ivaiporã)               (Toledo, Cascavel, Foz Iguaçu, Francisco Beltrão e Pato Branco)</t>
  </si>
  <si>
    <t>R$ 152.751,76</t>
  </si>
  <si>
    <t>Francine Matias de Paula                                          Marcos Paulo Bebici                                                            Edson da Silva Napoleão                                          Edison Alves de Jesus                                               Leonardo de Ataide Jedneralski                                   Juari Soares de Carvalho                                     Leandro Paes Leme Peyneau                                            Leonete Ghellere                                                            Rafael Ricardo Frez                                                    Graciele Cristina Zawadzki Pereira</t>
  </si>
  <si>
    <t>20.091.887-8</t>
  </si>
  <si>
    <t>SRP Água Mineral 20L LOTE 01 - Aquisição através do Sistema de Registro de Preço do Pregão Eletrônico n.o 1857/2021, de Água Mineral, para atender a demanda do órgão da Polícia Científica do Paraná</t>
  </si>
  <si>
    <t>TARUMÃ/VISCONDE</t>
  </si>
  <si>
    <t>R$ 15.148,00</t>
  </si>
  <si>
    <t>09/03/2023 - Encaminhado a PCP/DA/DIV para análise e demais providências                                                       30/03/2023 - Encaminhado ao GAOFS para atualização do empenho</t>
  </si>
  <si>
    <t>19.357.204-9</t>
  </si>
  <si>
    <t>SRP Fragmentadora de Papel - Aquisição através do Sistema de Registro de Preço do Pregão Eletrônico n.o 1155/2020, de Fragmentadora de Papel, para atender a demanda do órgão da Polícia Científica do Paraná.</t>
  </si>
  <si>
    <t>R$ 1.630,00</t>
  </si>
  <si>
    <t>09/03/2023 - Encaminhado ao SESP/APC para continuação da tramitação 08/05/2023 - Arquivado devido ao vencimento da ata de SRP</t>
  </si>
  <si>
    <t>19.459.579-4</t>
  </si>
  <si>
    <t>Solicita Aquisição de Exaustores para as Unidades da Polícia Científica de Apucarana, Campo Mourão, Cascavel, Foz do Iguaçu, Francisco Beltrão, Guarapuava, Ivaiporã, Jacarezinho, Londrina, Paranaguá, Pato Branco, Ponta Grossa, Toledo e União da Vitória.</t>
  </si>
  <si>
    <t>R$ 95.000,00</t>
  </si>
  <si>
    <t>18/04/2023 - Raphael instruindo</t>
  </si>
  <si>
    <t>20.188.923-5</t>
  </si>
  <si>
    <t>SRP - Aquisição através do Sistema de Registro de Preço do Pregão Eletrônico n 1252/2022, de Açúcar para atender a demanda do órgão da Polícia Científica do Paraná.</t>
  </si>
  <si>
    <t>R$ 8.970,75</t>
  </si>
  <si>
    <t>15/03/2023 - Encaminhado a Divisão Administrativa para análise e manifestação                                                     GT Distribuidora LTDA -27/03/2023. GMS realizou entrega em 10/04/2023</t>
  </si>
  <si>
    <t>20.068.388-9</t>
  </si>
  <si>
    <t>Instrução de processo de aquisição, referente a compra de 80 (oitenta) armários de aço multiuso, duas portas, com chave. (Carona)</t>
  </si>
  <si>
    <t>R$ 103.999,20</t>
  </si>
  <si>
    <t>REGISTRO DE PREÇO (ESTADUAL) - CARONA</t>
  </si>
  <si>
    <t>15/03/2023 - Encaminhado a Divisão Administrativa para análise e manifestação   22/05/23- encaminhado a origem solicitando abertura de novo protocolo, ata vencida                                                                                                                                                                                          03/08/2023 - Protocolo arquivado pois a ata está vencida</t>
  </si>
  <si>
    <t>20.068.499-0</t>
  </si>
  <si>
    <t>SRP - 2004/2022 - Aquisição de 100 cadeiras e 100 mesas para escritório</t>
  </si>
  <si>
    <t>R$ 157.300,00</t>
  </si>
  <si>
    <t>15/03/2023 - Encaminhado a Divisão Administrativa para análise e manifestação 22/05/23- encaminhado a origem solicitando adequaçoes a lei 14133                                                                                                                      30/05/2023 - Arquivado, negado pela ata</t>
  </si>
  <si>
    <t>20.188.987-1</t>
  </si>
  <si>
    <t>SRP - Aquisição através do Sistema de Registro de Preço do Pregão Eletrônico n 1786/2022, de café para atender a demanda do órgão da Polícia Científica do Paraná.</t>
  </si>
  <si>
    <t>R$ 42.962,50</t>
  </si>
  <si>
    <t>15/03/2023 - Encaminhado a Divisão Administrativa para análise e manifestação                                                Stilos Cafés Especiais LTDA -30/03/2023, DMS entregou em 13/04/2023.</t>
  </si>
  <si>
    <t>Contratação de serviço de consultoria à acreditação na norma ABNT NBR ISO 17025 / Convênio Plataforma +Brasil número 919141/2021</t>
  </si>
  <si>
    <t>LABORATÓRIO GENÉTICA MOLECULAR</t>
  </si>
  <si>
    <t>15/03/2023 - Necessita de atualização de orçamento e instrução do processo na nova lei                                                                                                                     17/03/2023 - Encaminhado a origem para adequação                                                              30/05/2023 - Encaminhado para daequações de acordo com a nova lei26/03/2024- Protocolo arquivado; Processo reiniciado (21.731.579-4)</t>
  </si>
  <si>
    <t>R$ 28.680,00</t>
  </si>
  <si>
    <t>23/09/2022 - PCP/DO/DIV/SEC para providências05/12/2022 - Se encontra na SESP/APC para demais providências.01/02/2023 - Se encontra na PCP/CWB/TAR/CHEFIA para demais providências                                                                                                    16/03/2023 - PCP/DA/SEC para análise e providencias                                                                       19/04/2023 - Encaminhado ao Setor de Compras/SESP via Apoio técnico para continuação da tramitação                                                                                                                                        05/05/2023 - Encaminhado a Seção de Balística para adequação                              30/08/2023 - Encaminhado a Balistica sugerindo arquivamento e abertura de novo protocolo</t>
  </si>
  <si>
    <t>20.068.910-0</t>
  </si>
  <si>
    <t>Abertura de procedimento lcitatório visando aquisição de 20 ar condicionados 12.000BTU</t>
  </si>
  <si>
    <t>R$ 51.734,00</t>
  </si>
  <si>
    <t>30/08/2023 - Aguardando adequações da nova lei</t>
  </si>
  <si>
    <t>20.068.285-8</t>
  </si>
  <si>
    <t>R$ 38.197,15</t>
  </si>
  <si>
    <t>17/03/2023 - DEVOLVIDO À ORIGEM (TELEMACO BORBA) PARA ADEQUAÇÕES</t>
  </si>
  <si>
    <t>19.540.964-1</t>
  </si>
  <si>
    <t>Documentação para abertura de Licitação de compra de um Microscópio Eletrônico de Varredura para Polícia Científica do Paraná.</t>
  </si>
  <si>
    <t>Laboratório de Inovação e Metrologia;  Local de Crime contra Pessoa;  Local de Sinistro de Trânsito;  Local de Engenharia Forense;  Balística Forense;  Medicina Legal;  Documentoscopia</t>
  </si>
  <si>
    <t>R$ 1.993.997,12</t>
  </si>
  <si>
    <t>18/04/2023 - Aguardando investimento                                                                                                                   30/08/2023 - Encaminhado a origem para adequação</t>
  </si>
  <si>
    <t>17.915.747-0</t>
  </si>
  <si>
    <t>Convenio - Permissão de uso de bens públicos da Prefeitura Municipal de Telêmaco Borba para Unidade da Polícia Científica de Telêmaco Borba</t>
  </si>
  <si>
    <t>CONVENIO</t>
  </si>
  <si>
    <t>18/05/2023 - Encaminhado a origem sugerindo a instrução de nova instrução</t>
  </si>
  <si>
    <t>20.073.968-0</t>
  </si>
  <si>
    <t>Dispensa - Aquisição através de procedimento de dispensa de licitação de Itens de EPI's para atender a demanda de todas as unidades da Polícia Científica do Estado do Paraná.</t>
  </si>
  <si>
    <t>O protocolo será arquivado, considerando que haverá abertura de procedimento licitatório de luvas e também considerando que há SRP aberto para aquisição de máscaras.</t>
  </si>
  <si>
    <t>20.085.804-2</t>
  </si>
  <si>
    <t>SOLICITAÇÃO DE CONTRATAÇÃO/ AQUISIÇÃO DE ITENS ELETRO/ELETRÔNICO VISANDO SUPRIR A DEMANDA DO ÓRGÃO PUBLICO POLÍCIA CIENTÍFICA DO PARANÁ.</t>
  </si>
  <si>
    <t>20.092.539-4</t>
  </si>
  <si>
    <t>MATERIAIS DE ESCRITÓRIO - SOLICITAÇÃO DE CONTRATAÇÃO/ AQUISIÇÃO DE MATERIAIS DE ESCRITÓRIO VISANDO SUPRIR A DEMANDA DO ÓRGÃO PUBLICO POLÍCIA CIENTÍFICA DO PARANÁ.</t>
  </si>
  <si>
    <t>20.067.258-5</t>
  </si>
  <si>
    <t>Instrução de processo de aquisição, referente a compra de 18 (dezoito) macas de elevação.</t>
  </si>
  <si>
    <t>FRANCISCO BELTRÃO</t>
  </si>
  <si>
    <t>TODAS A UNIDADES</t>
  </si>
  <si>
    <t>PCP/FBEL/CHEFIA</t>
  </si>
  <si>
    <t>18/04/2023 - Aguardando investimento                                                                     16/05/2023 - Encaminhado a Chefia da divisão administrativa sujerindo encaminhamento a origem                                                                       30/08/2023 - Continua Chefia da divisão administrativa sujerindo encaminhamento a origem</t>
  </si>
  <si>
    <t>20.104.014-0</t>
  </si>
  <si>
    <t>COPA E COZINHA - SOLICITA CONTRATAÇÃO/ AQUISIÇÃO DE MATERIAIS DE COPA E COZINHA VISANDO SUPRIR A DEMANDA DO ÓRGÃO PUBLICO POLÍCIA CIENTÍFICA DO PARANÁ.</t>
  </si>
  <si>
    <t>24/03/2023- Encaminhado a DA/DIV para ações caso requer                                 30/08/2023 - Encaminhado para adequações                                                                                                                                                 05/10/2023 - Encaminhado a SESP/COMPRAS via SESP/APC para continuação da tramitação                                                                                                                               16/11/2023 - Análise da Tecnologia de Comunicação  quanto ao objeto pretendido ser, ou não, caracterizado como TIC                                                                                                               05/12/2023 - Encontra-se SESP/AT/ASS                                                 07/12/2023 -  DEVOLVIDO A ORIGEM DEVIDO A ENVIO FORA DE PRAZO- PCP/CWB/VISC/COMP03/04/2024- Encaminhado à SESP/AT para ciência e providências 20/09/2024- Encamiminhado para inserção de nota de empenho</t>
  </si>
  <si>
    <t>20.080.198-9</t>
  </si>
  <si>
    <t>VIEMOS, POR MEIO DESTE, SOLICITAR A INSTAURAÇÃO DE PROCEDIMENTO DE COMPRA VISANDO A AQUISIÇÃO DE 2 (DUAS) UNIDADES DE FONTE DE RADIAÇÃO INFRAVERMELHA POR DISPENSA DE LICITAÇÃO DEVIDO EXCLUSIVIDADE DO FORNECEDOR BRUKER DO</t>
  </si>
  <si>
    <t>R$ 5.600,00</t>
  </si>
  <si>
    <t>29/03/2023- Encaminhado a DA/DIV para ações caso requer                                                                               23/05/2023- Encaminhado a COMPRAS/SESP via apoio técnico para continuação da tramitação                                                                                                                                       30/08/2023- Encaminhado para recebimento de materiais</t>
  </si>
  <si>
    <t>20.122.651-1</t>
  </si>
  <si>
    <t>aquisição de consumíveis para manutenção e qualificação das técnicas de análise instrumental, visando atender as necessidades dos Laboratórios de Química Forense e Toxicologia Forense da Polícia Científica do Paraná.</t>
  </si>
  <si>
    <t>17/04/2023 - Devolvido a origem para ajuste ao do processo</t>
  </si>
  <si>
    <t>20.068.443-5</t>
  </si>
  <si>
    <t>Instrução de processo de aquisição, referente a compra de 30 (trinta) armários tipo vestiário, de seis portas.</t>
  </si>
  <si>
    <t>R$ 30.521,12</t>
  </si>
  <si>
    <t>11/04/2023- Encaminhado a DA/DIV para ações caso requer. 22/05/23- encaminhado a origem solicitando adequaçoes a lei 14133  09/08/2023 - Protocolo arquivado, será aberto novo para DISPENSA por compra direta.                                                                                                        30/08/2023-  ARQUIVADO pois mudou a modalidade de compra</t>
  </si>
  <si>
    <t>20.102.005-0</t>
  </si>
  <si>
    <t>Prorrogação do prazo de entrega Contrato no 0875/2023 - AGILENT TECHNOLOGIES BRASIL LTDA ( + 21 dias)</t>
  </si>
  <si>
    <t>20.215.639-8</t>
  </si>
  <si>
    <t>SOLICITAÇÃO DE COMPRA DE DETERGENTES, DESINFETANTE E SABONETE LABORATÓRIAL, COM DISPENSA DE LICITAÇÃO POR COMPRA DIRETACONFORME JUSTIFICATIVA,</t>
  </si>
  <si>
    <t>18/04/2023 - Está sendo instruído                                                                           30/08/2023 - segue o protocolo a origem para as ações necessárias que o caso requer parainicio do processo.                                                                                                            16/11/2023: GAOFS aguardando informação orçamentaria01/12/2023- Enviado ao GAOFS para inserção de informações orçamentárias.                05/12/2023 - SESP/DG05/02/2024- Materiais recebidos01/04/2024- Encaminhado para providências após inserção das certidões negativas</t>
  </si>
  <si>
    <t>20.070.697-8</t>
  </si>
  <si>
    <t>Aquisição, de filamentos para impressão 3D, através de dispensa de licitação, para a ACF.</t>
  </si>
  <si>
    <t>R$ 3.820,00</t>
  </si>
  <si>
    <t>10/07/2023 - Enviado ao GAOFS para estorno do empenho, pois foi aberto um novo protocolo n°20.603.264-2                                                                                                                               30/08/2023 - Empenho estornado e protoco arquivado</t>
  </si>
  <si>
    <t>20.109.087-3</t>
  </si>
  <si>
    <t>serviço de manutenção corretiva, preventiva e qualificação operacional dos equipamentos da marca Agilent pertencentes aos Laboratórios de Toxicologia e Química Forense da Polícia Científica do Paraná.</t>
  </si>
  <si>
    <t>R$ 468.480,00</t>
  </si>
  <si>
    <t>Serviço Continuado</t>
  </si>
  <si>
    <t>20/04/20223 - Encaminhado para DIV para análise e manifestação                                                                01/06/2023 - Encaminhado para SESP/Contratos para continuação da tramitação</t>
  </si>
  <si>
    <t>20.164.367-8</t>
  </si>
  <si>
    <t>SRP Água Mineral 20L LOTE 05 (Guarapuava) - Aquisição através do Sistema de Registro de Preço do Pregão Eletrônico n.o 1857/2021, de Água Mineral, para atender a demanda do órgão da Polícia Científica do Paraná</t>
  </si>
  <si>
    <t>GUARAPUAVA</t>
  </si>
  <si>
    <t>R$ 1.806,84</t>
  </si>
  <si>
    <t>03/04/2023 - Encaminhado ao GAOFS para aguardo das notas fiscais</t>
  </si>
  <si>
    <t>20.163.936-0</t>
  </si>
  <si>
    <t>SRP Água Mineral 20L LOTE 02 (Apucarana e Jacarezinho) - Aquisição através do Sistema de Registro de Preço do Pregão Eletrônico n.o 1857/2021, de Água Mineral, para atender a demanda do órgão da Polícia Científica do Paraná</t>
  </si>
  <si>
    <t>APUCARANA E JACAREZINHO</t>
  </si>
  <si>
    <t>R$ 697,46</t>
  </si>
  <si>
    <t>31/03/2023 - Encaminhado ao GAOFS para aguardo das notas fiscais</t>
  </si>
  <si>
    <t>20.164.090-3</t>
  </si>
  <si>
    <t>SRP Água Mineral 20L LOTE 03 (Campo Mourão e Maringá) - Aquisição através do Sistema de Registro de Preço do Pregão Eletrônico n.o 1857/2021, de Água Mineral, para atender a demanda do órgão da Polícia Científica do Paraná</t>
  </si>
  <si>
    <t>CAMPO MOURÃO E MARINGÁ</t>
  </si>
  <si>
    <t>R$ 1.857,60</t>
  </si>
  <si>
    <t>20.164.265-5</t>
  </si>
  <si>
    <t>SRP Água Mineral 20L LOTE 04 (Foz do Iguaçu) - Aquisição através do Sistema de Registro de Preço do Pregão Eletrônico n.o 1857/2021, de Água Mineral, para atender a demanda do órgão da Polícia Científica do Paraná</t>
  </si>
  <si>
    <t>R$ 1.855,44</t>
  </si>
  <si>
    <t>19.999.690-8</t>
  </si>
  <si>
    <t>ADITIVO CONTRATO 005/2020 - COTRANS LOCAÇÃO DE VEÍCULO - PRORROGAÇÃO NO PRAZO DE VIGÊNCIA POR MAIS 12(DOZE) MESES</t>
  </si>
  <si>
    <t>17/04/2023 - Encaminhado à Divisão Administrativa para análise e demais providências                                                                                                                        31/07/2023 - Devolvido à origem para adequações                                                                                               30/08/2023 -  Encaminhado ao setor de compras após adequações necessarias                                                                   04/09/2023 - Devolvido a origem para adequação TR                                                                                        16/11/2023 - Análise da Tecnologia de Comunicação  quanto ao objeto pretendido ser, ou não, caracterizado como TIC                                                                                                                                         05/12/2023 - Encontra-se SESP/AT/ASS                                                                                                                                                                                                     16/01/2024 - Encaminhado a SESP/APC para continuação da tramitação24/05/2024- Encaminhado ao NFS/SESP para emissão de Nota de Reserva16/09/2024- Aguardando entrega</t>
  </si>
  <si>
    <t>20.286.442-2</t>
  </si>
  <si>
    <t>SRP de contratação de serviço de coffee break - aquisição através de Carona do sistema de registro de preço do pregão eletrônico no. 597/2020, de serviço de coffee break, para atender a demanda do órgão da Polícia Científica do Paraná.</t>
  </si>
  <si>
    <t>R$ 12.000,00</t>
  </si>
  <si>
    <t>23/05/2023 e 07/07/2023</t>
  </si>
  <si>
    <t>Mariana Schimdt Gevaerd</t>
  </si>
  <si>
    <t>03/04/2023 - Abertura de protocolo                                                                                                                      03/04/2023 - Encaminhado processo a DA/DIV para análise e manifestação                                                                18/04/2023 - Encaminhado ao GAOFS para informação orçamentária                                                             16/06/2023 - Encaminhado para gestora para aguardar as demais NF's 10/07/2023 - Encaminhado ao GAOFS para providencias                                                                                   30/08/2023 - Arquivado após pagamento efetuado</t>
  </si>
  <si>
    <t>20.216.301-7</t>
  </si>
  <si>
    <t>Tem este o objetivo de solicitar a aquisição, através de dispensa de licitação, de microseringas de 250 L a fim de atender à demanda do Laboratório de Toxicologia da Polícia Científica do Paraná.</t>
  </si>
  <si>
    <t>Lorena</t>
  </si>
  <si>
    <t>R$ 1.865,11</t>
  </si>
  <si>
    <t>20/04/2023 - Encaminhado para DA/DIV para analise e manifestação.                                                                  22/06/2023 - Encaminhado para PCP/DA/GAA/GAOFS para atualização orçamentária                                                                                                                14/07/2023 - Encaminhado ao setor do almoxarifado para aguardar a entrega do referido material</t>
  </si>
  <si>
    <t>20.267.866-1</t>
  </si>
  <si>
    <t>SRP 1490/2021- Contratação de serviços de vigilância armada (CURITIBA)</t>
  </si>
  <si>
    <t>R$ 2.134.708,80</t>
  </si>
  <si>
    <t>20.223.432-1</t>
  </si>
  <si>
    <t>SRP 1490/2021- Contratação de serviços de vigilância armada (INTERIOR)</t>
  </si>
  <si>
    <t>INTERIOR</t>
  </si>
  <si>
    <t>R$ 6.404.126,40</t>
  </si>
  <si>
    <t>Edison Alvez de Jesus</t>
  </si>
  <si>
    <t>20.068.603-9</t>
  </si>
  <si>
    <t>A aquisição de 100 (cem) estantes de aço multiuso com seis prateleiras</t>
  </si>
  <si>
    <t>R$ 55.857,00</t>
  </si>
  <si>
    <t>PCP/TOL/CHEFIA</t>
  </si>
  <si>
    <t>11/04/2023- Encaminhado a DA/DIV para ações caso requer.22/05/23- encaminhado a origem solicitando adequaçoes a lei 14133</t>
  </si>
  <si>
    <t>20.216.043-3</t>
  </si>
  <si>
    <t>Contratação SRP 912/2021 posto Almoxarife, 40 horas semanais, de segunda a sexta, INSALUBRIDADE: 20%, solicitamos a contratação.</t>
  </si>
  <si>
    <t>R$ 47.973,24</t>
  </si>
  <si>
    <t>20.299.188-2</t>
  </si>
  <si>
    <t>Aquisição de 170 xilol 99,5° 1000ml, 140 álcool etílico 99,5° 5 litros, 75 álcool etílico 70° de 5 litros e 75 álcool etílico 70° de 1000ml.</t>
  </si>
  <si>
    <t>Tarumã/TODAS</t>
  </si>
  <si>
    <t>R$ 16.630,45</t>
  </si>
  <si>
    <t>Retiramos osoutros itens, acrescentamos o xilol. Para adequar aos fornecedores. os outros itens não são comercializados pelos fornecedores destes itens.                                                                                               26/05/2023 - Processo ajustado conforme solicitação COMPRAS/SESP encaminhamos ao APC sugerindo encaminhamento ao COMPRAS/SESP                                                                                                                                            14/07/2023 -Encaminhado ao almoxarifado para aguardar a entrega do referido material</t>
  </si>
  <si>
    <t>20.071.159-9</t>
  </si>
  <si>
    <t>Aquisição de 20 Beliches de madeira maciça</t>
  </si>
  <si>
    <t>UMUARAMA</t>
  </si>
  <si>
    <t>R$ 9.980,00</t>
  </si>
  <si>
    <t>Cláudio Emanuel</t>
  </si>
  <si>
    <t>PCP/UMU/CHEFIA</t>
  </si>
  <si>
    <t>Devolvido à origem para adequações à Lei 14133.</t>
  </si>
  <si>
    <t>20.298.343-0</t>
  </si>
  <si>
    <t>ACRÉSCIMO DE MAIS 2 (DOIS) POSTOS ASSISTENTE ADMINISTRATIVO I PARA O CONTRATO1137/2022 - PRODUSERV SERVIÇOS LTDA</t>
  </si>
  <si>
    <t>R$ 8.796,40</t>
  </si>
  <si>
    <t>20.204.759-9</t>
  </si>
  <si>
    <t>SOLICITA ADITIVO AO CONTRATO 700/2022 - GMS 3165/2022 (PE 557/2022 - PROTOCOLO 18.560.740-2) LOCAÇÃO DE EQUIPAMENTO FLATSCAN UMUARAMA</t>
  </si>
  <si>
    <t>R$ 36.857,14</t>
  </si>
  <si>
    <t>20.067.143-0</t>
  </si>
  <si>
    <t>Instrução de processo de aquisição, referente a compra de 20 (vinte) micro-ondas, de 31L.</t>
  </si>
  <si>
    <t>CAMPO MOURÃO</t>
  </si>
  <si>
    <t>R$ 21.433,25</t>
  </si>
  <si>
    <t>18/04- enviado para PCP/CM para adequações a nova lei</t>
  </si>
  <si>
    <t>20.067.205-4</t>
  </si>
  <si>
    <t>Instrução de processo de aquisição, referente a compra de 20 (vinte) trenas a laser</t>
  </si>
  <si>
    <t>R$ 11.900,00</t>
  </si>
  <si>
    <t>20/04/20223 - Encaminhado para DIV para análise e manifestação 26/06/2023- No GAA para adequações a nova Lei.           29/06/2023 Documentos atualizados, encaminhado à SESP/APC para continuidade. 03/07/2023 - encaminhado ao SESP/SL para providencias                                                                         09/08/2023 - Encaminhado a SESP/SL via SESP/APC para continuação da tramitação                                 16/11/2023: Análise de indisponibilidade de recursos do FUNSUSP para custear a despesa em tela20/03/2024- Encaminhado à origem para adequações17/05/2024- Encaminhado à PGE/PRC para análise11/06/2024- Encaminhado à origem para adequações</t>
  </si>
  <si>
    <t>20.351.051-9</t>
  </si>
  <si>
    <t>Tem este o objetivo de solicitar a aquisição de consumíveis para manutenção e qualificação das técnicas de análise instrumental, visando atender as necessidades dos Laboratórios de Química Forense e Toxicologia Forense.</t>
  </si>
  <si>
    <t>R$ 766.370,35</t>
  </si>
  <si>
    <t>TRAMITANDO - Licitação em 27/11/2023</t>
  </si>
  <si>
    <t>20/04/2023 - Chegou ao compras para instrução do processo                                03/05/2023 - Em fase de instrução 10/07/2023 - Encaminhado ao PCP/DA/GAA/COMPRAS para providencias                                                                                                      31/07/2023- Devolvido à origem para adequações                                                           05/09/2023 - Encaminhado para SESP/SL via SESP/APC para a continuação da tramitação                                                                                                     17/10/2023 - Inserido Justificativas e Informações, devolvido setor Licitações para continuidade                                                                                                                                       16/11/2023 - Abertura de processo licitatório22/02/2024- Encaminhado ao SESP/DG para providências. 13/03/2024- Encaminhado à NFS/OR para assinatura das informações orçamentárias11/04/2024- Encaminhado para inserção de nota de empenho 03/05/2024- Encaminhado à PCP/DA/GAA/CONTRATOS para envio do empenho ao fornecedor07/05/2024- Encaminhado à gestora para aguardar recebimento dos materiais</t>
  </si>
  <si>
    <t>20.399.653-5</t>
  </si>
  <si>
    <t>Contratação emergencial de serviços de reprografia, fim de atender a demanda das unidades do Policia Científica do Paraná.</t>
  </si>
  <si>
    <t>R$ 85.881,48</t>
  </si>
  <si>
    <t>OK</t>
  </si>
  <si>
    <t>DISPENSA (EMERGENCIAL)</t>
  </si>
  <si>
    <t>30/08/2023 - processo finalizado</t>
  </si>
  <si>
    <t>20.393.222-7</t>
  </si>
  <si>
    <t>Contratação emergencial de serviços de Limpeza, Asseio e Conservação, fim de atender a demanda das unidades Toledo, Cascavel, Foz do Iguaçu, Francisco Beltrão e Pato Branco.</t>
  </si>
  <si>
    <t>Toledo, Cascavel, Foz do Iguaçu, Francisco Beltrão e Pato Branco.</t>
  </si>
  <si>
    <t>R$ 147.197,64</t>
  </si>
  <si>
    <t>Juari S Carvalho                                                                                           Leandro P L Peyneau                                                                                  Leonete Ghellere                                   Rafael R Frez                                                                                            Graciele C Z Pereira</t>
  </si>
  <si>
    <t>20.386.121-4</t>
  </si>
  <si>
    <t>SRP Biombo triplo - Aquisição através do Registro de Preço do PE 995/2022, de biombo triplo para atender a demanda da unidade da Polícia Científica do Paraná</t>
  </si>
  <si>
    <t>R$ 9.450,00</t>
  </si>
  <si>
    <t>11/05/2023 - Encaminhado a DIV para análise e manifestação                                                                                                         27/06/2023 - Enaminhado a DIV para avaliação e emissão do contrato                                                                  04/07/2023 - Encaminhado ao Almoxarifado para aguardar a entrega dos itens                                                 16/10/2023 - Material entregue</t>
  </si>
  <si>
    <t>20.415.682-4</t>
  </si>
  <si>
    <t>a aquisição, através de dispensa de licitação, de letreiro de fachada a fim de atender à demanda da Polícia Científica do Paraná.</t>
  </si>
  <si>
    <t>Casa da Mulher Brasileira</t>
  </si>
  <si>
    <t>R$ 10.950,00</t>
  </si>
  <si>
    <t>Patricia Doubas Cancelir</t>
  </si>
  <si>
    <t>22/05/2023  - Encaminhado a PCP/DA/DIV para análise e manifestação                                                                                      26/06/2023 - Encaminhado ao SESP/GAS/SC para continuação da tramitação                            10/08/2023 - Encaminhado ao Tarumã para acompanhamento de entrega dos itens</t>
  </si>
  <si>
    <t>R$ 8.654,06</t>
  </si>
  <si>
    <t>R$ 300.810,60</t>
  </si>
  <si>
    <t>22/05/2023 - Encaminhado ao PCP/DIV para análise e manifestação                                                                                              20/06/2023 - Encaminhado a ao SESP/SL via Apoio Técnico da Polícia Científica para continuação da tramitação                                                                                                               11/07/2023 - Retorno para o GAA para providências                                                                                                                                          21/09/2023 - Encaminhado a ao SESP/SL via Apoio Técnico da Polícia Científica para continuação da tramitação   03/10/2023 - Enviado ao SESP/GOFS/FI para atualizações orçamentárias, sugerindo encaminhamento SESP/SL via SESP/APC                                                                                                                                                     16/11/2023 - Retorno a PCP/DA/DIRADM tendo em vista que o protocolo chegou após a data limite para análise juridica05/03/2024- Encaminhado à NFS/OR para ciencia e demais providencias 10/04/2024- Encaminhado à PGE/PRC para análise e deliberações 03/05/2024- Encaminhado à Unidade demandante para adequações</t>
  </si>
  <si>
    <t>20.505.833-8</t>
  </si>
  <si>
    <t>Trata-se da solicitação de compra Direta por inexigibilidade para manutenção do CG/EM do Laboratório de Química Forense.</t>
  </si>
  <si>
    <t>LABORATÓRIO DE QUÍMICA FORENSE</t>
  </si>
  <si>
    <t>R$ 31.876,47</t>
  </si>
  <si>
    <t>22/05/2023 - Chegou ao setor de compras                                                                                                                                                                                                                    22/05/2023 - Aguardando fechamento de proposta com a empresa                        30/05/203 - Encaminhado ao GAOFS para informação orçamentária, sugerindo encaminhamento ao PCP/DA/DIV para análise e manifestação                                                                         03/08/2023 - Foi solicitado o arquivamento</t>
  </si>
  <si>
    <t>20.361.845-0</t>
  </si>
  <si>
    <t>Solicita aquisição de macas e carros pantograficos para as Unidades de Curitiba, Maringá e Londrina</t>
  </si>
  <si>
    <t>CURITIBA, MARINGÁ E LONDRINA</t>
  </si>
  <si>
    <t>R$ 486.399,33</t>
  </si>
  <si>
    <t>08/05/2023 - Chegou ao setor de compras                                                                                                                                                                                                                para instrução, aguardando orçamentos atualizados e ajustes na nova lei 26/06 - Processo arquivado, em substituição foi aberto 20.592.429-9</t>
  </si>
  <si>
    <t>20.551.621-2</t>
  </si>
  <si>
    <t>Licitação - Contratação de empresa para locação de equipamentos de raios-x tipo Flatscan, a fim de atender as unidades da Polícia Científica de Campo Mourão e Foz do Iguaçu.</t>
  </si>
  <si>
    <t>CAMPO MOURÃO E FOZ DO IGUAÇU</t>
  </si>
  <si>
    <t>R$ 901.383,12</t>
  </si>
  <si>
    <t>Henrique Czap Coelho</t>
  </si>
  <si>
    <t>30/05/2023 - Aguardando orçamento para a continuação da instrução    07/08/2023- Encaminhado para Divisão Administrativa para análise e manifestação                                                                                                                                                         09/10/2023 - Encaminhado para SESP/SL via SESP/APC                                                          31/10/2023 - Encaminhado para SESP/SL via SESP/APC                                                                    16/11/2023 - Publicação de autorizo por parte do Setor de Licitações22/02/2024- Encaminhado ao PCP/DA/GAOFS para inserção da nota de empenho14/03/2024- Empenho encaminhado ao fornecedor</t>
  </si>
  <si>
    <t>20.542.911-5</t>
  </si>
  <si>
    <t>Tem o objetivo de aquisição de sabonete líquido e sabonete bactericida para atender a demanda do órgão da Polícia Científica do Paraná.</t>
  </si>
  <si>
    <t>R$ 6.093,20</t>
  </si>
  <si>
    <t>13/06/2023- Encaminhado ao almoxarifado para providências                                                       30/08/2023 - Encontra-se no almoxarifado para as demais entregas                                                                   24/10/2023 - Material entregue almoxarifado na data 24/10/2023.</t>
  </si>
  <si>
    <t>20.349.740-7</t>
  </si>
  <si>
    <t>SRP Material de Limpeza - Aquisição através do Sistema de Registro de Preço do Pregão Eletrônico n.o 1181/2022, de material de limpeza, para atender a demanda do órgão da Polícia Científica do Paraná.</t>
  </si>
  <si>
    <t>R$ 1.323,34</t>
  </si>
  <si>
    <t>13/06/2023- Encaminhado ao almoxarifado para providências</t>
  </si>
  <si>
    <t>20.221.430-4</t>
  </si>
  <si>
    <t>Solicita a contratação, por inexigibilidade de licitação, de serviço de diagnóstico de manutenção dos cromatógrafos gasosos inoperantes pertencentes à Seção de Toxicologia Forense.</t>
  </si>
  <si>
    <t>03/08/2023 - Arquivamento</t>
  </si>
  <si>
    <t>Solicitação de abertura de procedimento licitatório, visando a contratação de empresa especializada em prestação de serviços de locação de rastreadores veiculares, em substituição ao Protocolo 18.805.485-4, a fim de atender a demanda da Polícia Científica do Paraná.</t>
  </si>
  <si>
    <t>31/05/2023 - Protocolo enviado DA/SEC para análise e manifestação                                                                                      16/08/2023 - Enviado ao Apoio Técnico para continuidade de tramitação                                                                             16/11/2023 - Retorno a Origem tendo em vista que o protocolo chegou após a data limite para análise juridica. (Aguardar 2024)05/02/2024- Encaminhado à PCP/DA/GAA/COMPRAS para providências06/02/2024- Encaminhado ao Centro de Licitações SESP para providências</t>
  </si>
  <si>
    <t>20.488.664-4</t>
  </si>
  <si>
    <t>SRP Copos Descartáveis - Aquisição através do Sistema de Registro de Preço do Pregão Eletrônico no 1374/2022, de Copos Descartáveis, para atender a demanda do órgão da Polícia Científica do Paraná</t>
  </si>
  <si>
    <t>R$ 9.840,00</t>
  </si>
  <si>
    <t>20.549.931-8</t>
  </si>
  <si>
    <t>Solicitação de compra por dispensa de licitação de lacres plásticos.</t>
  </si>
  <si>
    <t>R$ 17.400,00</t>
  </si>
  <si>
    <t>28/06/203 - Encaminhado para DIV para ciência e manifestação                          14/07/2023 Encaminhado a SESP/DEST para analise                                30/08/2023 - Encaminhado da PCP/DA/GAA/COMPRAS para PCP/DA/GAA/CONTRATOS no dia 28/08/2023 para providencias.</t>
  </si>
  <si>
    <t>20.492.431-7</t>
  </si>
  <si>
    <t>Por solicitação da Gestão da PCP instrui-se o presente protocolo para aquisição de equipamentos de sonorização e projeção de imagens destinados aos auditórios das UETCs das cidades de Curitiba, Londrina e Maringá.</t>
  </si>
  <si>
    <t>Curitiba, Londrina e Maringá</t>
  </si>
  <si>
    <t>R$ 63.318,75</t>
  </si>
  <si>
    <t>Raissa Simões Maciel</t>
  </si>
  <si>
    <t>06/06/203 - Encaminhado para DIV para ciência e manifestação.                         07/06/2023 - Encaminhado para SESP/APC para continuidade de tramitação.                         07/08/2023 - Se encontra na SESP/SL para providencias.                                                                                                  05/12/2023 - Encontra-se no setor de Licitações</t>
  </si>
  <si>
    <t>20.494.035-5</t>
  </si>
  <si>
    <t>Aquisição, via processo de licitação, de colunas e pré-colunas dos equipamentos de análises instrumentais, a fim de atender as seções de toxicologia e química forense da polícia científica do paraná</t>
  </si>
  <si>
    <t>Laboratório de Quimica e Toxicologia Forense</t>
  </si>
  <si>
    <t>R$ 103.512,64</t>
  </si>
  <si>
    <t>14/06/2023 - Encaminhado para PCP/DA/DIV para análise e manifestação                                                         19/06/2023 - Encaminhado ao GAOFS após ajustes do Mapa de Formação de preço                                                                                                                                    31/07/2023 - Devolvido à origem para adequações                                   22/08/2023 -    Encaminhado da PCP/CWB/TAR/TOX para PCP/DA/GAA/COMPRAS para providencias                                                                                   01/09/2023 - Encaminhado ao SESP/SL via Apoio Técnico da PCP para continuação da tramitação                                                                                                                                                                             14/09/2023 -´Encaminhado a origem para adequação                                                                                                          20/09/2023 - Encaminhado ao SESP/SL via SESP/APC para analise                                                                                                        26/09/2023 - Encaminhado ao PCP/GAOFS para atualização da informação orçamentária                                                                                                                                                                                                                      16/11/2023 - Processo publicado em diário oficial, encontra-se no setor de licitações desde o dia 24/10/2023                                                                                                                                                  05/12/2023 -  Processo setor de Licitações em fase de homologação.04/01/2024- Encaminhado à gestora do contrato para acompanhamento da entrega27/03/2024- Materiais recebidos</t>
  </si>
  <si>
    <t>20.587.230-2</t>
  </si>
  <si>
    <t>Solicitação de compra de estantes metálicas pela Ata de Registro de Preços 63/2022.</t>
  </si>
  <si>
    <t>R$ 389.950,25</t>
  </si>
  <si>
    <t>15/06/2023 - Encaminhado para PCP/DA/DIV para análise e manifestação                                             11/08/2023 - Encaminhado ao PCP/DA/GAA/ALMOX para recebimento.</t>
  </si>
  <si>
    <t>PE 2125/2022 - Licit. Cromatógrafo Gasoso (02) - Sol. abertura de procedimento licitatório, visando a aquisição de um Sistema de Cromatografia Gasosa Acoplado a Espectrometria de Massas, a fim de atender a demanda do Laboratório de Química Forense da Polícia Científica do Paraná.</t>
  </si>
  <si>
    <t>R$ 1.200.000,00</t>
  </si>
  <si>
    <t>14/06/2023 -  O Processo se encontra Homologado/Autorizado peloSr. Diretor Geral.                                                                                                                        19/06/2023 - A empres assinou o termo físico                                                  07/07/2023 - Encaminhado a origem para acompanhamento da entrega.</t>
  </si>
  <si>
    <t>20.486.342-3</t>
  </si>
  <si>
    <t>Trata o presente protocolo de aquisição de materiais de limpeza e higiene, através de procedimento licitatório, a fim de suprir a demanda do órgão da Polícia Científica do Paraná.</t>
  </si>
  <si>
    <t>R$ 72.671,95</t>
  </si>
  <si>
    <t>21/06/2023 - Encaminhado para SESP/APC para continuação da tramitação                      23/08/2023 - Encaminhado para PCP/DA/GAA/COMPRAS para readequações.   03/10/2023 - ARQUIVADO</t>
  </si>
  <si>
    <t>20.631.469-9</t>
  </si>
  <si>
    <t>Solicitação de aditivo para aquisição de Balança para o Laboratório de Inovação e Metrologia para execução do convênio 906.311/2020</t>
  </si>
  <si>
    <t>R$ 3.401,00</t>
  </si>
  <si>
    <t>21/08/2023 - Encaminhado para a SESP/GOFS/CO para emissão de empenho.      05/12/2023 - Setor de contratos aguardando assinaturas04/03/2024- Encaminhado à PCP/ACF/DIR para ciência e providências 06/05/2024- Encaminhado à PCP/ACF/DIR para providências diante da recusa da empresa no fornecimento</t>
  </si>
  <si>
    <t>20.605.094-2</t>
  </si>
  <si>
    <t>Aquisição, através de dispensa de licitação de fita adesiva</t>
  </si>
  <si>
    <t>R$ 11.818,00</t>
  </si>
  <si>
    <t>26/06/2023- Encaminhado PCP/DA/SEC 01/08/2023-Encaminhado APC para continuidade                                                                                                                                                  10/08/2023 - Enviado empenho e OC para fornecedor, protocolo ao almoxarifado para acompanhar entrega                                                                                                                             14/08/2023 - Os materiais foram entregue na data de 11/08/2023                                              30/08/2023 - Encaminhado para PCP/DA/GAOFS para providencias                                                                                                                                      16/11/2023 - Material entregue e foi pago</t>
  </si>
  <si>
    <t>Aquisição, através de procedimento licitatório, de duas unidades de Sistema de Espectrometria de Infravermelho com Transformada de Fourier (FTIR) para os Laboratórios de Química Forense da Polícia Científica do Paraná</t>
  </si>
  <si>
    <t>Laboratório de Química Forense</t>
  </si>
  <si>
    <t>R$ 858.232,38</t>
  </si>
  <si>
    <t>SESP/DG</t>
  </si>
  <si>
    <t>30/06/2023 - Encaminhado a PCP/DA/SEC para análise e manifestação e tramitação da Licitação                                                                                                  31/07/2023- Devolvido à origem para adequações                                                                                                                                   22/08/2023 - Encaminhado ao SESP/SL via Apoio técnico da PCP para a continuação da Tramitação                                                                                28/08/2023 - Encaminhado a PCP/DA/GAA/COMPRAS para conhecimento e providencias.                                                                                                                     16/11/2023 - Encontra-se no setor de compras para readequação do processo03/04/2024- Encaminhado à PCP/CWB/TAR/QUIM para ciência e providências02/07/2024- Encaminhado à origem para adequações</t>
  </si>
  <si>
    <t>20.576.607-3</t>
  </si>
  <si>
    <t>Trata-se de dispensa de licitação para aquisição de Uniformes personalizados para atender a demanda da Operação Verão da Polícia Científica.</t>
  </si>
  <si>
    <t>R$ 27.380,00</t>
  </si>
  <si>
    <t>24/07/2023 - Encaminhado ao PCP/DA/DIV para análise e manifestação                              25/08/2023 - Encaminhado a PCP/DA/GAA/CONTRATOS para providencias.                                                                                                                                                                              16/11/2023 - Encontrase na Visconde Chefia para aguardar a entrega do item 14/12/2023- Material recebido</t>
  </si>
  <si>
    <t>20.182.383-8</t>
  </si>
  <si>
    <t>Solicita compra de Microcomparador Balístico para a Unidade de Execução Técnico-Científica de Londrina</t>
  </si>
  <si>
    <t>Londrina e Maringá</t>
  </si>
  <si>
    <t>R$ 3.280.000,00</t>
  </si>
  <si>
    <t>25/08/2023 - DECLARAÇÃO DE ADEQUAÇÃO DA DESPESA Nº 01327/2023                  30/08/2023 - Encaminhado a SESP/GOFS/OR para providencias.                                                                                                                                                             16/11/2023 - Encontra-se na unidade de Londrina para aguardar a entrega de um dos bens 18/01/2024- Material recebido</t>
  </si>
  <si>
    <t>20.603.264-2</t>
  </si>
  <si>
    <t>07/08/2023 - Enviado para Aprovação Orçamentária                                                   29/08/2023 - Encaminhado ao SESP/GOFS/OR para providencias.                                                                                                                                                               19/09/2023 - Encaminhado a origem para justificativa dos fornecedores                                                              22/09/2023 - Encaminhado para SESP/COMPRAS via SESP/APC para continuação da tramitação                                                                                                                                           02/10/2023 - Encaminhado a origem para aguardar a entrega dos bens                                                                           16/11/2023 - Material entregue dia 09/10/2023 em processo de pagamento</t>
  </si>
  <si>
    <t>Aquisição através de dispensa de licitação de cofres mecânicos relativo ao convênio federal 906.311/2020 para atendimento da Academia de Ciência Forense da Polícia Científica do Paraná.</t>
  </si>
  <si>
    <t>21/08/2023 - encaminhe-se à SESP/DG para apreciação e demais gestões                23/08/2023 - Encaminhado a SESP/DG para analise.                                                                                                                               14/11/2023 - Encaminhado a SESP/COMPRAS via SESP/APC para continuação da tramitação                                                                                                                  16/11/2023 - Encontra-se no setor de compras para analise do processo                                                       05/12/2023 - Encontra-se SESP/DG em fase de autorizo</t>
  </si>
  <si>
    <t>20.629.851-0</t>
  </si>
  <si>
    <t>Aquisição , através de ata de registro de preço, de termovisor para o LIM. Convenio 906311</t>
  </si>
  <si>
    <t>R$ 4.597,00</t>
  </si>
  <si>
    <t>REGISTRO DE PREÇO (FEDERAL)</t>
  </si>
  <si>
    <t>Hemerson Bertassoni Alves</t>
  </si>
  <si>
    <t>14/07/2023 - Encaminhado ao PCP/DA/DIV para análise e manifestação                                                                    03/08/2023 - Devolvido a origem para inclusão das documentações faltantes                                                       22/08/2023 - encaminhe-se ao Centro de Acompanhamentos de Projetos e Captação de Recursos da SESP para análise</t>
  </si>
  <si>
    <t>20.645.234-0</t>
  </si>
  <si>
    <t>Adesão à Ata de Registro de Preços - PE no 1883/2022, validade: 27/05/2024, na modalidade carona, objetivando a aquisição de termômetros para suprir a demanda dos Laboratórios Forenses da Polícia Científica do Paraná.</t>
  </si>
  <si>
    <t>Laboratório de Química, Toxicologia e Genética Forense</t>
  </si>
  <si>
    <t>R$ 4.195,00</t>
  </si>
  <si>
    <t>25/06/2023 - Chegou ao compras para instrução                                                                                                                                                                  27/07/2023 - Encaminhado ao PCP/DA/DIV para análise e manifestação                                                        19/07/2023 - Encaminhado para o Laboratório de Toxicologia para acompanhar a entrega do objeto                                                                                                                                              16/11/2023 - Material já foi entregue e foi pago</t>
  </si>
  <si>
    <t>20.149.334-0</t>
  </si>
  <si>
    <t>Manutenção Esquadrias Janelas</t>
  </si>
  <si>
    <t>Maria</t>
  </si>
  <si>
    <t>UETC Jacarezinho</t>
  </si>
  <si>
    <t>R$ 17.600,00</t>
  </si>
  <si>
    <t>25/08/2023 - Solicitação para aprovação orçamentária</t>
  </si>
  <si>
    <t>20.442.243-5</t>
  </si>
  <si>
    <t>16/08/2023 - Encaminho em anexo, para conhecimento e providências quanto acorreção da nota fiscal, a respeito da normatização dos procedimentos deretenção IRRF                                                                                                        30/08/2023 - Encaminhado a PCP/DA/GAOFS para providencias</t>
  </si>
  <si>
    <t>20.679.988-9</t>
  </si>
  <si>
    <t>Aquisição através de dispensa de licitação de Medalhas</t>
  </si>
  <si>
    <t>R$ 8.000,00</t>
  </si>
  <si>
    <t>Leandro</t>
  </si>
  <si>
    <t>Mariana</t>
  </si>
  <si>
    <t>29/06/2023- Processo em fase de instrução.                                                            19/07/2023 - Encaminhado para PCP/DA/DIV para continuação da tramitação                16/08/2023 - Enviado GAOFS para emissão de Empenho                                                                 25/08/2023 - Aguardando arte para envio ao fornecedor. depende disso pra a confecção da medalha                  20/10/2023 - Material entregue, nota fiscal paga. PROTOCOLO ARQUIVADO</t>
  </si>
  <si>
    <t>20.649.714-9</t>
  </si>
  <si>
    <t>Solicitação de compra de kits de controle de acesso para as Unidades do interior por licitação.</t>
  </si>
  <si>
    <t>Divisão de Custódia de Vestígios</t>
  </si>
  <si>
    <t>R$ 70.845,33</t>
  </si>
  <si>
    <t>07/07/2023 - Encaminhado ao PCP/DA/DIV para análise e manifestação.                                                                                       28/07/2023 - Devolvido à origem para adequações                                                                                                                               03/08/2023 - Encaminhado à SESP/APC para continuidade                                                                                                       07/08 - Encaminhado SESP/APC para continuidade14/09/2023 - Será aberto novo protocolo</t>
  </si>
  <si>
    <t>20.677.735-4</t>
  </si>
  <si>
    <t>SOLICITAÇÃO DE DISPENSA DE PROCEDIMENTO LICITATÓRIO POR INEXIGIBILIDADE PARA AQUISIÇÃO DE INSUMOS DESTINADOS AO SISTEMA DE PURIFICAÇÃO DE ÁGUA MILLI-Q DIRECT, PARA ATENDER A DEMANDA DA SEÇÃO DE GENÉTICA MOLECULAR FORENSE DA POLÍCIA CIENTÍFICA DO PARANÁ.</t>
  </si>
  <si>
    <t>Genetica</t>
  </si>
  <si>
    <t>R$ 34.984,00</t>
  </si>
  <si>
    <t>Josiane Brodzniski</t>
  </si>
  <si>
    <t>05/07/2023 - Ao Chefe do GAA para instrução processual imediata                                                                         30/08/2023 - Encaminhado ao Chefe Divisional para análise e providências                                                                                                                             25/10/2023 - Encaminhado ao SESP/COMPRAS via SESP/APC para continuação da tramitação                                                                                                    16/11/2023 - Encaminhado ao setor de contratos para a elaboração da minuta do contrato17/01/2024- Material recebido03/05/2024- Encaminhado para liquidação e pagamento</t>
  </si>
  <si>
    <t>20.506.746-9</t>
  </si>
  <si>
    <t>Aquisição através de procedimento licitatório, de pergolados e quiosques para o espaço verde da Unidade de Execução Técnico-Científica do Tarumã - Polícia Científica do Estado do Paraná.</t>
  </si>
  <si>
    <t>R$ 103.861,79</t>
  </si>
  <si>
    <t>PCP/CWB/TAR/CHEFIA</t>
  </si>
  <si>
    <t>05/07/2023 - Ao Chefe do GAA para instrução processual imediata                                      17/10/2023 - Devolvido à origem (PCP/CWB/TAR/CHEFIA)                                                           16/11/2023 - Encontra-se no setor de compras para readequação do processo</t>
  </si>
  <si>
    <t>20.691.901-9</t>
  </si>
  <si>
    <t>serviço de instalação elétrica para laboratório de informática.</t>
  </si>
  <si>
    <t>R$ 4.890,00</t>
  </si>
  <si>
    <t>DEVOLVIDO PARA ORIGEM</t>
  </si>
  <si>
    <t>10/08/2023-Protocolo devolvido a origem sugerindo arquivamento devido a contrato com o mesmo objeto</t>
  </si>
  <si>
    <t>09/08/2023 - Encaminhe-se à SESP/DEST para conhecimento edemais providências                                                                                                                                                                 16/11/2023 - Encontra-se no Centro de Acompanhamento de Projetos e Captação de Recursos para análise                                                                                                                                                              05/12/2023 - Encontra-se PCP/DA - PCP/DA/GAOFS08/04/2024- Encaminhado ao Setor de Planejamento de Compras para reanálise06/05/2024- Inserido ato que designa o agente de contratação e encaminhado ao SESP/APC 26/06/2024- Encaminhado para acompanhamento da entrega</t>
  </si>
  <si>
    <t>20.739.438-6</t>
  </si>
  <si>
    <t>INSTRUIR PROCESSO DE LICITAÇÃO PARA EXECUÇÃO DE SERVIÇO DE MÃO DE OBRA PARA DEMOLIÇÃO E POSTERIOR FUNDIÇÃO DE GRANITINA DOS PISOS DAS SALAS DE NECROPSIA DE TOLEDO E CASCAVEL E CORREDOR DE ACESSO DE TOLEDO</t>
  </si>
  <si>
    <t>Toledo e Cascavel</t>
  </si>
  <si>
    <t>R$ 104.456,00</t>
  </si>
  <si>
    <t>28/08/2023 - Encaminhamos o processo à UETC de Toledo para ciência e ações casorequer para instrução do processo</t>
  </si>
  <si>
    <t>20.086.159-0</t>
  </si>
  <si>
    <t>SOLICITAÇÃO DE CONTRATAÇÃO/ AQUISIÇÃO DE MATERIAIS PARA ANTROPOLOGIA VISANDO SUPRIR A DEMANDA DO ÓRGÃO PUBLICO POLÍCIA CIENTÍFICA DO PARANÁ</t>
  </si>
  <si>
    <t>26/06/2023 - Tendo em vista manifestação do perito Oficial Raul Lessa, restituo àGAA/COMPRAS para ciência e análise</t>
  </si>
  <si>
    <t>20.654.913-0</t>
  </si>
  <si>
    <t>AQUISIÇÃO DE INSUMOS PARA PROCESSAMENTO DE MATERIAL BIOLÓGICO VIA ADESÃO ATA DE REGISTRO DE PREÇO No 28/2022 - na modalidade participante, CONTRATO 89/2022/SEGEN, para suprir a demanda do Laboratório de Genética Molecular Forense</t>
  </si>
  <si>
    <t>Não haverá instrução</t>
  </si>
  <si>
    <t>Laboratório de Genética Forense</t>
  </si>
  <si>
    <t>14/07/2023 - Conforme conversado com a Sra. Marcia, o protocolo foi devolvido a origem por não necessitar da instrução, uma vez que o órgão segen entrega os materiais não havendo a necessidade de pagamento e nem a instrução de compra</t>
  </si>
  <si>
    <t>20.654.331-0</t>
  </si>
  <si>
    <t>AQUISIÇÃO DE INSUMOS PARA PROCESSAMENTO DE MATERIAL BIOLÓGICO VIA ADESÃO ATA DE REGISTRO DE PREÇO No 27/2022 - na modalidade participante, CONTRATO 88/2022/SEGEN, para suprir a demanda do Laboratório de Genética Molecular Forense</t>
  </si>
  <si>
    <t>20.655.627-7</t>
  </si>
  <si>
    <t>AQUISIÇÃO DE INSUMOS PARA PROCESSAMENTO DE MATERIAL BIOLÓGICO VIA ADESÃO ATA DE REGISTRO DE PREÇO No 32/2022 - NA MODALIDADE PARTICIPANTE, CONTRATO 93/2022/SEGEN, PARA SUPRIR A DEMANDA DO LABORATÓRIO DE GENÉTICA MOLECULAR FORENSE.</t>
  </si>
  <si>
    <t>20.655.532-7</t>
  </si>
  <si>
    <t>AQUISIÇÃO DE INSUMOS PARA PROCESSAMENTO DE MATERIAL BIOLÓGICO VIA ADESÃO ATA DE REGISTRO DE PREÇO No 31/2022 - NA MODALIDADE PARTICIPANTE, CONTRATO 92/2022/SEGEN, PARA SUPRIR A DEMANDA DO LABORATÓRIO DE GENÉTICA MOLECULAR FORENSE</t>
  </si>
  <si>
    <t>20.655.396-0</t>
  </si>
  <si>
    <t>AQUISIÇÃO DE INSUMOS PARA PROCESSAMENTO DE MATERIAL BIOLÓGICO VIA ADESÃO ATA DE REGISTRO DE PREÇO No 30/2022 - NA MODALIDADE PARTICIPANTE, CONTRATO 91/2022/SEGEN, PARA SUPRIR A DEMANDA DO LABORATÓRIO DE GENÉTICA MOLECULAR FORENSE</t>
  </si>
  <si>
    <t>20.655.180-1</t>
  </si>
  <si>
    <t>AQUISIÇÃO DE INSUMOS PARA PROCESSAMENTO DE MATERIAL BIOLÓGICO VIA ADESÃO ATA DE REGISTRO DE PREÇO No 29/2022 - na modalidade participante, CONTRATO 90/2022/SEGEN, para suprir a demanda do Laboratório de Genética Molecular Forense</t>
  </si>
  <si>
    <t>20.605.439-5</t>
  </si>
  <si>
    <t>Aquisição, através de inexigibilidade de licitação, de Espectrômetro de Fluorescência de Raios X (XRF) portátil S1 TITAN (Bruker), a fim de atender a demanda do Laboratório de Química Forense da Polícia Científica do Paraná</t>
  </si>
  <si>
    <t>Laboratório de Química</t>
  </si>
  <si>
    <t>R$ 465.163,92</t>
  </si>
  <si>
    <t>21/08/2023 - encaminhe-se à SESP/DG para ciência, apreciação e deliberações  28/08/2023 - Encaminhado a SESP/DEST para analise.                                                                                                                                                                           19/09/2023 - Encaminhado ao SESP/SC para elaboração da minuta                                                                                                 16/10/2023 - Encaminhado ao SESP/SC para a continuação da tramitação e elaboração da minuta                                                                                                                               16/11/2023 - Encaminhado em 07/11 para SESP/EP para ações que o caso requer 15/04/2024- Material recebido03/06/2024- Encaminhado para liquidação e pagamento</t>
  </si>
  <si>
    <t>04/07/2023 - Por todo o exposto, solicitamos providências para a contratação dos itens relacionados                                                                                                                      30/08/2023 - Processo em tramitação                                                                                                                                                                                  05/09/2023 - Encaminhado ao divisional para análise e providências                                                  31/10/2023 - Encaminhado após adequações ao setor SESP/APC sugerindo envio SESP/SL           13/11/2023 - Enviado SESP/DEST via SESP/APC                                                                                              05/12/2023 - ENVIADO FORA DO PRAZO, AGUARDAR EXERCÍCIO 2024                                                                                              06/12/2023 - DEVOLVIDO A ORIGEM - PCP/ACF/DIR          05/04/2024- Encaminhado à pregoeira para finalização do processo no GMS    06/09/2024- Material recebido</t>
  </si>
  <si>
    <t>20.699.923-3</t>
  </si>
  <si>
    <t>Dispensa de Licitação de Notebooks para o Laboratório de Inovação e Metrologia, relativo ao convênio federal 906.311/2020</t>
  </si>
  <si>
    <t>R$ 17.000,00</t>
  </si>
  <si>
    <t>04/07/2023 - Por todo o exposto, solicitamos providências para a contratação dos itens relacionados                                                                                                                                       30/08/2023 - Processo em tramitação                                                                                             03/10/2023 - Encaminhado ao Chefe da Divisão administrativa para análise e manifestação                                                                                                                                                                                              07/11/2023 - Arquivado pelo demandante</t>
  </si>
  <si>
    <t>20.592.429-9</t>
  </si>
  <si>
    <t>Abertura de processo licitatório com o objetivo de aquisição de macas e carros pantográficos para atender a demanda da Polícia Científica do Paraná</t>
  </si>
  <si>
    <t>R$ 1.542.736,00</t>
  </si>
  <si>
    <t>Janaina Aparecida da Cunha</t>
  </si>
  <si>
    <t>PCP/CWB/TAR/CLIN</t>
  </si>
  <si>
    <t>21/08/2023 - encaminho ao Centro de Licitações da SESP para apreciação e demais medidas julgadas pertinentes                                                                                                                                                  30/08/2023 - Encontra-se no setor de licitações para análise                                                    10/10/2023 - Adequado, enviado para SESP/APC sugerindo envio SESP/SL.                                                          16/11/2023 - Em fase de abertura da fase externa do processo licitatóiro</t>
  </si>
  <si>
    <t>28/08/2023 - o setor de Compras para atendimento à Aanalise constante às fls. 110 à 123 -                                                                                                                                          30/08/2023 - Encontra-se no compras para adequação                                                                                         05/09/2023 - Adequado, enviado para SESP/APC sugerindo envio SESP/SL                                              20/09/2023 - Adequado, enviado para SESP/APC sugerindo envio SESP/SL.                                                              16/11/2023 - Desde o dia 03/10 no setor de licitações , em fase de adjudicação                                                05/12/2023 - SESP/DG fase de Adjudicação e homologação                                                                                                                                                                            03/01/2024 - Encaminha-se ao chefe do gaofs para emissão de empenho 21/02/2024- Encaminhado ao Contratos/SESP15/03/2024- Encaminhado ao Almoxarifado para aguardo da entrega dos materiais23/05/2024- Mangotes recebidos29/05/2024- Encaminhado para liquidação e pagamento</t>
  </si>
  <si>
    <t>20.738.543-3</t>
  </si>
  <si>
    <t>dispensa de licitação para adequação da comunicação visual da Sede Visconde.</t>
  </si>
  <si>
    <t>R$ 11.200,00</t>
  </si>
  <si>
    <t>15/08/2023 - Pré empenho e Empenho aprovado e assinado                                                                                                                                                                11/09/2023 - Encaminhado a Origem para aguardar  a entrega do item                                                           16/11/2023 - Ainda aguardando entrega do material                                                                                              05/12/2023 - Material recebido</t>
  </si>
  <si>
    <t>20.751.732-1</t>
  </si>
  <si>
    <t>AQUISIÇÃO DE MICRO-ONDAS VIA ATA DE REGISTRO DE PREÇO NO 276/2023</t>
  </si>
  <si>
    <t>R$ 23.567,23</t>
  </si>
  <si>
    <t>21/08/2023 - DECLARAÇÃO DE ADEQUAÇÃO DA DESPESA                                                      30/08/2023 - Se encontra na SESP/GAS/SC desde o dia 21/08/2023                                                                           16/11/2023 - Desde o dia 06/10 aguardando entrega                                                                                     05/12/2023 - Material entregue 17/11/2023</t>
  </si>
  <si>
    <t>20.716.443-7</t>
  </si>
  <si>
    <t>manutenção corretiva, preventiva e qualificação operacional do Cromatógrafo Gasoso com Detector de Ionização de Chama</t>
  </si>
  <si>
    <t>R$ 172.136,60</t>
  </si>
  <si>
    <t>18/07/2023 - Encaminho ao GAA para instrução processual.                                                    30/08/2023 - Aguardando o fechamento de proposta com a empresa                                            01/11/2023 - Encaminhado ao Chefe da Divisão Administrativa para análise e aprovação                                                                                                                                                                                                                                                                 14/11/2023 - SESP/COMP  para continuidade                                                                                                 05/12/2023 - GAOFS para inserção de documentação financeira06/02/2024- Encaminhado à gestora do contrato para acompanhamento da entrega09/05/2024- Materiais entregues 22/05/2024- Notas fiscais encaminhadas para pagamento</t>
  </si>
  <si>
    <t>20.725.349-9</t>
  </si>
  <si>
    <t>AQUISIÇÃO DE PAPEL ALUMÍNIO VIA ATA DE REGISTRO DE PREÇO</t>
  </si>
  <si>
    <t>R$ 680,00</t>
  </si>
  <si>
    <t>31/07/2023 - Encaminhado ao divisional para análise e providências                                                                                                                        14/08/2023 - Encaminhado a SESP via APC para continuação da tramitação e encaminhamento a UNIOESTE                                                                                                                 16/08/2023 - Encaminhado ao PCP/GAOFS para estorno do empenho sugerindo encaminhamento a PCP/CWB/TAR/QUIM para arquivamento</t>
  </si>
  <si>
    <t>20.754.617-8</t>
  </si>
  <si>
    <t>AQUISIÇÃO DE MICROPORE VIA PREGÃO ELETRÔNICO 1883/2023</t>
  </si>
  <si>
    <t>laboratorios</t>
  </si>
  <si>
    <t>R$ 685,00</t>
  </si>
  <si>
    <t>01/08/2023 - Encaminhado ao divisional para análise e providências                                                                                                  17/08/2023 - Foi adicionado ao protocolo o relatório de solicitação de compra e encaminhado ao chefe divisional para demais providências                                                                                                                             24/08/2023 - Encaminhado ao PCP/CWB/TAR/QUIM para aguardar a entrega do material                                                                                                                   30/08/2023 - Encaminhado ao PCP/DA/GAOFS para providências referente ap pagamento da NF                                                                                                                                            16/11/2023 - Pagamento efetuado em 05/10/2023</t>
  </si>
  <si>
    <t>20.757.901-7</t>
  </si>
  <si>
    <t>ata de registro de preço de software para o Núcleo de Perícias Audiovisuais</t>
  </si>
  <si>
    <t>R$ 98.987,00</t>
  </si>
  <si>
    <t>08/08/2023 - Encaminhado ao divisional para análise e providências                                        30/08/2023 - Encaminhado ao NFS/OR/SESP para a continuação da tramitação                                             16/11/2023 - No setor SESP/GOFS/FI, ja com nota atestada aguardando pagamento</t>
  </si>
  <si>
    <t>20.774.414-0</t>
  </si>
  <si>
    <t>SOLICITAÇÃO PARA AQUISIÇÃO DE MATERIAL DE EXPEDIENTE GRUPO IV VIA PREGÃO ELETRÔNICO 260/2022/DECON - LOTES 07, 09 E 13 - NO VALOR DE R$ 3.750,20 (TRÊS MIL SETECENTOS E CINQUENTA REAIS E VINTE CENTAVOS), NA MODALIDADE CARONA, VALIDADE DA ATA 24/08/2023, ENTREGA ÚNICA, PARA SUPRIR A DEMANDA DOS LABORATÓRIOS FORENSES DA POLÍCIA CIENTÍFICA DO PARANÁ - UNIDADE TARUMÃ - CURITIBA.</t>
  </si>
  <si>
    <t>R$ 3.750,20</t>
  </si>
  <si>
    <t>01/08/2023 - Devolvido a origem pois não há saldo na ata disponivel para aquisição</t>
  </si>
  <si>
    <t>20.770.874-7</t>
  </si>
  <si>
    <t>SOLICITAÇÃO PARA AQUISIÇÃO DE MATERIAL DE EXPEDIENTE GRUPO VII VIA PREGÃO ELETRÔNICO 319/2022/DECON - LOTE 08 - NO VALOR DE R$ 3.894,00 (TRÊS MIL OITOCENTOS E NOVENTA E QUATRO REAIS), NA MODALIDADE CARONA, VALIDADE DA ATA 11/09/2023, ENTREGA ÚNICA, PARA SUPRIR A DEMANDA DOS LABORATÓRIOS FORENSES DA POLÍCIA CIENTÍFICA DO PARANÁ - UNIDADE TARUMÃ - CURITIBA.</t>
  </si>
  <si>
    <t>R$ 3.894,00</t>
  </si>
  <si>
    <t>02/08/2023 - Encaminhado ao divisional para análise e providências                                                                        14/08/2023 - Encaminhado ao chefe da divisão administrativa para autorização da despesa, já foi emitido relatório de solicitação de compra                                                                                                                                                                              22/08/2023 - Encaminhado ao Almoxarifado para aguardar a entrega do material                                                 30/08/2023 - Aguardando a entrega do item                                                                                                                    05/10/2023 - Realizado pagamento</t>
  </si>
  <si>
    <t>20.763.036-5</t>
  </si>
  <si>
    <t>SOLICITAÇÃO PARA AQUISIÇÃO DE REAGENTES E VIDRARIAS VIA PREGÃO ELETRÔNICO 442/2023 - NA MODALIDADE PARTICIPANTE, VALIDADE DA ATA 21/06/2024, ENTREGA ÚNICA, PARA SUPRIR A DEMANDA DOS LABORATÓRIOS FORENSES DA POLÍCIA CIENTÍFICA DO PARANÁ - UNIDADE TARUMÃ - CURITIBA.</t>
  </si>
  <si>
    <t>R$ 21.715,44</t>
  </si>
  <si>
    <t>08/08/2023 - Encaminhado ao divisional para análise e providências                                                                                                             30/08/2023 - Encaminhado ao NFS/OR/SESP para a continuação da tramitação                                                                       14/09/2023 - Encaminhado a origem para aguardar a entrega dos itens 16/11/2023- Encaminhado ao GAOFS para pagamento das notas fiscais pendentes.                                         05/12/2023 - Ainda no GAOFS aguardando pagamento</t>
  </si>
  <si>
    <t>20.763.945-1</t>
  </si>
  <si>
    <t>SOLICITAÇÃO PARA AQUISIÇÃO DE EQUIPAMENTO PARA LABORATÓRIOS VIA PREGÃO ELETRÔNICO 1293/2022/UNIOESTE - LOTE 25 - NA MODALIDADE CARONA, VALIDADE DA ATA 21/09/2023, ENTREGA ÚNICA, PARA SUPRIR A DEMANDA DOS LABORATÓRIOS FORENSES DA POLÍCIA CIENTÍFICA DO PARANÁ - UNIDADE TARUMÃ - CURITIBA. Extrator de gordura, TIPO: Soxhlet</t>
  </si>
  <si>
    <t>R$ 11.997,00</t>
  </si>
  <si>
    <t>08/08/2023 - Encaminhado ao divisional para análise e providências                                                                     30/08/2023 - Encontra-se no Apoio Técnico da PCP 05/09/2023- Arquivado pelo demandante</t>
  </si>
  <si>
    <t>20.763.372-0</t>
  </si>
  <si>
    <t>SOLICITAÇÃO PARA AQUISIÇÃO DE EQUIPAMENTOS PARA LABORATÓRIOS VIA PREGÃO ELETRÔNICO 1293/2022/UNIOESTE - LOTES 06 E 31 - NA MODALIDADE CARONA, VALIDADE DA ATA 21/09/2023, ENTREGA ÚNICA, PARA SUPRIR A DEMANDA DOS LABORATÓRIOS FORENSES DA POLÍCIA CIENTÍFICA DO PARANÁ - UNIDADE TARUMÃ - CURITIBA. Agitador Magnetico e Microcentrífuga</t>
  </si>
  <si>
    <t>R$ 12.660,00</t>
  </si>
  <si>
    <t>08/08/2023 - Encaminhado ao divisional para análise e providências                                                        30/08/2023 - Encontra-se no Apoio Técnico da PCP 05/09/2023- Arquivado pelo demandante</t>
  </si>
  <si>
    <t>20.800.302-0</t>
  </si>
  <si>
    <t>Contratação de empresa especializada no fornecimento de assinatura de ferramenta de pesquisa e comparação de preços praticados pela Administração Pública, através de inexigibilidade de licitação, visando o atendimento de demanda do Grupo Auxiliar administrativo da Polícia Científica do Estado do Paraná. Banco de Preços</t>
  </si>
  <si>
    <t>R$ 11.580,00</t>
  </si>
  <si>
    <t>Bruno Tonel Otsuka</t>
  </si>
  <si>
    <t>Raphael Maingue</t>
  </si>
  <si>
    <t>31/07/2023 Enviado à DA/SEC sugerindo encaminhamento ao setor financeiro para continuidade                                                                                                                                  30/08/2023 - Encaminhado ao GAOFS para informação orçamentária                                                                                                        26/10/2023 - Protocolo arquivado devido a tratativas do setor de compras.</t>
  </si>
  <si>
    <t>20.815.556-3</t>
  </si>
  <si>
    <t>Dispensa de Licitação - Aquisição de Pijamas Cirúrgicos para atender a demanda de todas as unidades da Polícia Científica do Estado do Paraná.</t>
  </si>
  <si>
    <t>R$ 51.500,00</t>
  </si>
  <si>
    <t>31/07/2023 - Encaminhado ao divisional para análise e providências                                                                                     18/08/2023 - Restituído Compras/SESP via SESP/APC                                                                                                                  22/08/2023 - Restituído Compras/SESP via SESP/APC com negativas de orçamentos e emaisl sem resposta                                                                                  30/08/2023 - Aguardando encaminhamento para conferir referente a disponibilidade da verba                                                                               15/09/2023 - Empenho enviado ao fornecedor, protocolo enviado para PCP/CWB/TAR/NECRO aguardando mercadoria ser entregue.                                                                                                                                             20/09/2023 - Amostra aprovada pelo gestor, aguardando entrega.                                                                                                                             18/10/2023 - Recebido no dia 18/10 no almoxarifado</t>
  </si>
  <si>
    <t>20.796.765-3</t>
  </si>
  <si>
    <t>SOLICITAÇÃO PARA AQUISIÇÃO DE NOBREAKS VIA PREGÃO ELETRÔNICO 1561/2022 - LOTE 02 - NA MODALIDADE CARONA, VALIDADE DA ATA 25/04/2024, ENTREGA ÚNICA, PARA SUPRIR A DEMANDA DA POLÍCIA CIENTÍFICA DO PARANÁ - UNIDADE TARUMÃ - CURITIBA.</t>
  </si>
  <si>
    <t>Genetica Forense</t>
  </si>
  <si>
    <t>R$ 80.328,22</t>
  </si>
  <si>
    <t>09/08/2023 - Encaminhado ao divisional para análise e providências                                                                                                           22/08/2023 - Retornou para a inclusão da Solicitação de Compras do sistema GMS, foi inserido o relatório e encaminhado ao Divisional para providências                                                                                         30/08/2023 - Encontra-se no DG/SESP para autorização da despesa                                                                                                                      14/09/2023 - Encaminhado ao SESP/NFS via Chefe Da/DIV para emissão das informações orçamentárias 16/11/2023- Encaminhado ao gestor do contrato para acompanhamento de entrega                                         01/12/2023 - Encaminhado ao GAOFS para gestões de pagamento</t>
  </si>
  <si>
    <t>20.781.440-7</t>
  </si>
  <si>
    <t>SOLICITAÇÃO PARA AQUISIÇÃO DE MEDIDOR MULTIPARÂMETRO DE ÁGUA VIA PREGÃO ELETRÔNICO 1293/2022/UNIOESTE - LOTE 22, NA MODALIDADE CARONA, VALIDADE DA ATA 21/09/2023, ENTREGA ÚNICA, PARA SUPRIR A DEMANDA DOS LABORATÓRIOS FORENSES DA POLÍCIA CIENTÍFICA DO PARANÁ - UNIDADE TARUMÃ - CURITIBA.</t>
  </si>
  <si>
    <t>R$ 6.358,00</t>
  </si>
  <si>
    <t>09/08/2023 - Encaminhado ao divisional para análise e providências                                                                   24/08/2023 - Foi adicionado ao protocolo o relatório de solicitação de compra e encaminhado ao chefe divisional para demais providências                                           30/08/2023 - Encontra-se com a Diretora Administrativa para análise e aprovação da despesa 04/09/2023 - Conforme informação n°32/2022 – PGE fls 132 mov.33, onde a mesma menciona que as Universidades Estaduais apenas podem figurar como Entidades participantes ou aderentes, não podendo figurar como gerenciadoras ante a falta de previsão regularmente a nesse sentido.</t>
  </si>
  <si>
    <t>20.796.938-9</t>
  </si>
  <si>
    <t>SOLICITAÇÃO PARA AQUISIÇÃO DE NOBREAKS VIA PREGÃO ELETRÔNICO 1886/2022 - LOTE 11 - NA MODALIDADE CARONA, VALIDADE DA ATA 06/12/2023, ENTREGA ÚNICA, PARA SUPRIR A DEMANDA DA POLÍCIA CIENTÍFICA DO PARANÁ - UNIDADE TARUMÃ - CURITIBA.</t>
  </si>
  <si>
    <t>R$ 118.000,00</t>
  </si>
  <si>
    <t>09/08/2023 - Encaminhado ao divisional para análise e providências                                                                                                        24/08/2023 - Foi adicionado ao protocolo o relatório de solicitação de compra e encaminhado ao chefe divisional para demais providências                                     30/08/2023 - Encontra-se com a Diretora Administrativa para análise e aprovação da despesa                                                                                                                                     04/09/2023 - Conforme informação n°32/2022 – PGE fls 155 mov.43, onde a mesma menciona que as Universidades Estaduais apenas podem figurar como Entidades participantes ou aderentes, não podendo figurar como gerenciadoras ante a falta de previsão regularmente a nesse sentido.</t>
  </si>
  <si>
    <t>20.783.115-8</t>
  </si>
  <si>
    <t>SOLICITAÇÃO PARA AQUISIÇÃO DE MATERIAIS DIVERSOS PARA LABORATÓRIO (PONTEIRAS, MICROTUBOS E CAIXAS), VIA PREGÃO ELETRÔNICO 2039/2022/SESA - LOTES 04, 08, 10, 17 E 18, NA MODALIDADE PARTICIPANTE, VALIDADE DA ATA 28/03/2024, ENTREGA ÚNICA, PARA SUPRIR A DEMANDA DOS LABORATÓRIOS FORENSES DA POLÍCIA CIENTÍFICA DO PARANÁ - UNIDADE TARUMÃ - CURITIBA.</t>
  </si>
  <si>
    <t>R$ 50.623,00</t>
  </si>
  <si>
    <t>07/08 - Enviado PCP/DA/SEC para continuidade                                                                                                                                                                                 29/08/2023 - Encaminhado a origem para aguardar a entrega dos objetos                                                                                          30/08/2023 - Continua aguardando a entrega do objeto 16/11/2023- Encaminhado ao GAOFS para pagamento de nota fiscal                                                                                                              05/12/2023 - GAOFS aguardando pagamento.</t>
  </si>
  <si>
    <t>20.884.269-2</t>
  </si>
  <si>
    <t>Sistema de Registro de Preço do Pregão Eletrônico. N 78/2022, visando a aquisição de computadores para atender a demanda da Polícia Científica do Paraná. 100 Workstation</t>
  </si>
  <si>
    <t>todas</t>
  </si>
  <si>
    <t>R$ 1.697.700,00</t>
  </si>
  <si>
    <t>Parcial (70 entreugues)</t>
  </si>
  <si>
    <t>11/08 - Enviado PCP/DA/SEC para continuidade                                                                          30/08/2023 - Encaminhado ao SESP/DEST para demais providências quanto a autorização do proceso de aquisição                                                                                                                       28/09/2023 - Encaminhado para SESP/ATJ via SESP/APC para a continuação da tramitação copm os orçamentos atualizados 16/11/2023- Encaminhado ao gestor do contrato para providências                                      05/12/2023 - Enviado PCP/DTEC - PCP/DTEC/SEC sugerindo arquivamento</t>
  </si>
  <si>
    <t>20.845.346-7</t>
  </si>
  <si>
    <t>SOLICITAÇÃO PARA AQUISIÇÃO DE CLORETO DE SÓDIO 0,9% 10 ML, VIA PREGÃO ELETRÔNICO 1475/2022/SESA - LOTES 04, NA MODALIDADE CARONA, VALIDADE DA ATA 06/12/2023, ENTREGA ÚNICA, PARA SUPRIR A DEMANDA DO LABORATÓRIO DE GENÉTICA MOLECULAR FORENSE DA POLÍCIA CIENTÍFICA DO PARANÁ - UNIDADE TARUMÃ - CURITIBA.</t>
  </si>
  <si>
    <t>R$ 1.800,00</t>
  </si>
  <si>
    <t>17/08/2023 - Encaminhado ao divisional para análise e providências                                                                29/08/2023 - Encaminhado ao Apoio Técnico da Polícia Científica do Paraná para enviar a SEAP/DECON para liberação do saldo no sistema GMS                                                                                                                                                                       30/08/2023 - Encontra-se na SESP/DG para encaminharem a SEAP/DECON para liberação da Carona                                                                                                                                                                                   04/09/2023 - Encontra-se na SESP/DG para encaminharem a SESA para liberação da Carona                                                                                               13/09/2023 - Encaminhado ao Chefe da Divisão ADM para cotinuação da tramitaçao                                                                                                                                                  28/09/2023 - Encaminhado ao almoxarifado para aguardar a entrega do item                                                                                                                 17/10/2023 - Material recebido no almoxarifado dia 16/10/2023</t>
  </si>
  <si>
    <t>20.812.199-5</t>
  </si>
  <si>
    <t>Solicitação de compra de sacos cadavéricos pela Ata de Registro de Preços Federal no 25/2022.</t>
  </si>
  <si>
    <t>R$ 172.500,00</t>
  </si>
  <si>
    <t>24/08/2023 - Encaminhado ao divisional para análise e providências sugerindo encaminhamento ao setor financeiro                                                                               30/08/2023 - O contrato enconstra-se assinado e está aguardando a publicação no DIOE                                                                                                                     02/10/2023 - Recebimento do material no almoxarifado16/11/2023- Encaminhado para SESP/GOFS/FI para providências quanto ao pagamento</t>
  </si>
  <si>
    <t>20.838.392-2</t>
  </si>
  <si>
    <t>dispensa de licitação, para execução de rede de esgoto, para atender a
demanda da sala de necrópsia da Unidade de Ponta Grossa</t>
  </si>
  <si>
    <t>R$ 9.800,00</t>
  </si>
  <si>
    <t>28/08/2023- Devolvido a UETC PG para adequações                                                         16/11/2023 - Encontra-se com a Chefia de Ponta Grossa para as devidas adequações 06/12 - Em informação no protocolo, não será mais realizado o serviço. Restituido à origem para arquivamento</t>
  </si>
  <si>
    <t>20.860.022-2</t>
  </si>
  <si>
    <t>SOLICITAÇÃO PARA AQUISIÇÃO DE 50 TABLETS VIA PREGÃO ELETRÔNICO 78/2022 - ADITIVO DA ATA 2 - LOTE 05 - NA MODALIDADE CARONA, VALIDADE DO ADITIVO 2DA ATA 18/01/2024, ENTREGA ÚNICA, PARA SUPRIR A DEMANDA DA POLÍCIA CIENTÍFICA DO PARANÁ - UNIDADE TARUMÃ - CURITIBA.</t>
  </si>
  <si>
    <t>R$ 86.250,00</t>
  </si>
  <si>
    <t>22/08/2023 - Encaminhado ao divisional para análise e providências                          30/08/2023 - Encontra-se com a Diretora Administrativa para análise e aprovação da despesa                                                                                                                    16/11/2023 - Encaminhado ao chefe da divisão adm para cotinuação da tramitação                                                                                                              22/11/2023 - Encaminhado a SESP/COMPRAS via SESP/APC para continuação da tramitação                                                                                                                                                                                      05/12/2023 - Encontra-se SESP/AT/ASS                                                                                                                                          15/12/2023 - Encaminhado ao SESP/GAS/SC via SESP/APC para continuação da tramitação                                                                                                            20/12/2023 - Encaminhado ao SESP/GAS/SC para a continuação da tramitação</t>
  </si>
  <si>
    <t>20.909.509-2</t>
  </si>
  <si>
    <t>Solicitação de aditivo ao contrato nr. 687/2023 - GMS 3686/2023 visando a contratação de 4 (quatro) postos para atendimento das demandas da unidade de Maringá da Polícia Científica do Paraná  - Aditivo Limpeza 12x36 Maringá Empresaa Diversa</t>
  </si>
  <si>
    <t>R$ 38.303,28</t>
  </si>
  <si>
    <t>ADITIVO/SERVIÇO</t>
  </si>
  <si>
    <t>30/08/2023 - Aguardando autorização do DG no empenho e pré empenho</t>
  </si>
  <si>
    <t>20.871.637-9</t>
  </si>
  <si>
    <t>SOLICITAÇÃO PARA AQUISIÇÃO DE 22 CADEIRAS DE COLETA DE SANGUE, VIA PREGÃO ELETRÔNICO 995/2022/SESA - LOTE 38, NA MODALIDADE CARONA, VALIDADE DA ATA 15/02/2024, ENTREGA ÚNICA, PARA SUPRIR A DEMANDA DAS 18 UNIDADES DA POLÍCIA CIENTÍFICA DO PARANÁ.</t>
  </si>
  <si>
    <t>R$ 8.800,00</t>
  </si>
  <si>
    <t>24/08/2023 - Encaminhado ao divisional para análise e providências                                                           30/08/2023 - Encontra-se com a Diretora Administrativa para análise e aprovação da despesa                                                                                                                                                                14/09/2023 - Encaminhado para o chefe da divisão adm para continuação da tramitação16/11/2023- Encaminhado para análise do Diretor Geral 05/03/2024- Encaminhado à NFS/FI para ciencia e providencias</t>
  </si>
  <si>
    <t>20.915.417-0</t>
  </si>
  <si>
    <t>Aquisição, através de dispensa de licitação, de Alvos Silhueta e Obreias adesivas, nas quantidades e exigências estabelecidas neste instrumento, visando atender ao Laboratório de Inovação e Metrologia para execução do convênio federal 906.311/2020.</t>
  </si>
  <si>
    <t>R$ 2.089,90</t>
  </si>
  <si>
    <t>28/08/2023 - Encaminhado ao divisional para análise e providências   30/08/2023 - Encontra-se no GAOFS para informações Orçamentárias                                                                                                                                                                             16/11/2023 - Encaminhado para o Centro de Planejamento de Compras para continuação da tramitação                                                                                                                                          29/11/2023 - Encaminhado ao SESP/NFS via SESP/APC para inserção do CALV e continuação da tramitação                                                                                                                                05/12/2023 - AINDA AT/SESP, para análise e consectários.14/12/2023- Materiais recebidos</t>
  </si>
  <si>
    <t>20.907.141-0</t>
  </si>
  <si>
    <t>SOLICITAÇÃO PARA AQUISIÇÃO DE REAGENTES QUÍMICOS, VIA PREGÃO ELETRÔNICO 47/2023/SESA - LOTES 12 E 66, NA MODALIDADE PARTICIPANTE, VALIDADE DA ATA 04/07/2024, ENTREGA ÚNICA, PARA SUPRIR A DEMANDA DOS LABORATÓRIOS DA POLÍCIA CIENTÍFICA DO PARANÁ.</t>
  </si>
  <si>
    <t>R$ 194,00</t>
  </si>
  <si>
    <t>29/08/2023 - Encaminhado ao divisional para análise e providências                                                                           30/08/2023 - Aguardando o Chefe Divisional analisar e encaminhar para o GAOFS para informações orçamentárias                                                                                                                                                          20/09/2023 - Encaminhado a origem para aguardar a entrega dos objetos16/11/2023- Encaminhado ao SESP/GOFS/FI para providências quanto ao pagamento                        04/12/2023 - notas pagas</t>
  </si>
  <si>
    <t>20.931.060-0</t>
  </si>
  <si>
    <t>Adesão à Ata de Registro de Preços - PE n 2183/2022, Lote 35, para aquisição de geladeiras.</t>
  </si>
  <si>
    <t>R$ 5.550,60</t>
  </si>
  <si>
    <t>PCP/CWB/VISC/CHEFIA</t>
  </si>
  <si>
    <t>30/08/2023 - Aguardando o Carta de Condordância da Empresa01/09/2023 - Eempresa informou que não vai fornecer devido ao fechamento da mesma</t>
  </si>
  <si>
    <t>20.842.904-3</t>
  </si>
  <si>
    <t>R$ 1.920,00</t>
  </si>
  <si>
    <t>30/08/2023 - Encaminhado ao divisional para análise e providências                                                      05/10/2023 - Encaminhado ao SESP/ATJ via SESP/APC para a continuação da tramitação                                                                                                                       11/10/2023 - Encaminhado ao almoxarifado para aguardar a entrega                                                                                      26/10/2023 - Recebido no almoxarifado 26/10/2023</t>
  </si>
  <si>
    <t>20.746.896-7</t>
  </si>
  <si>
    <t>Acréscimo o contrato n. 558/2023 - GMS 2879/2023 PAVEZI MAQUINAS E EQUIPAMENTOS INDUSTRIAIS LTDA, visando à aquisição de um tanque balístico para a Unidade de Execução Técnico-Científica de Londrina.</t>
  </si>
  <si>
    <t>R$ 32.633,33</t>
  </si>
  <si>
    <t>16/11/2023 - Enviado para acompnhamento de entrega                                                                   05/12/2023 - Aguardando entrega27/02/2024- Encaminhado para liquidação e pagamento</t>
  </si>
  <si>
    <t>20.897.430-0</t>
  </si>
  <si>
    <t>TRATA-SE DA SOLICITAÇÃO DE COMPRA DIRETA POR INEXIGIBILIDADE PARA A REALIZAÇÃO DE ENSAIOS INTERLABORATORIAIS EM ARMAS, ATENDENDO O LABORATÓRIO DE INOVAÇÃO E METROLOGIA.</t>
  </si>
  <si>
    <t>R$ 19.600,00</t>
  </si>
  <si>
    <t>11/09/2023 - Encaminhado ao divisional para análise e providências                                                                                                           27/10/2023 - Encaminhado ao SESP/SC via SESP/APC para a continuação da tramitação                                                                                                16/11/2023 -  Encamnhado justificativa de inviabilidade de competição                                                         05/12/2023 - Ainda no setor SESP/AT                                                                                                                                                                                                           10/01/2024 - Encaminhado para SESP/APC para continuação da tramitação 23/02/2024- Encaminhado ao PCP/DA/GAA/CONTRATOS para providências14/03/2024- Encaminhado para inserção de nota de empenho03/04/2024- Nota de empenho inserida (ainda não assinada)08/04/2024- Contrato e Nota de empenho encaminhados ao fornecedor</t>
  </si>
  <si>
    <t>20.457.992-0</t>
  </si>
  <si>
    <t>Tem este o objetivo de solicitar a aquisição, por compra direta, de peças (fibras SPME) para manutenção e qualificação das técnicas de análise instrumental, visando atender as necessidades do Laboratório de Química Forense da Polícia Científica do Paraná.</t>
  </si>
  <si>
    <t>Seção de Quimica Forense</t>
  </si>
  <si>
    <t>R$ 3.593,00</t>
  </si>
  <si>
    <t>06/11/2023 - Retorno ao setor de compras PCP para adequações                                                                                            16/11/2023 - Com as devidas alterações, restituído SESP/SL via SESP/APC                                             05/12/2023 - Encontra - se na assessoriaTécnica desta SESP para análise da redação de minuta do edital.                                                                                        06/12/2023 - DEVOLVIDO A ORIGEM ENVIO FORA DO PRAZO - PCP/DIR/NI09/04/2024- Encaminhado à PCP/DA/GAA/COMPRAS para ciência e providências</t>
  </si>
  <si>
    <t>20.995.786-8</t>
  </si>
  <si>
    <t>Aquisição através do Sistema de Registro de Preço do Pregão Eletrônico no 503/2022, de Serviço de Dosimetria, para atender a demanda do órgão da Polícia Científica do Paraná</t>
  </si>
  <si>
    <t>União da Vitoria, Paranavaí, Paranaguá e Toledo</t>
  </si>
  <si>
    <t>R$ 6.307,00</t>
  </si>
  <si>
    <t>Leonete, Weberson, Antonio Boeing</t>
  </si>
  <si>
    <t>13/09/2023 - Encaminhado ao divisional para análise e providências                               16/11/2023- Encaminhado para Publicação do contrato                                                                                   20/11/2023- Encaminhado ao gestor do contrato para acompanhamento da entrega</t>
  </si>
  <si>
    <t>21.003.790-0</t>
  </si>
  <si>
    <t>SRP Papel Higiênico - Aquisição através do Sistema de Registro de Preço do Pregão Eletrônico no 1142/2022, na modalidade CARONA de Papel Higiênico, para atender a demanda do órgão da Polícia Científica do Paraná</t>
  </si>
  <si>
    <t>R$ 16.725,00</t>
  </si>
  <si>
    <t>05/09/2023 - Encaminhado ao Chefe da Divisão Administrativa para análise e aprovação                                                                                                                                                06/10/2023 - Encaminhado para o Almoxarifado para aguardar a entrega                                                                        17/10/2023 - Recebido no almoxarifado dia 17/10/2023</t>
  </si>
  <si>
    <t>21.023.097-1</t>
  </si>
  <si>
    <t>SRP água sanitátia - Aquisição através do Sistema de Registro de Preço do Pregão Eletrônico no 53/2023, na modalidade PARTICIPANTE de Água Sanitária, para atender a demanda do órgão da Polícia Científica do Paraná.</t>
  </si>
  <si>
    <t>R$ 1.785,00</t>
  </si>
  <si>
    <t>06/10/2023 - Encaminhado para o almoxarifado                                                            16/11/2023- ARQUIVADO GAOFS</t>
  </si>
  <si>
    <t>21.018.055-9</t>
  </si>
  <si>
    <t>SRP Esparadrapo e Lençol Descartável - Aquisição através do Sistema de Registro de Preço do Pregão Eletrônico no 1883/2022, na modalidade PARTICIPANTE de Esparadrapo e Lençol Descartável, para atender a demanda do órgão da Polícia Científica do Paraná</t>
  </si>
  <si>
    <t>R$ 5.400,65</t>
  </si>
  <si>
    <t>13/09/2023 - Encaminhado ao Chefe da Divisão Administrativa para análise e aprovação                                                                                                                                 05/10/2023 - Encaminhado para PCP/GAOFS para realizar o estorno do empenho                                                                                                     06/10/2023 - Encaminhado ao Almoxarifado para aguardar a entrega dos itens                                                                                                           09/10/2023 - Todos materiais entregues, empresa Londricir entregou dia 06/10 e a Torre forte dia 096/10/2023</t>
  </si>
  <si>
    <t>20.928.234-8</t>
  </si>
  <si>
    <t>SOLICTAÇÃO DE COMPRA DIRETA DE BALCÃO SOB MEDIDA PARA INSTAÇÃO EM BANCADA PREEXISTENTE NA SALA DE NECROPSIA DA UNIDADE DE EXECUÇÃO TÉCNICO CIENTÍFICA DE TOLEDO</t>
  </si>
  <si>
    <t>Amanda/Raphael</t>
  </si>
  <si>
    <t>R$ 6.040,00</t>
  </si>
  <si>
    <t>Omolabake Alhambra Silva Arimoro</t>
  </si>
  <si>
    <t>05/10/2023 - Encaminhado ao Chefe da Divisão Administrativa para análise e aprovação                                                                                                                                                      16/11/2023 - Encaminhado ao SESP/APC para providências                                                                  04/12/2023 - Encaminhado à SESP/COMP para continuidade23/01/2024- Material recebido</t>
  </si>
  <si>
    <t>21.072.257-2</t>
  </si>
  <si>
    <t>Ata de Registro de Preço Federal n 39/2022 -Aquisição através do Sistema de Registro de Preço Federal do Pregão Eletrônico no 12/2022, na modalidade PARTICIPANTE de Caminhonete 4x4, para atender a demanda do órgão da Polícia Científica do Paraná - Convênio n° 936.068/2022</t>
  </si>
  <si>
    <t>R$ 313.406,37</t>
  </si>
  <si>
    <t>26/09/2023 - Encaminhado ao Chefe da Divisão Administrativa para análise e aprovação</t>
  </si>
  <si>
    <t>21.070.337-3</t>
  </si>
  <si>
    <t>Sistema de Registro de Preço do Pregão Eletrônico. N 78/2022, visando a aquisição de MONITORES LOTE-7 para atender a demanda da Polícia Científica do Paraná.</t>
  </si>
  <si>
    <t>DTEC</t>
  </si>
  <si>
    <t>R$ 44.813,00</t>
  </si>
  <si>
    <t>PCP/DTEC/SEC</t>
  </si>
  <si>
    <t>25/09/2023 - Encaminhado ao Chefe da Divisão Administrativa para análise e aprovação                                                                                                                                                     16/11/2023 - Encaminhado a origem para arquivamento, pois não havia saldo para liveração da ata de registro de preço</t>
  </si>
  <si>
    <t>21.071.681-5</t>
  </si>
  <si>
    <t>aquisição através de dispensa de licitação,de Agulhas Hipodérmicas 40x1.6</t>
  </si>
  <si>
    <t>R$1596,00</t>
  </si>
  <si>
    <t>16/11/2023 - Encaminhado para o SESP/AT para averiguação da dispensa eletrônica                                05/12/2023 - Encaminhado ao Almoxarifado para aguardar recebimento07/12/2023- Material recebido</t>
  </si>
  <si>
    <t>21.077.747-4</t>
  </si>
  <si>
    <t>(1) SRP Água Mineral (IML) - Aquisição através do Sistema de Registro de Preço do Pregão Eletrônico n.o 22/2023, de água mineral (galão de 20L e copos de água 200ml) para atender a demanda das unidades da Polícia Científica de Curitiba</t>
  </si>
  <si>
    <t>R$ 20.080,00</t>
  </si>
  <si>
    <t>17/10/2023 recebimento de copos de água</t>
  </si>
  <si>
    <t>28/09/2023 - Encaminhado ao Chefe da Divisão Administrativa para análise e aprovação                                                                                                           17/10/2023 - Recebido no almoxarifado dia 17/10/2023 copos de água de 200ml                                                                                       24/11/2023 - Encaminhado ao financeiro para providências quanto ao pagamento de NF</t>
  </si>
  <si>
    <t>21.077.781-4</t>
  </si>
  <si>
    <t>(2) SRP Água Mineral (IML) - Aquisição através do Sistema de Registro de Preço do Pregão Eletrônico n.o 22/2023, de água mineral (galão de 20L) para atender a demanda da unidade da Polícia Científica de Paranaguá</t>
  </si>
  <si>
    <t>Paranaguá</t>
  </si>
  <si>
    <t>R$ 4.310,40</t>
  </si>
  <si>
    <t>28/09/2023 - Encaminhado ao Chefe da Divisão Administrativa para análise e aprovação                                                                                                                                            18/10/2023 - Encaminhado ao Chefe do GAOFS para aguardar as NFS para pagamento16/10/2023 - Encaminhado nota de empenho e Ordem de compra para os fornecedores17/10/2023 - Encaminhado aos Chefes das Unidades via expresso, que osmesmos, após os produtos serem recebidos, as notas fiscais deverão ser atestadas e encaminhadas ao Setor Financeiro para entrada do processo de pagamento.</t>
  </si>
  <si>
    <t>21.077.813-6</t>
  </si>
  <si>
    <t>(3) SRP Água Mineral (IML) - Aquisição através do Sistema de Registro de Preço do Pregão Eletrônico n.o 22/2023, de água mineral (galão de 20L) para atender a demanda da unidade da Polícia Científica de Ponta Grossa e Telêmaco Borba</t>
  </si>
  <si>
    <t>Ponta Grossa e Telêmaco Borba</t>
  </si>
  <si>
    <t>R$ 4.250,40</t>
  </si>
  <si>
    <t>14/12/2023 (Telêmaco); 08/11/2023 (Ponta Grossa)</t>
  </si>
  <si>
    <t>28/09/2023 - Encaminhado ao Chefe da Divisão Administrativa para análise e aprovação                                                                                                                                                      18/10/2023 - Encaminhado ao Chefe do GAOFS para aguardar as NFS para pagamento                                                                                                                                                    09/11/2023 - Encaminhado ao GAOFS para pagamento de NF de Ponta Grossa                                                                                                                        15/01/2023 - Encaminhado ao GAOFS para pagamento de NF Telemaco Borba</t>
  </si>
  <si>
    <t>21.077.848-9</t>
  </si>
  <si>
    <t>(4) SRP Água Mineral (IML) - Aquisição através do Sistema de Registro de Preço do Pregão Eletrônico n.o 22/2023, de água mineral (galão de 20L) para atender a demanda das unidades da Polícia Científica (Londrina, Apucarana, Ivaiporã e Jacarezinho)</t>
  </si>
  <si>
    <t>Londrina, Apucarana, Ivaiporã e Jacarezinho</t>
  </si>
  <si>
    <t>R$ 12.815,88</t>
  </si>
  <si>
    <t>28/09/2023 - Encaminhado ao Chefe da Divisão Administrativa para análise e aprovação                                                                                                      18/10/2023 - Encaminhado ao Chefe do GAOFS para aguardar as NFS para pagamento24/11/2023 - Encaminhado ao PCP/GAOFS para pagamento de NF                                                                             26/02/2024 - Encaminhado ao PCP/GAOFS para pagamento de NF</t>
  </si>
  <si>
    <t>21.077.883-7</t>
  </si>
  <si>
    <t>(5) SRP Água Mineral (IML) - Aquisição através do Sistema de Registro de Preço do Pregão Eletrônico n.o 22/2023, de água mineral (galão de 20L) para atender a demanda das unidades da Polícia Científica (Maringá, Umuarama, Campo Mourão e Paranavaí)</t>
  </si>
  <si>
    <t>Maringá, Umuarama, Campo Mourão e Paranavaí</t>
  </si>
  <si>
    <t>R$ 17.464,32</t>
  </si>
  <si>
    <t>28/09/2023 - Encaminhado ao Chefe da Divisão Administrativa para análise e aprovação                                                                                                           18/10/2023 - Encaminhado ao Chefe do GAOFS para aguardar as NFS para pagamento27/10/2023 - Finalizado</t>
  </si>
  <si>
    <t>21.077.923-0</t>
  </si>
  <si>
    <t>(6) SRP Água Mineral (IML) - Aquisição através do Sistema de Registro de Preço do Pregão Eletrônico n.o 22/2023, de água mineral (galão de 20L) para atender a demanda das unidades da Polícia Científica (Cascavel, Foz do Iguaçu e Toledo)</t>
  </si>
  <si>
    <t>Cascavel, Foz do Iguaçu e Toledo</t>
  </si>
  <si>
    <t>R$ 8.437,68</t>
  </si>
  <si>
    <t>18/10/2023 (Foz do Iguaçu); 24/10/2023 (Cascavel); 19/10/2023 (Toledo)</t>
  </si>
  <si>
    <t>28/09/2023 - Encaminhado ao Chefe da Divisão Administrativa para análise e aprovação                                                                                                     18/10/2023 - Encaminhado ao Chefe do GAOFS para aguardar as NFS para pagamento09/11/2023 - Encaminhada a nota fiscal para GAOFS</t>
  </si>
  <si>
    <t>21.077.945-0</t>
  </si>
  <si>
    <t>(7) SRP Água Mineral (IML) - Aquisição através do Sistema de Registro de Preço do Pregão Eletrônico n.o 22/2023, de água mineral (galão de 20L) para atender a demanda das unidades da Polícia Científica (Francisco Beltrão e Pato Branco)</t>
  </si>
  <si>
    <t>Francisco Beltrão e Pato Branco</t>
  </si>
  <si>
    <t>R$ 5.798,40</t>
  </si>
  <si>
    <t>27/10/2023 (Francisco Beltrão)</t>
  </si>
  <si>
    <t>29/09/2023 - Encaminhado ao Chefe da Divisão Administrativa para análise e aprovação                                                                                                     18/10/2023 - Encaminhado ao Chefe do GAOFS para aguardar as NFS para pagamento                                                                                                              22/04/2024 - Encaminhado ao Chefe do GAOFS para aguardar as NFS para pagamento</t>
  </si>
  <si>
    <t>21.112.421-0</t>
  </si>
  <si>
    <t>SRP Detergente líquido (IML) - Aquisição através do Sistema de Registro de Preço do Pregão Eletrônico n.o 53/2023, de detergente, para atender a demanda das unidades da Polícia Científica do Paraná.</t>
  </si>
  <si>
    <t>R$ 1.476</t>
  </si>
  <si>
    <t>17/10/2023 - Encaminhado para o almoxarifado 19/10/2023 - Finalizado</t>
  </si>
  <si>
    <t>21.137.039-4</t>
  </si>
  <si>
    <t>SRP Federal n°42/2022 - Aquisição luvas Nitrílicas</t>
  </si>
  <si>
    <t>R$ 18.350,25</t>
  </si>
  <si>
    <t>10/10/2023 - Encaminhado ao Chefe da Divisão Administrativa para análise e aprovação 14/11/2023 - Aguardando assinatura da empresa                                                                     28/11/2023 - Enviado Almoxarifado para aguardar recebimento19/12/2023- Material recebido22/05/2024- Retorne-se o protocolo à Unidade de Origem</t>
  </si>
  <si>
    <t>21.141.366-2</t>
  </si>
  <si>
    <t>Dispensa de Licitação - Contratação, através de procedimento de dispensa de licitação de serviço de Coffee Break para atender a demanda da Polícia Científica do Paraná.</t>
  </si>
  <si>
    <t>R$44.000,00</t>
  </si>
  <si>
    <t>17/10/2023 - Encaminhado ao Chefe da Divisão Administrativa para análise e aprovação                                                                                                             13/11/2023 - Encaminhado a SESP/COMPRAS via SESP/APC para a continuação da tramitação                                                                                                                                                          05/12/2023 - Encontra-se no setor de contratos para coleta das assinaturas19/12/2023- Encaminhado à fiscal do contrato para acompanhamento da entrega 12/03/2024- Materiais recebidos24/05/2024- Encaminhado para liquidação e pagamento</t>
  </si>
  <si>
    <t>21.153.550-4</t>
  </si>
  <si>
    <t>SRP Materiais de limpeza - Aquisição através do Sistema de Registro de Preço do Pregão Eletrônico no 54/2023, na modalidade PARTICIPANTE de Materiais de Limpeza, para atender a demanda do órgão da Polícia Científica do Paraná.</t>
  </si>
  <si>
    <t>R$ 5.044,26</t>
  </si>
  <si>
    <t>10/10/2023 - Encaminhado ao Chefe da Divisão Administrativa para análise e aprovação 07/11/2023 - Entrega parcial, 29/11/2023 entrega concluída, processo finalizado</t>
  </si>
  <si>
    <t>21.160.155-8</t>
  </si>
  <si>
    <t>SRP Toner PE 2281/2022 - Aquisição através do Registro de Preço do PE 2281/2022, de Toner para atender a demanda da unidade da Polícia Científica do Paraná.</t>
  </si>
  <si>
    <t>R$ 6.000,00</t>
  </si>
  <si>
    <t>11/10/2023 - Encaminhado ao Chefe da Divisão Administrativa para análise e aprovação 13/11/2023 - Encaminhamos o processo ao Setor Almoxarifado para aguardo daentrega e recebimento dos materiais a serem adquiridos.26/02/2024- Materiais recebidos20/05/2024- Nota discal encaminhada para liquidação e pagamento</t>
  </si>
  <si>
    <t>21.009.084-3</t>
  </si>
  <si>
    <t>Solicitação de compra de kits de controle de acesso para as UETCs do interior do estado por licitação.</t>
  </si>
  <si>
    <t>Custódia</t>
  </si>
  <si>
    <t>R$ 74.804,00</t>
  </si>
  <si>
    <t>05/12/2023 - Setor Licitações em fase de Homologação20/03/2024- Materiais recebidos 25/03/2024- Encaminhado à NFS/FI para ciência e providências 28/05/2024- Encaminhado para liquidação e pagamento</t>
  </si>
  <si>
    <t>21.166.584-0</t>
  </si>
  <si>
    <t>SRP Protetor Solar PE 54/2023 - Aquisição através do Registro de Preço do PE 54/2023, de Protetor Solar para atender a demanda da unidade da Polícia Científica do Paraná.</t>
  </si>
  <si>
    <t>R$ 11.350,00</t>
  </si>
  <si>
    <t>16/10/2023 - Encaminhado ao Chefe da Divisão Administrativa para análise e aprovação 14/11/2023 - Encaminhado para realização de ETP (CARONA)                                                                            04/12/2023 - Encaminhado a SESA/DAD para continuidade.                                                                                    05/12/2023 - Encaminhado SESP/DG para continuidade                                                                                                                                                                13/12/2023 - Encaminhado ao Chefe da Divisão Admnistrativa para ciência e continuação da tramitação                                                                                                                                                                    19/12/2023 - Encaminhado ao Almoxarifado para aguardar a entrega dos itens                                                                                                                            16/01/2024 - Chegou 48 unidades do protetor no almoxarifado</t>
  </si>
  <si>
    <t>21.091.059-0</t>
  </si>
  <si>
    <t>SOLICITAÇÃO PARA AQUISIÇÃO DE MESA RETA EM MDF, VIA PREGÃO ELETRÔNICO 1415/2022/DECON - LOTE 11, NA MODALIDADE CARONA, VALIDADE DA ATA 09/05/2024, ENTREGA ÚNICA, PARA SUPRIR A DEMANDA DA POLÍCIA CIENTÍFICA DO PARANÁ - UNIDADE TARUMÃ.</t>
  </si>
  <si>
    <t>R$ 12.577,80</t>
  </si>
  <si>
    <t>REGISTRO DE PREÇO (ESTADUAL) CARONA</t>
  </si>
  <si>
    <t>26/10/2023 - Encaminhado ao Chefe da Divisão Administrativa para análise e aprovação                                                                  10/11/2023 - Após a emissão do relatório de solicitação de compras, foi encaminhado ao chefe da divisão administrativa para continuidade da tramitação                                                      13/11/2023 - Encaminhada ao SESP/GOFS/OR para providencias                                                                                       05/12/2023 - SESP/DG para continuidade10/01/2024- Materiais recebidos</t>
  </si>
  <si>
    <t>Aquisição de kits de controle de acesso - LICITAÇÂO</t>
  </si>
  <si>
    <t>17/10/2023 - Encaminhado ao Chefe da Divisão Administrativa para análise e aprovação                                                                                                                                                                                                                                               23/10/2023 - Diretora Administrativa encaminha o protocolo para SESP/DG via Apoio Técnico                                   05/12/2023 - Setor de Licitações fase de homologação20/03/2024- Materiais recebidos28/05/2024- Encaminhado para liquidação e pagamento</t>
  </si>
  <si>
    <t>21.188.243-3</t>
  </si>
  <si>
    <t>SRP de Fita adesiva, Aguarrás e Tinta látex acrílica (IML) - Aquisição através do Sistema de Registro de Preço do Pregão Eletrônico n.o 1796/2021, de Fita adesiva, Aguarrás e Tinta látex acrílica, para atender a demanda das unidades da Polícia Científica do Paraná.</t>
  </si>
  <si>
    <t>R$ 4.245,60</t>
  </si>
  <si>
    <t>20/11/2023 - Recebido 05 tinta e 150 fitas adesivas                  29/11/2023 - recebido 17 latas de 18 l tinta</t>
  </si>
  <si>
    <t>18/10/2023 - Encaminhado ao Chefe da Divisão Administrativa para análise e aprovação                                                                                                                                            14/11/2023 - Encaminhado ao SESP/DG para analise17/11/2023 - Encaminhado ao almoxarifado                                                                                                                                                       21/11/2023 - Chegou no almoxarifado 5 tintas e 150 fitas no dia 20/11/2023 - falta chegar 17 tintas ainda- entregues 29/11.</t>
  </si>
  <si>
    <t>21.207.206-0</t>
  </si>
  <si>
    <t>SRP Materiais de Expediente PE 30/2023 - Aquisição através do Registro de Preço do PE 30/2023, de Materiais de Expediente para atender a demanda das unidades da Polícia Científica do Paraná.</t>
  </si>
  <si>
    <t>R$ 4.918,08</t>
  </si>
  <si>
    <t>R$ 45.243,00</t>
  </si>
  <si>
    <t>20/10/2023 - Encaminhado ao Chefe da Divisão Administrativa para análise e aprovação                                                                                                                                                                 13/11/2023 - Nota de empenho enviado ao Fornecedor e aguardando a entrega dos materiais                                                                                                                 01/12/2023 - GAOFS para pagamento04/12/2023- Material recebido</t>
  </si>
  <si>
    <t>21.052.995-0</t>
  </si>
  <si>
    <t>Contratação de serviços de dedetização, desratização, desinsetização para atender a UETC - Visconde de Guarapuava da Polícia Científica do Paraná</t>
  </si>
  <si>
    <t>R$ 1.250,00</t>
  </si>
  <si>
    <t>23/10/2023 - Encaminhado a SESP/COMPRAS via SESP/APC para a continuação da tramitação                                                                                                                                                    13/11/2023 - Encaminhado a SESP/COMPRAS via SESP/APC para a continuação da tramitação                                                                                                                                                     20/11/2023 - Encamihado a SESP/GAS/SC para elaboração do contrato                                                     28/11/2023 - Encaminhado a AT/SESP via SESP/APC para continuação da tramitação                           05/12/2023 - Encontra-se SESP/AT para continuidade23/01/2024- Nota fiscal encaminhada à PCP/DA/GAOFS</t>
  </si>
  <si>
    <t>21.192.555-8</t>
  </si>
  <si>
    <t>SOLICITAÇÃO PARA AQUISIÇÃO DE PROJETOR MULTIMÍDIA COM SUPORTE EM ALUMÍNIO, VIA PREGÃO ELETRÔNICO 52/2023/DECON - LOTE 11, NA MODALIDADE CARONA, VALIDADE DA ATA 30/09/2024, ENTREGA ÚNICA, PARA SUPRIR A DEMANDA DA POLÍCIA CIENTÍFICA DO PARANÁ - UNIDADE TARUMÃ.</t>
  </si>
  <si>
    <t>R$ 12.015,24</t>
  </si>
  <si>
    <t>26/10/2023 - Encaminhado ao Chefe da Divisão Administrativa para análise e aprovação                                                                                                       09/11/2023 - Protocolo retonou a Origem sugerindo arquivamento                                                          05/12/2023 - Aguardando arquivamento na origem - PCP/CWB/TAR/GENET</t>
  </si>
  <si>
    <t>21.214.038-4</t>
  </si>
  <si>
    <t>Solicitação de compra de embalagens simples por Dispensa de Licitação.</t>
  </si>
  <si>
    <t>09/11/2023 - Encaminhado ao Chefe da Divisão Administrativa para análise e aprovação                                                                                                                    10/11/2023 - Encaminhado ao PCP/DA/GAOFS/CHEFE para informação orçamentaria, pré-empenho e empenho                                                                                                                       13/11/2023 - Encaminhado ao GAOFS para providencias                                                                                                                            01/12/2023 enviado SESP/COMP para continuidade.                                                                              05/12/2023 - SESP/DG para continuidade                                                                                                                                               20/12/2023 - Encaminhado para origem para aguardar a entrega dos itens.                                                                                                                       03/01/2024 - Material entregue no almoxarifado dia 02/01/2024</t>
  </si>
  <si>
    <t>01/11/2023 - Encaminhado ao Chefe da Divisão Administrativa para análise e aprovação                                                        01/11/2023 - Encaminhado ao GAOFS para informação orçamentaria                                                                                              07/11/2023 - Encaminhado ao SESP/DG para analise via apoio técnico                                                                            09/11/2023 - Encaminhado ao SESP/DEST para analise                                                                                                       13/11/2023 - Encaminhado ao SESP/SL para providencias                                                                                                       24/11/2023 - Encaminhado com adequações SESP/SL  via SESP/APC.                                                     05/12/2023 - SESP/DEST para continuidade                                                                                                           06/12/2023 - DEVOLVIDO A ORIGEM DEVIDO A ENVIO FORA DE PRAZO- PCP/DCV/DIV                                                                                                                                                                   08/01/2023 - Encaminhado a AT/SESP via SESP/APC para continuação da tramitação                                                                                                                                                                       23/02/2024 - Encaminhado a AT/SESP para continuação da tramitação19/07/2024- Encaminhado ao Almoxarifado para acompanhamento da entrega</t>
  </si>
  <si>
    <t>21.203.673-0</t>
  </si>
  <si>
    <t>Pedido de compra de armários roupeiros para a Central de Custódia.</t>
  </si>
  <si>
    <t>R$ 28.880,00</t>
  </si>
  <si>
    <t>DISPENSA ELETRÔNICA (COMPRA DIRETA)</t>
  </si>
  <si>
    <t>09/11/2023 - Encaminhado ao Chefe da Divisão Administrativa para análise e aprovação                                                                                                                                   13/11/2023 - Encaminhado ao SESP/DEST para providencias                                                                                                        27/11/2023 - Encaminhado ao chefe da divisão administrativa para análise e providências                                 05/12/2023 - Retornou ao compras para complemento de documentação17/01/2024- Material recebido</t>
  </si>
  <si>
    <t>19.723.264-1</t>
  </si>
  <si>
    <t>Aquisição de Ferramenta Forense de extração e processamento de dados de dispositivos computacionais portáteis com solução em hardware, com Inexigibilidade de Licitação - Convênio FIA/SEJUF - Projeto "Combate à Pandemia de Cyberpornografia - Fim da Impunidade!"</t>
  </si>
  <si>
    <t>UETC VISCONDE</t>
  </si>
  <si>
    <t>COMPUTAÇÃO FORENSE</t>
  </si>
  <si>
    <t>R$ 843.398,00</t>
  </si>
  <si>
    <t>01/11/2023 - Encaminhado ao Chefe da Divisão Administrativa para análise e aprovação                                                                                                                        01/11/2023 - Encaminhado ao SESP/APC para analise                                                                                             06/11/2023 - Encaminhado ao SESP/DEST para providencias via APC                                                                  08/11/2023 - Encaminhado ao SESP/EP para analise                                                                                                13/11/2023 - Retornado ao SESP/DEST para providencias                                                            05/12/2023 - CETIC-PR para que prossiga sua tramitação.                                                                                                                             13/12/2023 - Restituimos a origem para origem para aguardar a data para análise jurídica                                                                                                                                           09/01/2024 - Encaminhado ao SESP/APC para continuação da tramitação 18/03/2024- Encaminhado à SESP/AT para providências 13/06/2024-  Empenho e contrato enviados ao fornecedor</t>
  </si>
  <si>
    <t>R$ 6.040,35</t>
  </si>
  <si>
    <t>09/11/2023 - Encaminhado ao Chefe da Divisão Administrativa para análise e aprovação                                                                                                                     09/11/2023 - Encaminhado ao SESP/APC para providencias                                                                13/11/2023 - Encaminhado ao SESP/COMP via APC para analise                                                                                                16/11/2023 - Retornado ao PCP/DA/GAA/COMPRAS para complementação da documentação                           05/12/2023 SESP/DG para continuidade25/03/2024- Nota de liquidação inserida</t>
  </si>
  <si>
    <t>21.253.918-0</t>
  </si>
  <si>
    <t>SOLICITAÇÃO DE ADITIVO DE 25% NOS LOTES 04, 05, 06, 19 E 26 DO CONTRATO No 0047/2023 - EMPRESA AWKALAB PRODUTOS PARA LABORATÓRIO LTDA, PARA SUPRIR A DEMANDA DO LABORATÓRIO DE QUÍMICA FORENSE DA POLÍCIA CIENTÍFICA DO PARANÁ - UNIDADE TARUMÃ - CURITIBA.</t>
  </si>
  <si>
    <t>R$ 26.893,91</t>
  </si>
  <si>
    <t>Termo aditivo ao contrato</t>
  </si>
  <si>
    <t>06/12/2023 - Enviado PCP/CWB/TAR/QUIM para justificativas de quantitativo</t>
  </si>
  <si>
    <t>21.259.939-5</t>
  </si>
  <si>
    <t>SOLICITAÇÃO DE ADITIVO DE 25% NO LOTE 23 DO CONTRATO No 0048/2023 - EMPRESA DMC COMÉRCIO DE EQUIPAMENTO PARA LABORATÓRIO LTDA, PARA SUPRIR A DEMANDA DO LABORATÓRIO DE QUÍMICA FORENSE DA POLÍCIA CIENTÍFICA DO PARANÁ - UNIDADE TARUMÃ - CURITIBA.</t>
  </si>
  <si>
    <t>R$ 9.496,42</t>
  </si>
  <si>
    <t>06/12/2023 - Negativa de acréscimo PGE em 01/12/2023</t>
  </si>
  <si>
    <t>21.257.056-7</t>
  </si>
  <si>
    <t>SOLICITAÇÃO DE ADITIVO DE 25% NO LOTE 03 DO CONTRATO No 0049/2023 - EMPRESA LOGLAB PRODUTOS PARA LABORATÓRIO LTDA, PARA SUPRIR A DEMANDA DO LABORATÓRIO DE QUÍMICA FORENSE DA POLÍCIA CIENTÍFICA DO PARANÁ - UNIDADE TARUMÃ - CURITIBA.</t>
  </si>
  <si>
    <t>R$ 971,60</t>
  </si>
  <si>
    <t>06/12/2023 - Negativa de acréscimo PGE em 02/12/2023</t>
  </si>
  <si>
    <t>21.249.584-0</t>
  </si>
  <si>
    <t>Solicitação de compra de Refrigerador Vertical Dupla Ação pela Ata de Registro de Preços SRP PE No 101/2023.</t>
  </si>
  <si>
    <t>R$ 102.000,00</t>
  </si>
  <si>
    <t>09/11/2023 - Encaminhado a PCP/DIV para análise e manifestação                                                                                13/11/2023 - Encaminhado ao SESP/APC para analise                                                                                            13/11/2023 - Encaminhado ao SESP/DEST via APC para providencias01/02/2024- Material recebido22/02/2024- Encaminhado para liquidação e pagamento</t>
  </si>
  <si>
    <t>SOLICITAÇÃO PARA ABERTURA DE PROCESSO LICITATÓRIO VIA REGISTRO DE PREÇO VISANDO A AQUISIÇÃO DE COLETES BALÍSTICOS NÍVEL III - A PARA ATENDER AS UNIDADES PROGRAMÁTICAS DA SECRETARIA DE ESTADO DA SEGURANÇA PÚBLICA (500 COLETES PARA A PCP SENDO 250 PARA 2024 E 250 PARA 2025)</t>
  </si>
  <si>
    <t>SESP</t>
  </si>
  <si>
    <t>R$ 1.750.000,00</t>
  </si>
  <si>
    <t>16/02/2024- Encaminhado à Procuradoria Consultiva de Aquisições e Serviços - PRC.</t>
  </si>
  <si>
    <t>20/11/2023 - Encaminhado a PCP/DIV para análise e manifestação                             05/12/2023 - Devolvido ao setor sugerindo a remessa dos autos à origem para impulsionamento do protocolado a partir do dia 02 de janeiro de 2024                                              06/12/2023 - DEVOLVIDO À ORIGEM - PCP/CWB/TAR/QUIM                                                                                                                                                                      02/01/2024 - Encaminhado a AT/SESP via SESP/APC para a continuação da tramitação                                                                                                                                                  19/01/2024 - Encanhado a SESP/APC para a continuação da tramitação26/02/2024- Encaminhado ao SESP/AT/ASS para providências01/04/2024- Encaminhado para emissão da CALV09/05/2024- Contrato assinado22/05/2024- Empenho assinado07/06/2024- Material recebido</t>
  </si>
  <si>
    <t>21.177.856-3</t>
  </si>
  <si>
    <t>AQUISIÇÃO POR DISPENSA DE LICITAÇÃO(BAIXO VALOR) DE INSUMOS PARA REALIZAÇÃO DE EXAMES DE IDENTIFICAÇÃO VEICULAR. -  GRAXA, REMOVEDOR PASTOSO, DESENGRIPANTE E LIXAS</t>
  </si>
  <si>
    <t>R$ 26.894,10</t>
  </si>
  <si>
    <t>05/12/2023- Encaminhado ao PCP/DA/GAOFS para atualizações orçamentárias, confeccção do CALV e emissão de pré-empenho e empenho. 18/03/2024- Encaminhado à PCP/DA/GAOFS para a inserção das Notas de Empenho informando se as mesmas já estão aprovadas ou não04/04/2024- Encaminhado à NFS/OR para ciência e providências 25/04/2024- Nota de empenho e Ordem de compra enviados o fornecedor02/05/2024- Material recebido15/05/2024- Encaminhado para liquidação e pagamento</t>
  </si>
  <si>
    <t>Aquisição de álcool e água oxigenada por Dispensa de Licitação.</t>
  </si>
  <si>
    <t>Amanda/Maria</t>
  </si>
  <si>
    <t>05/12/2023- Encaminhado ao Chefe da Divisão Administrativa para análise e aprovação.                                                                                                                        11/01/2024 - Encaminhado a SESP/APC para continuação da tramitação 21/02/2024- Encaminhado ao SESP/AT para providências11/04/2024- Encaminhado à PCP/DA/GAA/COMPRAS para ciênca e providências 29/07/2024- Encaminhado para inserção da nota de empenho16/08/2024- Aguardando entrega</t>
  </si>
  <si>
    <t>Balística Forense</t>
  </si>
  <si>
    <t>R$ 169.750,00</t>
  </si>
  <si>
    <t>06/12/2023 - Protocolo no setor de Compras para instrução08/02/2024- Encaminhado ao Centro de Planejamento de Compras para providências09/04/2024- Encaminhado à PGE/AUT para análise e manifestação</t>
  </si>
  <si>
    <t>Dispensa de Licitação, na modalidade Eletrônica, para aquisição de Caixa de Arquivo Morto em atendimento da demanda da Polícia Científica do Paraná.</t>
  </si>
  <si>
    <t>06/12/2023 - ENCAMINHADO EM 04/12 PARA NFS/OR para assinatura das informações orçamentárias                                                                                                                                                                                                                                13/12/2023 - Encaminhado ao PCP/DA/DIV para ciência e posterior envio até o dia 02/01/2024                                                                                                                                                                          22/01/2024 - Encaminhado ao PCP/DA/GAOFS para continuação da tramitação22/02/2024- Encaminhado ao SESP/COMPRAS para continuação da tramitação22/07/2024- Aguardando assinaturas na nota de empenho08/08/2024- Aguardando entrega17/09/2024- Nota fiscal inserida, aguardando ser atestada</t>
  </si>
  <si>
    <t>21.113.253-1</t>
  </si>
  <si>
    <t>Aditivo do Contrato no 0638/2023 - Empresa Arqmax
Equipamentos para Escritório LTDA - Aquisição de estantes metálicas</t>
  </si>
  <si>
    <t>R$ 67.053,06</t>
  </si>
  <si>
    <t>Investimento</t>
  </si>
  <si>
    <t>06/12/2023 - ENCAMINHADO EM 30/11 PARA ALMOXARIFADO PARA AGUARDAR RECEBIMENTO21/12/2023- Material recebido04/03/2024- Encaminhado para liquidação  e pagamento</t>
  </si>
  <si>
    <t>21.113.233-7</t>
  </si>
  <si>
    <t>Aditivo do Contrato no 0637/2023 - Empresa Steel Solution Mobiliário Corporativo Eireli - Aquisição de estantes metálicas</t>
  </si>
  <si>
    <t>R$ 26.535,00</t>
  </si>
  <si>
    <t>06/12/2023 - ENCAMINHADO EM 05/12 PARA ALMOXARIFADO PARA AGUARDAR RECEBIMENTO21/12/2023- Material recebido04/03/2024- Encaminhado para liquidação e pagamento</t>
  </si>
  <si>
    <t>16/01/2024 - Encaminhado para o Chefe da Divisão Administrativa para análise e manifestação22/02/2024- Encaminhado ao SESP/DG para providências22/05/2024- Empenho assinado04/07/2024- Materiais recebidos</t>
  </si>
  <si>
    <t>Tramitando</t>
  </si>
  <si>
    <t>Julaine Carlotto</t>
  </si>
  <si>
    <t>Danilo Garcia Sanchez</t>
  </si>
  <si>
    <t>03/01/2024 - Encaminhado ao Chefe da Divisão Administrativa para análise e manifestação 04/04/2024- Encaminhado à PRC09/04/2024- Encaminhado à PCP/DA/GAA/COMPRAS para ciência e providências16/04/2024- Encaminhadp à responsável pelo ETP                                                                                                               29/07/2024 - Após adequações que se fizeram necessárias, restituído à APC para ações que o caso requer                                                               16/10/2024 - Após adequações que se fizeram necessárias, restituído à APC para ações que o caso requer</t>
  </si>
  <si>
    <t>CONVÊNIO 894219/2019 - EM FRENTE BRASILFortalecer a Polícia Científica do Paraná por meio da aquisição de equipamentos deextração para os laboratórios de toxicologia e de ciências químicas e biológicas, com foco no município de São José dosPinhais, alterado em 2022 para aquisição de um CG/MS e um Tablet Forense</t>
  </si>
  <si>
    <t>INÍCIO DA VIGÊNCIA:</t>
  </si>
  <si>
    <t>FIM DA VIGÊNCIA:</t>
  </si>
  <si>
    <t>PRORROGAÇÃO:</t>
  </si>
  <si>
    <t>VALOR TOTAL DO CONV:</t>
  </si>
  <si>
    <t>R$ 1.889.319,91</t>
  </si>
  <si>
    <t>VALOR EXECUTADO</t>
  </si>
  <si>
    <t>R$ 1.733.795,31</t>
  </si>
  <si>
    <t>VALOR A EXECUTAR</t>
  </si>
  <si>
    <t>R$ 155.524,60</t>
  </si>
  <si>
    <t>PROTOCOLO</t>
  </si>
  <si>
    <t>CONVÊNIO 894219/2019</t>
  </si>
  <si>
    <t>VALOR TOTAL</t>
  </si>
  <si>
    <t>Executado</t>
  </si>
  <si>
    <t>17.136.214-8</t>
  </si>
  <si>
    <t>AQUISIÇÃO ESPECTRÔMETRO RAMAN PORTÁTIL CONVÊNIO 894219/2019</t>
  </si>
  <si>
    <t>R$ 271.176,43</t>
  </si>
  <si>
    <t>Juntado ao 17.505.028-0</t>
  </si>
  <si>
    <t>17.505.028-0</t>
  </si>
  <si>
    <t>AQUISIÇÃO 02 RAMANS CONVÊNIOS EM FRENTE BRASIL</t>
  </si>
  <si>
    <t>R$ 269.900,00</t>
  </si>
  <si>
    <t>R$ 218.795,31</t>
  </si>
  <si>
    <t>Entregue</t>
  </si>
  <si>
    <t>18.110.242-0</t>
  </si>
  <si>
    <t>INFORMAÇÃO 1645/2021/COAFI/CGCONV/DIGES/SEGEN CONV 894219/2019 - RESTOS A PAGAR DE EMPENHO FEDERAL</t>
  </si>
  <si>
    <t>Solicitava informações acerca do convênio</t>
  </si>
  <si>
    <t>19.289.195-7</t>
  </si>
  <si>
    <t>Alteração do Convênio 894219/2019 Em Frente Brasil - INCLUSÃO DE CG/MS e TABLET FORENSE</t>
  </si>
  <si>
    <t>R$ 1.619.419,91</t>
  </si>
  <si>
    <t>Licitação de 02 Cromatógrafos CG/MS, um do Convênio 894219/2019 e outro recursos  SESP</t>
  </si>
  <si>
    <t>R$ 1.304.419,91</t>
  </si>
  <si>
    <t>Nota de Pag em 14/12/23</t>
  </si>
  <si>
    <t>Aquisição Tablet Forense - Multiespectral - Convênio 894219/2019</t>
  </si>
  <si>
    <t>Nota de Pag em 16/10/23</t>
  </si>
  <si>
    <t>CONVÊNIO 905779/2020 - EM FRENTE BRASILFortalecer a Polícia Científica do Paraná por meio da aquisição de Espectômetro Raman Portátil para o Laboratório de CiênciasQuímicas e Biológicas e com a aquisição de Insumos de Automação para o Laboratório de Genética Molecular Forense</t>
  </si>
  <si>
    <t>R$ 644.776,12</t>
  </si>
  <si>
    <t>R$ 262.422,97</t>
  </si>
  <si>
    <t>R$ 382.353,15</t>
  </si>
  <si>
    <t>TOTAL</t>
  </si>
  <si>
    <t>EXECUTADO</t>
  </si>
  <si>
    <t>17.220.294-2</t>
  </si>
  <si>
    <t>CELEBRAÇÃO CONVÊNIO N. 905779/2020 - AQUISIÇÃO ESPECTRÔMETRO RAMAN PORTÁTIL (FORMALIZAÇÃO DA ASSINATURA)</t>
  </si>
  <si>
    <t>17.339.069-6</t>
  </si>
  <si>
    <t>ESCLARECIMENTO COM RELAÇÃO AOS PROCESSOS LICITATÓRIOS DO CONVÊNIO FEDERAL N. 905779/2020 - POLÍCIA CIENTÍFICA</t>
  </si>
  <si>
    <t>AQUISIÇÃO 02 RAMANS CONVÊNIOS EM FRENTE BRASIL - META 1</t>
  </si>
  <si>
    <t>19.233.562-0</t>
  </si>
  <si>
    <t>PEDIDO DE PRORROGAÇÃO CONVÊNIO N. 905779/2020 - INSUMOS PARA AUTOMAÇÃO DNA - PRORROGADO PARA 30/09/2023</t>
  </si>
  <si>
    <t>20.277.494-6</t>
  </si>
  <si>
    <t>SOLICITAÇÃO DE AJUSTE DO PLANO DE TRABALHO CONV. 905779/2020</t>
  </si>
  <si>
    <t>EP/SESP</t>
  </si>
  <si>
    <t>Solicitado ajuste do PT em jul/2023</t>
  </si>
  <si>
    <t>AQUISIÇÃO INSUMOS PLAT. AUTOM. HAMILTON STARLET</t>
  </si>
  <si>
    <t>RECEBIDO O MATERIAL PARCIALMENTE, CFE E-P 22.284.032-5 DE PAGAMENTO DA NF 202236 E 202696</t>
  </si>
  <si>
    <t>22.284.032-5</t>
  </si>
  <si>
    <t>AQUISIÇÃO INSUMOS PLAT. AUTOM. HAMILTON STARLET - PGTO NOTA FISCAL 202236 E 202696</t>
  </si>
  <si>
    <t>R$ 144.580,40</t>
  </si>
  <si>
    <t>PGTO  DIA 25/07/2024</t>
  </si>
  <si>
    <t>CONVÊNIO 906311/2020Modernizar a Polícia Científica do Estado do Paraná por meio da contratação de assessoria para implantação, treinamento eacreditação no INMETRO do Laboratório de Física e Metrologia da Polícia Cientifica do Paraná, Protocolo inicial 17.220.246-2</t>
  </si>
  <si>
    <t>R$ 287.475,67</t>
  </si>
  <si>
    <t>R$ 99.385,00</t>
  </si>
  <si>
    <t>Formalizado o Ajuste do PT em 23/05/2023</t>
  </si>
  <si>
    <t>R$ 188.090,67</t>
  </si>
  <si>
    <t>CONVÊNIO 906311/2020</t>
  </si>
  <si>
    <t>OBSERVÇÃO</t>
  </si>
  <si>
    <t>META 1 - CONTRATAÇÃO DE EMPRESA ESPECIALIZADA NA IMPLEMENTAÇÃO NORMA ISO/IEC 17025:2017</t>
  </si>
  <si>
    <t>R$ 71.400,67</t>
  </si>
  <si>
    <t>17.442.612-0</t>
  </si>
  <si>
    <t>CONTRATAÇÃO DE EMPRESA ESPECIALIZADA NA IMPLEMENTAÇÃO NORMA ISO/IEC 17025:2017 - META 1</t>
  </si>
  <si>
    <t>R$ 57.800,00</t>
  </si>
  <si>
    <t>Realizado o curso Norma ISO iec 17025:2017 PCP/ACF desde de 07/07/2022</t>
  </si>
  <si>
    <t>19.764.751-5</t>
  </si>
  <si>
    <t>acreditação do laboratório de inovação e metrologia da  Convênio 906311/2020.</t>
  </si>
  <si>
    <t>META 2 - IMPRESSORA 3D, FILAMENTO ABS E NOTEBOOK ALTO DESEMPENHO</t>
  </si>
  <si>
    <t>R$ 31.852,00</t>
  </si>
  <si>
    <t>17.454.918-4</t>
  </si>
  <si>
    <t>LICITAÇÃO IMPRESSORA 3D E FILAMENTOS</t>
  </si>
  <si>
    <t>R$ 14.269,65</t>
  </si>
  <si>
    <t>Publicada duas vezes e restou fracassada a licitação PCP/ACF desde de 07/07/2022</t>
  </si>
  <si>
    <t>17.345.927-0</t>
  </si>
  <si>
    <t>LICITAÇÃO IMPRESSORA 3D E FILAMENTOS E NOTEBOOK</t>
  </si>
  <si>
    <t>R$ 35.780,12</t>
  </si>
  <si>
    <t>Processo parado com LIM, atualizar orçamentos Arquivado</t>
  </si>
  <si>
    <t>17.490.011-6</t>
  </si>
  <si>
    <t>LICITAÇÃO COMPUTADORES DE ALTO DESEMPENHO CONVÊNIO FEDERAL 906311/2020 - LABORATÓRIO DE INOVAÇÃO E METROLOGIA</t>
  </si>
  <si>
    <t>R$ 17.264,76</t>
  </si>
  <si>
    <t>Processo parado com LIM, atualizar orçamentos PCP/ACF desde de 07/07/2022</t>
  </si>
  <si>
    <t>18.687.025-5</t>
  </si>
  <si>
    <t>AQUISIÇÃO DE IMPRESSORA 3D E FILAMENTOS</t>
  </si>
  <si>
    <t>R$ 14.453,95</t>
  </si>
  <si>
    <t>R$ 12.884,00</t>
  </si>
  <si>
    <t>META 3 - CARRO FERRAM, COMPRESSOR, ESMERILHADEIRA, FURADEIRA, MÁQ. CORTE, MÁQ. SOLDA, MESA COORD., MORSA COORD, PARAFUSADEIRA, ROUTER CNC, SERRA ESQUADRIA, SERRA POLICORTE, TORNO MEC.</t>
  </si>
  <si>
    <t>R$ 53.877,20</t>
  </si>
  <si>
    <t>17.638.150-7</t>
  </si>
  <si>
    <t>LICITAÇÃO ESMERILHADEIRA, PARAFUSADEIRA, COMPRESSOR DE AR, MÁQ. DE CORTE</t>
  </si>
  <si>
    <t>R$ 4.344,69</t>
  </si>
  <si>
    <t>R$ 4.298,00</t>
  </si>
  <si>
    <t>Recebido</t>
  </si>
  <si>
    <t>17.505.726-9</t>
  </si>
  <si>
    <t>LICITAÇÃO MESA COORDENADA E MORSA COORDENADA</t>
  </si>
  <si>
    <t>R$ 4.899,67</t>
  </si>
  <si>
    <t>17.924.004-1</t>
  </si>
  <si>
    <t>AQUISIÇÃO tripé profissional, carro de ferramentas, kit de iluminação</t>
  </si>
  <si>
    <t>R$ 11.018,73</t>
  </si>
  <si>
    <t>Licitação fracassada e deserta PCP/ACF desde de 07/07/2022</t>
  </si>
  <si>
    <t>17.460.983-7</t>
  </si>
  <si>
    <t>LICITAÇÃO CARRO DE FERRAM, TORNO, FURADEIRA, MESA COORD E MORSA COORD.</t>
  </si>
  <si>
    <t>R$ 22.188,43</t>
  </si>
  <si>
    <t>17.489.610-0</t>
  </si>
  <si>
    <t>LICITAÇÃO SERRA POLICORTE DE BANCADA, PARAFUSADEIRA, ESMERILHADEIRA E COMPRESSOR DE AR CONVÊNIO FEDERAL 906311/2020 - LAB. INOVAÇÃO E METR.</t>
  </si>
  <si>
    <t>Processo parado com LIM, atualizar orçamentos  PCP/ACF desde de 07/07/2022</t>
  </si>
  <si>
    <t>META 4 - BALANÇA ANAL., BALANÇA, CRONÓGRAFO, FONTE, MEDIDOR DE FORÇA, MULTÍMETRO, OSCILOSCÓPI, PAQUÍMETRO, TERMO-HIGRÔMETRO, TERMOVISOR</t>
  </si>
  <si>
    <t>R$ 32.827,35</t>
  </si>
  <si>
    <t>17.856.035-2</t>
  </si>
  <si>
    <t>LICITAÇÃO TERMOVISOR, TERMO HIGRÔM, PAQUÍMETRO, DINAMÔMETRO, FONTE</t>
  </si>
  <si>
    <t>R$ 15.300,87</t>
  </si>
  <si>
    <t>Licitação fracassada, está com Emílio</t>
  </si>
  <si>
    <t>18.809.856-8</t>
  </si>
  <si>
    <t>AQUISIÇÃO DINAMÔMETRO E TERMO HIGRÔMETRO</t>
  </si>
  <si>
    <t>R$ 10.660,00</t>
  </si>
  <si>
    <t>AQUISIÇÃO JOGO FERRAM., ANEMÔMETRO, PAQUÍMETRO, TERMÔMETRO, PROTETOR AURICULAR (ABAFADOR)</t>
  </si>
  <si>
    <t>R$ 4.229,00</t>
  </si>
  <si>
    <t>AQUISIÇÃO TERMOVISOR ATA SRP Nº 102/2022</t>
  </si>
  <si>
    <t>AQUISIÇÃO BALANÇAS SEMI-ANALÍTICAS PE 1605/2022</t>
  </si>
  <si>
    <t>META 5 - ABAFADOR, AR CONDICIONADO, CONTAINER, PRENSA DE RECARGA, SUPORTE DE ARMA DE FOGO</t>
  </si>
  <si>
    <t>R$ 54.770,03</t>
  </si>
  <si>
    <t>17.342.053-6</t>
  </si>
  <si>
    <t>AQUISIÇÃO AR CONDICIONADO LABORATÓRIO DE INOVAÇÃO E METROLOGIA PCP - CONVÊNIO 906311/2020</t>
  </si>
  <si>
    <t>R$ 9.720,00</t>
  </si>
  <si>
    <t>Não foi autorizada a compra direta pela DG/SESP, parado</t>
  </si>
  <si>
    <t>18.241.524-3</t>
  </si>
  <si>
    <t>AQUISIÇÃO DE 4 APARELHOS AR CONDICIONADO RP PE 117/2021</t>
  </si>
  <si>
    <t>R$ 9.514,00</t>
  </si>
  <si>
    <t>META 6 - CÂMERA FOT, ESTANTE METAL, ILUMIN. ESTÚDIO, LENTE MACRO, TELEOBJETIVA, SPEED LOADER, TRIPÉ PROFISSIONAL</t>
  </si>
  <si>
    <t>R$ 42.748,42</t>
  </si>
  <si>
    <t>17.348.294-9</t>
  </si>
  <si>
    <t>CONVÊNIO 906311/2020 EXECUÇÃO DE SERVIÇOS COM PRESOS DO DEPPEN-PR COM MATERIAL JA ADQUIRIDO</t>
  </si>
  <si>
    <t>Realizado o serviço pelo DEPPEN</t>
  </si>
  <si>
    <t>17.348.195-0</t>
  </si>
  <si>
    <t>ADEQUAÇÃO IMÓVEL CONVÊNIO 906311/2020</t>
  </si>
  <si>
    <t>PRED declarou que precisa de contratação de projeto</t>
  </si>
  <si>
    <t>Aquisição via dispensa de licitação de cofres mecânicos referente ao convênio federal 906.311/2020, para atendimento da Academia de Ciência Forense da Polícia Científica do Paraná.</t>
  </si>
  <si>
    <t>Arquivado - Em 26/02/2024 foi inserido para o Aceite do MJ, porém o analista do MJ pediu algumas diligências dentre as quais a de renovação do orçamento, e o fornecedor não manteve a proposta inicial, declinando do processo</t>
  </si>
  <si>
    <t>Aquisição de Containers para o Laboratório de Inovação e Metrologia, relativo ao Convênio Federal 906.311/2022, da PCP</t>
  </si>
  <si>
    <t>SESP/DEST/SC em 10/07/2024</t>
  </si>
  <si>
    <t>AQUSIÇÃO DE NOTEBOOK</t>
  </si>
  <si>
    <t>Aditivo para aquisição de Balança para o Laboratório de Inovação e Metrologia</t>
  </si>
  <si>
    <t>CONVÊNIO 904902/2020Modernizar a Polícia Científica do Paraná por meio da implantanção de um centro de ref. em ciências forenses: Computador de Alto Desempenho, disco SSD e Ferramenta Forense de Extração de Dados Protocolo inicial 17.226.220-1</t>
  </si>
  <si>
    <t>R$ 638.542,40</t>
  </si>
  <si>
    <t>R$ 479.375,28</t>
  </si>
  <si>
    <t>R$ 159.167,12</t>
  </si>
  <si>
    <t>META 1 - COMPUTADOR ALTO DESEMPENHO (192GB E NVMe) e Disco SSD SATA 3 (1.92TB)</t>
  </si>
  <si>
    <t>R$ 553.717,12</t>
  </si>
  <si>
    <t>R$ 142.714,79</t>
  </si>
  <si>
    <t>17.281.762-9</t>
  </si>
  <si>
    <t>AQUISIÇÃO DE COMPUTADORES DE ALTO DESEMPENHO - CONVENIO N. 904902/2020</t>
  </si>
  <si>
    <t>Atas do Registro de Preço venceram e não foi adquirido</t>
  </si>
  <si>
    <t>17.435.633-5</t>
  </si>
  <si>
    <t>LICITAÇÃO COMPUTADORES DE ALTO DESEMPENHO E SSD CONVÊNIO FEDERAL 904902/2020</t>
  </si>
  <si>
    <t>R$ 494.207,73</t>
  </si>
  <si>
    <t>R$ 394.550,00</t>
  </si>
  <si>
    <t>Lote 03 (SSD) restou fracassado</t>
  </si>
  <si>
    <t>19.445.781-2</t>
  </si>
  <si>
    <t>pendência de execução a Etapa 03 da Meta 01 - Disco SSD, ajuste do plano de trabalho</t>
  </si>
  <si>
    <t>EP/SESP 19/06/23</t>
  </si>
  <si>
    <t>META 2 - FERRAMENTA FORENSE DE EXTRAÇÃO DE DADOS DE DADOS DA INTERNET DE PORTÁTEIS</t>
  </si>
  <si>
    <t>R$ 84.825,28</t>
  </si>
  <si>
    <t>17.304.218-3</t>
  </si>
  <si>
    <t>AQUISIÇÃO FERRAMENTA FORENSE  -  CONVÊNIO FEDERAL N. 904902/2020 - INEXIGIBILIDADE DE LICITAÇÃO</t>
  </si>
  <si>
    <t>17.390.806-7</t>
  </si>
  <si>
    <t>PRORROGAÇÃO INÍCIO DA EXECUÇÃO DO CONVÊNIO FEDERAL 904902/2020 POR MAIS 60 DIAS</t>
  </si>
  <si>
    <t>AQUISIÇÃO POR LICITAÇÃO DE SSDS NVME E MEMÓRIAS RAM ATRAVÉS DO CONVÊNIO FEDERAL 904902-2020</t>
  </si>
  <si>
    <t>R$ 152.970,00</t>
  </si>
  <si>
    <t>SESP/CL para reanálise 22/07/2024</t>
  </si>
  <si>
    <t>CONVÊNIO 920483/2021Modernizar a Polícia Científica do Paraná por meio da ampliação e melhoria dos serviços oferecidos à população, com aquisição de equipamentoss modernos e atualizadosProtocolo inicial 18.487.347-8</t>
  </si>
  <si>
    <t>R$ 1.655.674,42</t>
  </si>
  <si>
    <t>R$ 1.228.363,21</t>
  </si>
  <si>
    <t>R$ 427.311,21</t>
  </si>
  <si>
    <t>META 1 - BOROSCÓPIOS, DETECTORES DE METAIS, MALETAS TIPO 1 E MALETAS TIPO 2</t>
  </si>
  <si>
    <t>R$ 1.156.966,92</t>
  </si>
  <si>
    <t>18.671.551-9</t>
  </si>
  <si>
    <t>AQUISIÇÃO DE 20 BOROSCÓPIOS, CONVÊNIO 920483/2021</t>
  </si>
  <si>
    <t>R$ 33.344,00</t>
  </si>
  <si>
    <t>R$ 15.720,00</t>
  </si>
  <si>
    <t>Finalizado</t>
  </si>
  <si>
    <t>LICITAÇÃO MALETAS LOCAL DE CRIME TIPO 1 E 2 - Convênio Federal 920483/2021 - FRACASSADA MALETA TIPO 2 (PAPILOSC)</t>
  </si>
  <si>
    <t>R$ 851.489,24</t>
  </si>
  <si>
    <t>Entregue e pago ao fornec em 13/12/2023</t>
  </si>
  <si>
    <t>AQUISIÇÃO DE DETECTORES DE METAIS POR LICITAÇÃO CONV. 920483/2021</t>
  </si>
  <si>
    <t>R$ 125.396,04</t>
  </si>
  <si>
    <t>R$ 86.663,97</t>
  </si>
  <si>
    <t>Produtos entregues em 05/02/2024, pagamento realizado ao fornecedor em 18/03/2024</t>
  </si>
  <si>
    <t>21.858.494-2</t>
  </si>
  <si>
    <t>Acréscimo ao contrato 1054/2023 -  SIERDOVSKI &amp; SIERDOVSKI LTDA - EPP DETECTORES DE METAIS</t>
  </si>
  <si>
    <t>Aquisição de maletas local de crime para PCP</t>
  </si>
  <si>
    <t>R$ 134.990,00</t>
  </si>
  <si>
    <t>Empresa não quer fonecer no preço, assinado contrato em 13/05/2024, Emepnho emitido em 02/07/2024, empresa solicitou reequilibrio em 12/07/2024</t>
  </si>
  <si>
    <t>22.479.911-0</t>
  </si>
  <si>
    <t>Reequilibro financeiro do contrato 214/2024 - 3S Security Tecnologia Segurança e Serviços LTD (maletas)</t>
  </si>
  <si>
    <t>META 2 - VEÍCULO FURGÃO 4X2</t>
  </si>
  <si>
    <t>R$ 290.387,50</t>
  </si>
  <si>
    <t>18.536.728-2</t>
  </si>
  <si>
    <t>LICITAÇÃO VEÍCULO VAN - Convênio Federal 920483/2021 - CANCELADO</t>
  </si>
  <si>
    <t>20.305.464-5</t>
  </si>
  <si>
    <t>SUGESTÃO DO EP PARA ATA REGISTRO DE PREÇO</t>
  </si>
  <si>
    <t>META 3 - CÂMARA FRIGORÍFICA MORTUÁRIA</t>
  </si>
  <si>
    <t>R$ 208.320,00</t>
  </si>
  <si>
    <t>LICITAÇÃO CÂMARA FRIA UMUARAMA - Convênio Federal 920483/2021</t>
  </si>
  <si>
    <t>R$ 139.500,00</t>
  </si>
  <si>
    <t>Programado o pagamento para 11/04/2024, 15/04/2024</t>
  </si>
  <si>
    <t>20.975.616-1</t>
  </si>
  <si>
    <t>AJUSTE PROPOSTA CONVÊNIO 920483/2021</t>
  </si>
  <si>
    <t>CONVÊNIO 919141/2021Modernizar a Polícia Científica do Paraná por meio da contratação de serviço de consultoria à acreditação na norma ABNT NBR ISO 17025 p/ Laboratório de Genética Molecular Forense (DNA)Protocolo Inicial 18.502.741-4</t>
  </si>
  <si>
    <t>R$ 765.193,02</t>
  </si>
  <si>
    <t>Aquisição do sistema informatizado de automação e gestão de laboratório - LIMS</t>
  </si>
  <si>
    <t>R$ 597.733,56</t>
  </si>
  <si>
    <t>Na Científica para adequações e resposta à CETIC/CELEPAR</t>
  </si>
  <si>
    <t>Contratação de serviço de consultoria à acreditação na norma ABNT NBR ISO 17025</t>
  </si>
  <si>
    <t>PCP/CWB/TAR/GENET desde 17/03/2023 - adequações a nova lei</t>
  </si>
  <si>
    <t>Contratação de empresa especializada em consultoria e acreditação do Laboratório de Genética Molecular Forense para PCP</t>
  </si>
  <si>
    <t>R$ 185.698,67</t>
  </si>
  <si>
    <t>COMPRAS 26/07/2024</t>
  </si>
  <si>
    <t>LIMS</t>
  </si>
  <si>
    <t>R$ 595.110,54</t>
  </si>
  <si>
    <t>R$ 669.637,67</t>
  </si>
  <si>
    <t>SESP/SL em 08/07/2024</t>
  </si>
  <si>
    <t>CONVÊNIO 936068/2022Modernizar a Polícia Científica do Estado do Paraná por meio da ampliação e melhoria dos serviços oferecidos à população, com a aquisição de equipamentos para perícias em locais de crime, viatura para atendimentos em locais de crime e ferramentas e equipamentos forenses para perícias em vestígios digitaisNão teve protocolo inicial</t>
  </si>
  <si>
    <t>R$ 1.797.797,88</t>
  </si>
  <si>
    <t>META 1 - aquisição de 20 maletas de local, 1 equipamento de captura de imagens e 1 viatura - Emenda 71170010</t>
  </si>
  <si>
    <t>R$ 1.063.585,97</t>
  </si>
  <si>
    <t>Aquisição de Caminhonete 4x4 - Licitação</t>
  </si>
  <si>
    <t>Aquisição de Tablet forense - inexigibilidade</t>
  </si>
  <si>
    <t>Publicado o Extrato do Contrato no DIOE em 06/11/2023, Emitida a NF 52.301.676  em 26/03/2024 e foi recebido o equipamento em 25/04/2024</t>
  </si>
  <si>
    <t>AQUISIÇÃO MALETAS LOCAL DE CRIME (ETAPA 1 E 2) CONV 936068/2022</t>
  </si>
  <si>
    <t>Maletas tipo 1 (drones) houve vencedor, a maleta tipo 2 (equipamentos) restou deserto, processo foi aceito pelo MJ em 24/01/2024, em 19/03/2024 foi emitida a Ordem Bancária para transferência do  recurso de R$ 134.990,00, recurso estava contingenciado pela SEFA e foi descontigenciado em 22/04/2024 e em 29/04/2024 foi emitida a Nota de Reserva nº 2024NR000343</t>
  </si>
  <si>
    <t>20.393.415-7</t>
  </si>
  <si>
    <t>ALTERAÇÃO PLANO DE TRABALHO VEÍCULO CAMIONETE</t>
  </si>
  <si>
    <t>Não foi autorizada a licitação para um único item, estava aguardando Ata de Registro de Preços para a aquisição</t>
  </si>
  <si>
    <t>META 2 - a aquisição de 2 ferramentas de extração de dados, 2 ferramentas de duplicação de dispositivos computacionais portáteis, 1 ferramenta de recuperação de dados e 4 equipamentos de gerenciamento de rede</t>
  </si>
  <si>
    <t>R$ 734.211,91</t>
  </si>
  <si>
    <t>Aquisição de Ferramenta Forense de extração dados da  Internet, por Inexigibilidade - Etapa 1</t>
  </si>
  <si>
    <t>Ordem Bancaria emitida em 24/11/2023 pelo MJ, Recebimento das ferramentas em 19/01/2024, foi emitida a Nota de Liquidação em 26/03/2024, aguardando o pagamento para o fornecedor</t>
  </si>
  <si>
    <t>Aquisição de Ferramenta Forense de duplicação de HDs, SSDs e dispositivos USB, por Inexigibilidade - Etapa 2</t>
  </si>
  <si>
    <t>Compra direta, inexigibilidade de licitação, assinado o Autorizo em 05/04/2024, Aceite do MJ em 02/07/2024, emitida Nota de Reserva em 21/08/2024, falta emitir Contrato e Nota de Empenho</t>
  </si>
  <si>
    <t>Aquisição de Ferramenta Forense de recuperação de dados HD E SSD  - Licitação - etapa 3</t>
  </si>
  <si>
    <t>Devolvido para a origem em mai/2023 (existe nova ferramenta, aguardando finalização da execução dos demais itens, para aumentar o valor)</t>
  </si>
  <si>
    <t>Aquisição Equip. Gerenciamento Rede p/ grande volume de dados - licitação - Etapa 4 e 5</t>
  </si>
  <si>
    <t>R$ 104.000,00</t>
  </si>
  <si>
    <t>Realizada a licitação em 11/04/2024 (fase externa), foi escolhida a melhor proposta da empresa 3CORP TECHNOLOGY, está aguardando adjudicação e homologação, Aceite em 02/07/2024, recurso liberado em  19/07/24 emitido Contrato em 19/08/24</t>
  </si>
  <si>
    <t>RECURSOS SEDEF - PROJETO: FIM DA IMPUNIDADE</t>
  </si>
  <si>
    <t>VALOR APROVADO</t>
  </si>
  <si>
    <t>20.412.492-2</t>
  </si>
  <si>
    <t>TED 009/2023 - SEDEF - PROJETO DE COMBATE À CYBERPORNOGRAFIA</t>
  </si>
  <si>
    <t>R$ 2.905.433,00</t>
  </si>
  <si>
    <t>SOLICITADO ALTERAÇÃO DO PLANO DE TRABALHO EM 10/07/2024 R$ 2.852.258,00</t>
  </si>
  <si>
    <t>Aquisição de Ferramenta Forense para Projeto "Combate à Pandemia de Cyberpornografia - Fim da Impunidade!".</t>
  </si>
  <si>
    <t>22.377.936-0</t>
  </si>
  <si>
    <t>PGTO DAS NOTAS FISCAIS OBJETOS DO PROTOCOLO 19.723.264-1</t>
  </si>
  <si>
    <t>foi para pgto em 04/07</t>
  </si>
  <si>
    <t>Aquisição de Estação Forense de alto desempenho para vestígios digitais, Projeto Combate à Pandemia de Cyberpornografia</t>
  </si>
  <si>
    <t>R$ 2.008.860,00</t>
  </si>
  <si>
    <t>AT p/ aprov Minuta Contrato</t>
  </si>
  <si>
    <t>R$ 2.852.258,00</t>
  </si>
  <si>
    <t>RECURSOS SEDEF - PROJETO: FIM DA DÚVIDA</t>
  </si>
  <si>
    <t>21.051.276-4</t>
  </si>
  <si>
    <t>TED 001/2024 - SEDEF - PROJETO FIM DA DÚVIDA</t>
  </si>
  <si>
    <t>R$ 1.958.299,98</t>
  </si>
  <si>
    <t>21.760-337-4</t>
  </si>
  <si>
    <t>CÓPIA DO E-P 21.722.777-1 - AQUIS. POR INEX INSUMOS PLATAFORMA SEQ. MASSIVO NOVA GERAÇÃO</t>
  </si>
  <si>
    <t>Autorizado em 19/07 está para assinatura do contrato pela empresa</t>
  </si>
  <si>
    <t>RECURSOS FUNSUSP 2021 (Invest: R$ 1.315.876,80 + Custeio: R$ 563.947,20)</t>
  </si>
  <si>
    <t>AQUISIÇÃO FERRAMENTA DE EXTRAÇÃO E PROCESSAMENTO DE DADOS INTERNET - CUSTEIO</t>
  </si>
  <si>
    <t>R$ 563.947,20</t>
  </si>
  <si>
    <t>Entregue em fev/2023, já pago</t>
  </si>
  <si>
    <t>AQUISIÇÃO FERRAMENTA FORENSE RECUPERA DADOS HDS E SSDS - INVESTIMENTO</t>
  </si>
  <si>
    <t>R$ 64.800,00</t>
  </si>
  <si>
    <t>Enviado ao Núcleo de Licitações em 24/10/2022 e Devolvido pelo mesmo em 30/01/2023 solicitando justificativa e Atestado de Capacidade Técnica qtde aviso 83 SEAP</t>
  </si>
  <si>
    <t>REGISTRO DE PREÇOS P/ AQUISIÇÃO EQUIPAMENTO COMPUTAÇÃO FORENSE - SEAP / DECON - R$ 1.251.076,80</t>
  </si>
  <si>
    <t>Aquisição de equipamentos de processamento e de armazenamento de vestígios digitais - FUNSUSP</t>
  </si>
  <si>
    <t>R$ 628.747,20</t>
  </si>
  <si>
    <t>R$ 584.964,00</t>
  </si>
  <si>
    <t>RECURSOS FUNSUSP 2022 (Investimento: R$ 1.814.000,00 + R$ 691.000,00)</t>
  </si>
  <si>
    <t>AQUISIÇÃO POR PROCEDIMENTO LICITATÓRIO DE SISTEMA DE CROMATOGRAFIA LÍQUIDA (LC-MS/MS) R$ 1.652.714,44 rec próprio</t>
  </si>
  <si>
    <t>R$ 1.691.000,00</t>
  </si>
  <si>
    <t>Protocolo está em readequação na unidade de origem (Química Forense)</t>
  </si>
  <si>
    <t>AQUISIÇÃO DE 20 POLTRONAS DE MASSAGEM</t>
  </si>
  <si>
    <t>Protocolo está na PGE para análise da Minuta do Edital de Licitação</t>
  </si>
  <si>
    <t>21.158.562-5</t>
  </si>
  <si>
    <t>AQUISIÇÃO DE EQUIPAMENTOS DE GINÁSTICA / MUSCULAÇÃO</t>
  </si>
  <si>
    <t>R$ 226.769,40</t>
  </si>
  <si>
    <t>Criada uma Comissão da SESP para realizar o processo licitatório para todos os órgãos de segurança</t>
  </si>
  <si>
    <t>R$ 2.205.000,00</t>
  </si>
  <si>
    <t>RECURSOS FUNSUSP 2023</t>
  </si>
  <si>
    <t>INEX -  DE ESPECTRÔMETRO DE FLUORESCÊNCIA DE RAIOS X (XRF) PORTÁTIL S1 TITAN (BRUKER)</t>
  </si>
  <si>
    <t>R$ 465.000,00</t>
  </si>
  <si>
    <t>Fase inicial ainda</t>
  </si>
  <si>
    <t>AQUIS DE 2 UNIDADES DE SISTEMA DE ESPECTROMETRIA DE INFRAVERMELHO COM TRANSFORMADA DE FOURIER (FTIR)</t>
  </si>
  <si>
    <t>R$ 700.000,00</t>
  </si>
  <si>
    <t>Após analisado pelo Centro de Licitações retornou à origem para adequação</t>
  </si>
  <si>
    <t>AQ DE PLATAFORMA AUTOMATIZADA DE EXTRAÇÃO DE DNA HAMILTON AUTOLYS</t>
  </si>
  <si>
    <t>R$ 2.659.000,00</t>
  </si>
  <si>
    <t>Processo enviado hoje (17/04) do Compras/SESP  para  DEST contendo lista de verificação aprovada</t>
  </si>
  <si>
    <t>R$ 3.824.000,00</t>
  </si>
  <si>
    <t>DNA FIM DA DÚVIDA SESP X SEDEF</t>
  </si>
  <si>
    <t>RECURSOS TED LOTTOPAR</t>
  </si>
  <si>
    <t>AQUISIÇÃO 4 WORKSTATION - TED LOTTOPAR</t>
  </si>
  <si>
    <t>ferramenta forense de duplic/recup de dados de dispositivos computacional e ferramenta forense de bloqueio de ondas eletromagnéticas</t>
  </si>
  <si>
    <t>RECURSOS SENADOR SERGIO MORO - OFÍCIO Nº 119/2021 - GSSMORO - 07/03/2024 E 224/2024 - GSSMORO - 03/07/2024</t>
  </si>
  <si>
    <t>22.508.907-8</t>
  </si>
  <si>
    <t>Comunicação de liberação de repasse de recurso federal de emenda parlamentar - EQUIPAMENTOS</t>
  </si>
  <si>
    <t>R$ 8.312.000,00</t>
  </si>
  <si>
    <t>Comunicação de liberação de repasse de recurso federal de emenda parlamentar - INSUMOS</t>
  </si>
  <si>
    <t>R$ 3.322.862,00</t>
  </si>
  <si>
    <t>Plataforma Hamilton para Amostragem de cartões FTA - Easypunch</t>
  </si>
  <si>
    <t>R$ 2.100.000,00</t>
  </si>
  <si>
    <t>Analisador genético de quantificação de DNA - Real-Time PCR</t>
  </si>
  <si>
    <t>R$ 300.000,00</t>
  </si>
  <si>
    <t>Kit de amplificação do DNA (PCR quantitativa) - ID Starlet</t>
  </si>
  <si>
    <t>R$ 1.614.000,00</t>
  </si>
  <si>
    <t>11 atualizações do SoQware de Análise de Marcadores STR + 11 novas licenças</t>
  </si>
  <si>
    <t>R$ 1.017.920,00</t>
  </si>
  <si>
    <t>22.530.086-0</t>
  </si>
  <si>
    <t>Tablet multi espectral forense ForenScope</t>
  </si>
  <si>
    <t>R$ 450.000,00</t>
  </si>
  <si>
    <t>22.530.170-0</t>
  </si>
  <si>
    <t>Sistema de imunoensaio por imunofluorescência para dosagem de Sêmen</t>
  </si>
  <si>
    <t>22.530.204-9</t>
  </si>
  <si>
    <t>Banho seco com agitação, aquecimento e esfriamento de amostras</t>
  </si>
  <si>
    <t>R$ 45.000,00</t>
  </si>
  <si>
    <t>22.505.845-8</t>
  </si>
  <si>
    <t>Insumos para Mini-Vidas</t>
  </si>
  <si>
    <t>R$ 50.000,00</t>
  </si>
  <si>
    <t>Custeio</t>
  </si>
  <si>
    <t>22.543.497-2</t>
  </si>
  <si>
    <t>Testes imunocromatogr áficos para sangue e sêmen</t>
  </si>
  <si>
    <t>22.505.813-0</t>
  </si>
  <si>
    <t>Kit de amplificação do DNA (PCR direta)</t>
  </si>
  <si>
    <t>Polímero para eletroforese, Conjunto de 8 capilares, tampões de cátodo e ânodo, Condicionador, septas, formamida, Ladder e Size</t>
  </si>
  <si>
    <t>R$ 500.000,00</t>
  </si>
  <si>
    <t>Kit de amplificação do DNA (PCR quan ta va)</t>
  </si>
  <si>
    <t>R$ 280.000,00</t>
  </si>
  <si>
    <t>22.530.230-8</t>
  </si>
  <si>
    <t>Moinho moedor de ossos, com 20 jarros de pulverização</t>
  </si>
  <si>
    <t>R$ 286.000,00</t>
  </si>
  <si>
    <t>22.543.527-8</t>
  </si>
  <si>
    <t>Analisador genético com eletroforese capilar (8) para marcadores STR</t>
  </si>
  <si>
    <t>R$ 1.920.000,00</t>
  </si>
  <si>
    <t>22.543.543-0</t>
  </si>
  <si>
    <t>Preparador de placas (Pipetador Automático)</t>
  </si>
  <si>
    <t>R$ 274.494,00</t>
  </si>
  <si>
    <t>22.543.571-5</t>
  </si>
  <si>
    <t>Sistema de Reação de PCR automatizada - Termocicladora</t>
  </si>
  <si>
    <t>R$ 130.000,00</t>
  </si>
  <si>
    <t>22.543.627-4</t>
  </si>
  <si>
    <t>Centrífuga de bancada digital para placas de 96 poços - Centrífuga para Microplaca</t>
  </si>
  <si>
    <t>R$ 27.800,00</t>
  </si>
  <si>
    <t>22.505.746-0</t>
  </si>
  <si>
    <t>kit de Extração  e DNA de diversos vestigios (ossos, swabs, vestes)</t>
  </si>
  <si>
    <t>TOTAL INVESTIMENTO</t>
  </si>
  <si>
    <t>R$ 9.365.214,00</t>
  </si>
  <si>
    <t>-R$ 1.053.214,00</t>
  </si>
  <si>
    <t>TOTAL CUSTEIO</t>
  </si>
  <si>
    <t>R$ 1.680.000,00</t>
  </si>
  <si>
    <t>R$ 1.642.862,00</t>
  </si>
  <si>
    <t>R$ 11.634.862,00</t>
  </si>
  <si>
    <t>R$ 11.045.214,00</t>
  </si>
  <si>
    <t xml:space="preserve"> </t>
  </si>
  <si>
    <t>Nº DE PROCESSOS</t>
  </si>
  <si>
    <t>DISPENSA</t>
  </si>
  <si>
    <t>% DE PROCESSOS</t>
  </si>
  <si>
    <t>% DO VALOR</t>
  </si>
  <si>
    <t>CANCELADOS</t>
  </si>
  <si>
    <t>FINALIZADOS</t>
  </si>
  <si>
    <t>% DE RESULTADO</t>
  </si>
  <si>
    <t>P. DE CUSTEIO</t>
  </si>
  <si>
    <t>P. DE INVESTIMENTO</t>
  </si>
  <si>
    <t>VALOR CUSTEIO</t>
  </si>
  <si>
    <t>VALOR INVESTIMENTO</t>
  </si>
  <si>
    <t>NUM. PROC. CUSTEIO</t>
  </si>
  <si>
    <t>NUM. PROC. INVESTIMENTO</t>
  </si>
  <si>
    <t>NUM. PROC. LICITAÇÃO (Custeio)</t>
  </si>
  <si>
    <t>NUM. PROC. LICITAÇÃO (INVES)</t>
  </si>
  <si>
    <t>VALOR PROC. LICITAÇÃO (Custeio)</t>
  </si>
  <si>
    <t>VALOR PROC. LICITAÇÃO (INVES)</t>
  </si>
  <si>
    <t>NUM. PROC. DISPENSA (CUSTEIO)</t>
  </si>
  <si>
    <t>NUM. PROC. DISPENSA (INVES)</t>
  </si>
  <si>
    <t>VALOR PROC. DISPENSA (Custeio)</t>
  </si>
  <si>
    <t>VALOR PROC. DISPENSA (INVE)</t>
  </si>
  <si>
    <t>NUM. PROC. INEX (Custeio)</t>
  </si>
  <si>
    <t>NUM. PROC. INEX (INVES)</t>
  </si>
  <si>
    <t>VALOR PROC. INEX (Custeio)</t>
  </si>
  <si>
    <t>VALOR PROC. INEX (INVES)</t>
  </si>
  <si>
    <t>NUM. PROC. SRP (CUSTEIO)</t>
  </si>
  <si>
    <t>NUM. PROC. SRP (INVES)</t>
  </si>
  <si>
    <t>VALOR PROC. SRP (CUSTEIO)</t>
  </si>
  <si>
    <t>VALOR PROC. SRP (INVES)</t>
  </si>
  <si>
    <t>PROCESSOS CANC. CUSTEIO</t>
  </si>
  <si>
    <t>PROCESSOS CANC. INVES</t>
  </si>
  <si>
    <t>PROCESSOS TRAM. CUSTEIO</t>
  </si>
  <si>
    <t>PROCESSOS TRAM. INVES</t>
  </si>
  <si>
    <t>SUM of VALOR PREVISTO</t>
  </si>
  <si>
    <t>COUNTA of PROCESSO N°</t>
  </si>
  <si>
    <t>COUNTA of MODALIDADE</t>
  </si>
  <si>
    <t>(Vários itens)</t>
  </si>
  <si>
    <t>COUNTA of MATERIAL ENTREGUE (DATA)</t>
  </si>
  <si>
    <t>(Tudo)</t>
  </si>
  <si>
    <t>(vazio)</t>
  </si>
  <si>
    <t>Total Geral</t>
  </si>
  <si>
    <t>Solicitação de compra de Leitores QRCode. PE90830/25</t>
  </si>
  <si>
    <t>Monitores 24" Via SRP - Adesão - Defensoria Publica do Amapá</t>
  </si>
  <si>
    <t>SRP Detergente - Aquisição através do Registro de Preço do PE 112/2024, na modalidade PARTICIPANTE, de Detergente para atender as necessidades das unidades da Polícia Científica do Paraná. VALIDADE DA ATA 28/08/2025</t>
  </si>
  <si>
    <t>SRP CADEIRAS GIRATÓRIA - PE 90002/2025 de São Paulo, na modalidade CARONA, VALIDADE DA ATA: 05/06/2026 - 335 unidades</t>
  </si>
  <si>
    <t>SRP Material de Acondicionamento de Embalagens Grupo III - Aquisição através do Registro de Preço do PE 1028/2023, na modalidade PARTICIPANTE, de Material de Acondicionamento de Embalagens para atender as necessidades das unidades da Polícia Científica do Paraná. VALIDADE DA ATA 14/01/2026</t>
  </si>
  <si>
    <t>05/12/20025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</si>
</sst>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R$&quot;\ #,##0.00;[Red]\-&quot;R$&quot;\ #,##0.00"/>
    <numFmt numFmtId="164" formatCode="[$R$ -416]#,##0.00"/>
    <numFmt numFmtId="165" formatCode="d/m/yyyy"/>
    <numFmt numFmtId="166" formatCode="dd/mm/yy"/>
    <numFmt numFmtId="167" formatCode="d/m/yy"/>
    <numFmt numFmtId="168" formatCode="d/m"/>
  </numFmts>
  <fonts count="37">
    <font>
      <sz val="10"/>
      <color rgb="FF000000"/>
      <name val="Arial"/>
      <scheme val="minor"/>
    </font>
    <font>
      <sz val="11"/>
      <color theme="1"/>
      <name val="Arial"/>
    </font>
    <font>
      <sz val="10"/>
      <color theme="1"/>
      <name val="Arial"/>
    </font>
    <font>
      <b/>
      <sz val="11"/>
      <color theme="1"/>
      <name val="Arial"/>
    </font>
    <font>
      <sz val="10"/>
      <color theme="1"/>
      <name val="Arial"/>
      <scheme val="minor"/>
    </font>
    <font>
      <sz val="11"/>
      <color rgb="FF000000"/>
      <name val="Arial"/>
    </font>
    <font>
      <sz val="11"/>
      <color rgb="FF2C481F"/>
      <name val="Arial"/>
    </font>
    <font>
      <sz val="11"/>
      <color rgb="FF3D3D3D"/>
      <name val="Arial"/>
    </font>
    <font>
      <sz val="11"/>
      <color rgb="FF363F32"/>
      <name val="Arial"/>
    </font>
    <font>
      <sz val="11"/>
      <color rgb="FF2A3243"/>
      <name val="Arial"/>
    </font>
    <font>
      <sz val="11"/>
      <color rgb="FF383A3C"/>
      <name val="Arial"/>
    </font>
    <font>
      <sz val="11"/>
      <color rgb="FF4C535E"/>
      <name val="Arial"/>
    </font>
    <font>
      <sz val="11"/>
      <color theme="1"/>
      <name val="Aptos Narrow"/>
    </font>
    <font>
      <sz val="10"/>
      <name val="Arial"/>
    </font>
    <font>
      <b/>
      <sz val="12"/>
      <color theme="1"/>
      <name val="Arial"/>
    </font>
    <font>
      <b/>
      <sz val="10"/>
      <color theme="1"/>
      <name val="Arial"/>
    </font>
    <font>
      <sz val="11"/>
      <color rgb="FF1F1F1F"/>
      <name val="Google Sans"/>
    </font>
    <font>
      <sz val="11"/>
      <color theme="1"/>
      <name val="Sans-serif"/>
    </font>
    <font>
      <sz val="11"/>
      <color theme="1"/>
      <name val="Calibri"/>
    </font>
    <font>
      <sz val="11"/>
      <color rgb="FF1F1F1F"/>
      <name val="Arial"/>
    </font>
    <font>
      <sz val="11"/>
      <color theme="1"/>
      <name val="Google Sans"/>
    </font>
    <font>
      <b/>
      <sz val="11"/>
      <color theme="1"/>
      <name val="Calibri"/>
    </font>
    <font>
      <sz val="30"/>
      <color theme="1"/>
      <name val="Arial"/>
    </font>
    <font>
      <b/>
      <sz val="12"/>
      <color theme="1"/>
      <name val="Calibri"/>
    </font>
    <font>
      <sz val="12"/>
      <color theme="1"/>
      <name val="Calibri"/>
    </font>
    <font>
      <b/>
      <sz val="15"/>
      <color theme="1"/>
      <name val="Calibri"/>
    </font>
    <font>
      <b/>
      <sz val="13"/>
      <color theme="1"/>
      <name val="Calibri"/>
    </font>
    <font>
      <b/>
      <sz val="13"/>
      <color theme="1"/>
      <name val="Arial"/>
    </font>
    <font>
      <b/>
      <sz val="14"/>
      <color theme="1"/>
      <name val="Calibri"/>
    </font>
    <font>
      <b/>
      <u/>
      <sz val="10"/>
      <color theme="1"/>
      <name val="Arial"/>
    </font>
    <font>
      <b/>
      <sz val="19"/>
      <color theme="1"/>
      <name val="Arial"/>
    </font>
    <font>
      <b/>
      <sz val="26"/>
      <color theme="1"/>
      <name val="Arial"/>
    </font>
    <font>
      <sz val="19"/>
      <color theme="1"/>
      <name val="Arial"/>
    </font>
    <font>
      <sz val="20"/>
      <color theme="1"/>
      <name val="Arial"/>
    </font>
    <font>
      <sz val="11"/>
      <color rgb="FF000000"/>
      <name val="Arial"/>
      <family val="2"/>
      <scheme val="minor"/>
    </font>
    <font>
      <sz val="10"/>
      <color rgb="FF000000"/>
      <name val="Arial"/>
      <family val="2"/>
      <scheme val="minor"/>
    </font>
    <font>
      <sz val="10"/>
      <color theme="1"/>
      <name val="Arial"/>
      <family val="2"/>
      <scheme val="minor"/>
    </font>
  </fonts>
  <fills count="26">
    <fill>
      <patternFill patternType="none"/>
    </fill>
    <fill>
      <patternFill patternType="gray125"/>
    </fill>
    <fill>
      <patternFill patternType="solid">
        <fgColor rgb="FFD9D9D9"/>
        <bgColor rgb="FFD9D9D9"/>
      </patternFill>
    </fill>
    <fill>
      <patternFill patternType="solid">
        <fgColor rgb="FFBDBDBD"/>
        <bgColor rgb="FFBDBDBD"/>
      </patternFill>
    </fill>
    <fill>
      <patternFill patternType="solid">
        <fgColor rgb="FFFFFFFF"/>
        <bgColor rgb="FFFFFFFF"/>
      </patternFill>
    </fill>
    <fill>
      <patternFill patternType="solid">
        <fgColor rgb="FFCCCCCC"/>
        <bgColor rgb="FFCCCCCC"/>
      </patternFill>
    </fill>
    <fill>
      <patternFill patternType="solid">
        <fgColor rgb="FFEA9999"/>
        <bgColor rgb="FFEA9999"/>
      </patternFill>
    </fill>
    <fill>
      <patternFill patternType="solid">
        <fgColor rgb="FFFFFF00"/>
        <bgColor rgb="FFFFFF00"/>
      </patternFill>
    </fill>
    <fill>
      <patternFill patternType="solid">
        <fgColor rgb="FFE06666"/>
        <bgColor rgb="FFE06666"/>
      </patternFill>
    </fill>
    <fill>
      <patternFill patternType="solid">
        <fgColor rgb="FFF6B26B"/>
        <bgColor rgb="FFF6B26B"/>
      </patternFill>
    </fill>
    <fill>
      <patternFill patternType="solid">
        <fgColor rgb="FF6AA84F"/>
        <bgColor rgb="FF6AA84F"/>
      </patternFill>
    </fill>
    <fill>
      <patternFill patternType="solid">
        <fgColor rgb="FFB6D7A8"/>
        <bgColor rgb="FFB6D7A8"/>
      </patternFill>
    </fill>
    <fill>
      <patternFill patternType="solid">
        <fgColor rgb="FFD9EAD3"/>
        <bgColor rgb="FFD9EAD3"/>
      </patternFill>
    </fill>
    <fill>
      <patternFill patternType="solid">
        <fgColor rgb="FF999999"/>
        <bgColor rgb="FF999999"/>
      </patternFill>
    </fill>
    <fill>
      <patternFill patternType="solid">
        <fgColor rgb="FF434343"/>
        <bgColor rgb="FF434343"/>
      </patternFill>
    </fill>
    <fill>
      <patternFill patternType="solid">
        <fgColor rgb="FFFFC000"/>
        <bgColor rgb="FFFFC000"/>
      </patternFill>
    </fill>
    <fill>
      <patternFill patternType="solid">
        <fgColor rgb="FFFFF2CC"/>
        <bgColor rgb="FFFFF2CC"/>
      </patternFill>
    </fill>
    <fill>
      <patternFill patternType="solid">
        <fgColor rgb="FFFF0000"/>
        <bgColor rgb="FFFF0000"/>
      </patternFill>
    </fill>
    <fill>
      <patternFill patternType="solid">
        <fgColor rgb="FFDBEEF4"/>
        <bgColor rgb="FFDBEEF4"/>
      </patternFill>
    </fill>
    <fill>
      <patternFill patternType="solid">
        <fgColor rgb="FFFFE599"/>
        <bgColor rgb="FFFFE599"/>
      </patternFill>
    </fill>
    <fill>
      <patternFill patternType="solid">
        <fgColor rgb="FFF9CB9C"/>
        <bgColor rgb="FFF9CB9C"/>
      </patternFill>
    </fill>
    <fill>
      <patternFill patternType="solid">
        <fgColor rgb="FFF3F3F3"/>
        <bgColor rgb="FFF3F3F3"/>
      </patternFill>
    </fill>
    <fill>
      <patternFill patternType="solid">
        <fgColor rgb="FFBF9000"/>
        <bgColor rgb="FFBF9000"/>
      </patternFill>
    </fill>
    <fill>
      <patternFill patternType="solid">
        <fgColor rgb="FF93C47D"/>
        <bgColor rgb="FF93C47D"/>
      </patternFill>
    </fill>
    <fill>
      <patternFill patternType="solid">
        <fgColor rgb="FF000000"/>
        <bgColor rgb="FF000000"/>
      </patternFill>
    </fill>
    <fill>
      <patternFill patternType="solid">
        <fgColor rgb="FFFFFFFF"/>
        <bgColor indexed="64"/>
      </patternFill>
    </fill>
  </fills>
  <borders count="27">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bottom style="thin">
        <color rgb="FF999999"/>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7">
    <xf numFmtId="0" fontId="0" fillId="0" borderId="0" xfId="0" applyFont="1" applyAlignment="1"/>
    <xf numFmtId="0" fontId="1" fillId="2" borderId="1" xfId="0" applyFont="1" applyFill="1" applyBorder="1" applyAlignment="1">
      <alignment horizontal="center" vertical="center" wrapText="1"/>
    </xf>
    <xf numFmtId="0" fontId="2" fillId="2" borderId="2" xfId="0" applyFont="1" applyFill="1" applyBorder="1"/>
    <xf numFmtId="0" fontId="2" fillId="2" borderId="3" xfId="0" applyFont="1" applyFill="1" applyBorder="1" applyAlignment="1">
      <alignment horizontal="center" vertical="center"/>
    </xf>
    <xf numFmtId="164" fontId="3"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3" xfId="0" applyFont="1" applyFill="1" applyBorder="1" applyAlignment="1">
      <alignment wrapText="1"/>
    </xf>
    <xf numFmtId="0" fontId="2" fillId="0" borderId="0" xfId="0" applyFont="1"/>
    <xf numFmtId="0" fontId="2" fillId="0" borderId="0" xfId="0" applyFont="1" applyAlignment="1"/>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2" fillId="4" borderId="2" xfId="0" applyFont="1" applyFill="1" applyBorder="1" applyAlignment="1"/>
    <xf numFmtId="0" fontId="2" fillId="4" borderId="2" xfId="0" applyFont="1" applyFill="1" applyBorder="1" applyAlignment="1">
      <alignment horizontal="center" vertical="center"/>
    </xf>
    <xf numFmtId="164" fontId="2" fillId="4" borderId="1" xfId="0" applyNumberFormat="1"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2" xfId="0" applyFont="1" applyFill="1" applyBorder="1" applyAlignment="1">
      <alignment wrapText="1"/>
    </xf>
    <xf numFmtId="0" fontId="2" fillId="0" borderId="2" xfId="0" applyFont="1" applyBorder="1" applyAlignment="1"/>
    <xf numFmtId="1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2" xfId="0" applyFont="1" applyFill="1" applyBorder="1"/>
    <xf numFmtId="0" fontId="4" fillId="0" borderId="0" xfId="0" applyFont="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center" vertical="center" wrapText="1"/>
    </xf>
    <xf numFmtId="0" fontId="4" fillId="0" borderId="0" xfId="0" applyFont="1" applyAlignment="1">
      <alignment wrapText="1"/>
    </xf>
    <xf numFmtId="0" fontId="1" fillId="5" borderId="1" xfId="0" applyFont="1" applyFill="1" applyBorder="1" applyAlignment="1">
      <alignment horizontal="center" vertical="center"/>
    </xf>
    <xf numFmtId="0" fontId="1" fillId="5" borderId="2" xfId="0" applyFont="1" applyFill="1" applyBorder="1" applyAlignment="1">
      <alignment wrapText="1"/>
    </xf>
    <xf numFmtId="14" fontId="1" fillId="5" borderId="2" xfId="0" applyNumberFormat="1" applyFont="1" applyFill="1" applyBorder="1" applyAlignment="1">
      <alignment horizontal="center" vertical="center"/>
    </xf>
    <xf numFmtId="164" fontId="5" fillId="5" borderId="4" xfId="0" applyNumberFormat="1" applyFont="1" applyFill="1" applyBorder="1" applyAlignment="1">
      <alignment horizontal="center" vertical="center"/>
    </xf>
    <xf numFmtId="0" fontId="6" fillId="5" borderId="2" xfId="0" applyFont="1" applyFill="1" applyBorder="1" applyAlignment="1">
      <alignment horizontal="center" vertical="center"/>
    </xf>
    <xf numFmtId="0" fontId="7" fillId="5" borderId="2" xfId="0" applyFont="1" applyFill="1" applyBorder="1" applyAlignment="1">
      <alignment horizontal="center" vertical="center" wrapText="1"/>
    </xf>
    <xf numFmtId="0" fontId="2" fillId="5" borderId="2" xfId="0" applyFont="1" applyFill="1" applyBorder="1" applyAlignment="1">
      <alignment horizontal="center" vertical="center"/>
    </xf>
    <xf numFmtId="14" fontId="1" fillId="5" borderId="2"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2" fillId="5" borderId="2" xfId="0" applyFont="1" applyFill="1" applyBorder="1" applyAlignment="1">
      <alignment wrapText="1"/>
    </xf>
    <xf numFmtId="164" fontId="5" fillId="5" borderId="1" xfId="0" applyNumberFormat="1" applyFont="1" applyFill="1" applyBorder="1" applyAlignment="1">
      <alignment horizontal="center" vertical="center"/>
    </xf>
    <xf numFmtId="165" fontId="1" fillId="5" borderId="2" xfId="0" applyNumberFormat="1"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2" xfId="0" applyFont="1" applyFill="1" applyBorder="1" applyAlignment="1">
      <alignment wrapText="1"/>
    </xf>
    <xf numFmtId="14" fontId="1" fillId="4" borderId="2" xfId="0" applyNumberFormat="1" applyFont="1" applyFill="1" applyBorder="1" applyAlignment="1">
      <alignment horizontal="center" vertical="center"/>
    </xf>
    <xf numFmtId="164" fontId="5" fillId="4" borderId="1"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1" fillId="4" borderId="2" xfId="0" applyFont="1" applyFill="1" applyBorder="1" applyAlignment="1">
      <alignment horizontal="center" vertical="center" wrapText="1"/>
    </xf>
    <xf numFmtId="0" fontId="9" fillId="4" borderId="2" xfId="0" applyFont="1" applyFill="1" applyBorder="1" applyAlignment="1">
      <alignment horizontal="center" vertical="center"/>
    </xf>
    <xf numFmtId="0" fontId="7" fillId="4" borderId="2"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14" fontId="1" fillId="6" borderId="2" xfId="0" applyNumberFormat="1" applyFont="1" applyFill="1" applyBorder="1" applyAlignment="1">
      <alignment horizontal="center" vertical="center" wrapText="1"/>
    </xf>
    <xf numFmtId="0" fontId="10" fillId="4" borderId="2" xfId="0" applyFont="1" applyFill="1" applyBorder="1" applyAlignment="1">
      <alignment horizontal="center" vertical="center" wrapText="1"/>
    </xf>
    <xf numFmtId="165" fontId="2" fillId="4" borderId="2" xfId="0" applyNumberFormat="1" applyFont="1" applyFill="1" applyBorder="1" applyAlignment="1">
      <alignment horizontal="center" vertical="center"/>
    </xf>
    <xf numFmtId="0" fontId="1" fillId="4" borderId="2" xfId="0" applyFont="1" applyFill="1" applyBorder="1" applyAlignment="1">
      <alignment horizontal="center" wrapText="1"/>
    </xf>
    <xf numFmtId="0" fontId="2" fillId="5"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9" fillId="5" borderId="2" xfId="0" applyFont="1" applyFill="1" applyBorder="1" applyAlignment="1">
      <alignment horizontal="center" vertical="center"/>
    </xf>
    <xf numFmtId="0" fontId="1" fillId="5" borderId="2" xfId="0" applyFont="1" applyFill="1" applyBorder="1" applyAlignment="1">
      <alignment horizontal="center" wrapText="1"/>
    </xf>
    <xf numFmtId="166" fontId="1" fillId="5" borderId="2" xfId="0" applyNumberFormat="1" applyFont="1" applyFill="1" applyBorder="1" applyAlignment="1">
      <alignment horizontal="center" vertical="center" wrapText="1"/>
    </xf>
    <xf numFmtId="0" fontId="1" fillId="7" borderId="1" xfId="0" applyFont="1" applyFill="1" applyBorder="1" applyAlignment="1">
      <alignment horizontal="center" vertical="center"/>
    </xf>
    <xf numFmtId="0" fontId="1" fillId="7" borderId="2" xfId="0" applyFont="1" applyFill="1" applyBorder="1" applyAlignment="1">
      <alignment wrapText="1"/>
    </xf>
    <xf numFmtId="14" fontId="1" fillId="7" borderId="2" xfId="0" applyNumberFormat="1" applyFont="1" applyFill="1" applyBorder="1" applyAlignment="1">
      <alignment horizontal="center" vertical="center"/>
    </xf>
    <xf numFmtId="164" fontId="5" fillId="7" borderId="1" xfId="0" applyNumberFormat="1" applyFont="1" applyFill="1" applyBorder="1" applyAlignment="1">
      <alignment horizontal="center" vertical="center"/>
    </xf>
    <xf numFmtId="0" fontId="6" fillId="7" borderId="2" xfId="0" applyFont="1" applyFill="1" applyBorder="1" applyAlignment="1">
      <alignment horizontal="center" vertical="center"/>
    </xf>
    <xf numFmtId="0" fontId="1" fillId="7" borderId="2" xfId="0" applyFont="1" applyFill="1" applyBorder="1" applyAlignment="1">
      <alignment horizontal="center" vertical="center" wrapText="1"/>
    </xf>
    <xf numFmtId="14" fontId="1" fillId="7" borderId="2" xfId="0" applyNumberFormat="1" applyFont="1" applyFill="1" applyBorder="1" applyAlignment="1">
      <alignment horizontal="center" vertical="center" wrapText="1"/>
    </xf>
    <xf numFmtId="165" fontId="1" fillId="8" borderId="2" xfId="0" applyNumberFormat="1" applyFont="1" applyFill="1" applyBorder="1" applyAlignment="1">
      <alignment horizontal="center" vertical="center" wrapText="1"/>
    </xf>
    <xf numFmtId="0" fontId="2" fillId="7" borderId="2" xfId="0" applyFont="1" applyFill="1" applyBorder="1" applyAlignment="1">
      <alignment horizontal="center" vertical="center"/>
    </xf>
    <xf numFmtId="0" fontId="10" fillId="7" borderId="2" xfId="0" applyFont="1" applyFill="1" applyBorder="1" applyAlignment="1">
      <alignment horizontal="center" vertical="center" wrapText="1"/>
    </xf>
    <xf numFmtId="0" fontId="1" fillId="7" borderId="2" xfId="0" applyFont="1" applyFill="1" applyBorder="1" applyAlignment="1">
      <alignment horizontal="center" wrapText="1"/>
    </xf>
    <xf numFmtId="0" fontId="2" fillId="7" borderId="0" xfId="0" applyFont="1" applyFill="1"/>
    <xf numFmtId="0" fontId="2" fillId="7" borderId="0" xfId="0" applyFont="1" applyFill="1" applyAlignment="1"/>
    <xf numFmtId="14" fontId="1" fillId="8" borderId="2" xfId="0" applyNumberFormat="1" applyFont="1" applyFill="1" applyBorder="1" applyAlignment="1">
      <alignment horizontal="center" vertical="center" wrapText="1"/>
    </xf>
    <xf numFmtId="0" fontId="1" fillId="4" borderId="2" xfId="0" applyFont="1" applyFill="1" applyBorder="1" applyAlignment="1">
      <alignment vertical="top" wrapText="1"/>
    </xf>
    <xf numFmtId="14" fontId="2" fillId="4" borderId="2" xfId="0" applyNumberFormat="1" applyFont="1" applyFill="1" applyBorder="1" applyAlignment="1">
      <alignment horizontal="center" vertical="center"/>
    </xf>
    <xf numFmtId="0" fontId="1" fillId="5" borderId="2" xfId="0" applyFont="1" applyFill="1" applyBorder="1" applyAlignment="1">
      <alignment wrapText="1"/>
    </xf>
    <xf numFmtId="0" fontId="1" fillId="4" borderId="2" xfId="0" applyFont="1" applyFill="1" applyBorder="1" applyAlignment="1">
      <alignment wrapText="1"/>
    </xf>
    <xf numFmtId="0" fontId="1" fillId="5" borderId="2" xfId="0" applyFont="1" applyFill="1" applyBorder="1" applyAlignment="1">
      <alignment horizontal="center" vertical="center"/>
    </xf>
    <xf numFmtId="0" fontId="2" fillId="5" borderId="0" xfId="0" applyFont="1" applyFill="1"/>
    <xf numFmtId="0" fontId="2" fillId="5" borderId="0" xfId="0" applyFont="1" applyFill="1" applyAlignment="1"/>
    <xf numFmtId="0" fontId="2" fillId="5" borderId="3" xfId="0" applyFont="1" applyFill="1" applyBorder="1" applyAlignment="1">
      <alignment wrapText="1"/>
    </xf>
    <xf numFmtId="165" fontId="1" fillId="6" borderId="2" xfId="0" applyNumberFormat="1" applyFont="1" applyFill="1" applyBorder="1" applyAlignment="1">
      <alignment horizontal="center" vertical="center" wrapText="1"/>
    </xf>
    <xf numFmtId="0" fontId="1" fillId="0" borderId="2" xfId="0" applyFont="1" applyBorder="1" applyAlignment="1">
      <alignment wrapText="1"/>
    </xf>
    <xf numFmtId="0" fontId="1" fillId="0" borderId="2" xfId="0" applyFont="1" applyBorder="1" applyAlignment="1">
      <alignment wrapText="1"/>
    </xf>
    <xf numFmtId="14" fontId="1" fillId="0" borderId="2" xfId="0" applyNumberFormat="1" applyFont="1" applyBorder="1" applyAlignment="1">
      <alignment horizontal="center" vertical="center"/>
    </xf>
    <xf numFmtId="164" fontId="5" fillId="0" borderId="1" xfId="0" applyNumberFormat="1" applyFont="1" applyBorder="1" applyAlignment="1">
      <alignment horizontal="center" vertical="center"/>
    </xf>
    <xf numFmtId="165" fontId="1" fillId="4" borderId="2" xfId="0" applyNumberFormat="1" applyFont="1" applyFill="1" applyBorder="1" applyAlignment="1">
      <alignment horizontal="center" vertical="center" wrapText="1"/>
    </xf>
    <xf numFmtId="165" fontId="1" fillId="9" borderId="2" xfId="0" applyNumberFormat="1" applyFont="1" applyFill="1" applyBorder="1" applyAlignment="1">
      <alignment horizontal="center" vertical="center" wrapText="1"/>
    </xf>
    <xf numFmtId="0" fontId="2" fillId="0" borderId="3" xfId="0" applyFont="1" applyBorder="1" applyAlignment="1">
      <alignment wrapText="1"/>
    </xf>
    <xf numFmtId="0" fontId="1" fillId="5" borderId="2" xfId="0" applyFont="1" applyFill="1" applyBorder="1" applyAlignment="1">
      <alignment vertical="top" wrapText="1"/>
    </xf>
    <xf numFmtId="0" fontId="1" fillId="0" borderId="1" xfId="0" applyFont="1" applyBorder="1" applyAlignment="1">
      <alignment horizontal="center" vertical="center"/>
    </xf>
    <xf numFmtId="165" fontId="2" fillId="5" borderId="2" xfId="0" applyNumberFormat="1" applyFont="1" applyFill="1" applyBorder="1" applyAlignment="1">
      <alignment horizontal="center" vertical="center"/>
    </xf>
    <xf numFmtId="0" fontId="10" fillId="5" borderId="2" xfId="0" applyFont="1" applyFill="1" applyBorder="1" applyAlignment="1">
      <alignment horizontal="center" vertical="center" wrapText="1"/>
    </xf>
    <xf numFmtId="165" fontId="1" fillId="5" borderId="2" xfId="0" applyNumberFormat="1" applyFont="1" applyFill="1" applyBorder="1" applyAlignment="1">
      <alignment horizontal="center" vertical="center"/>
    </xf>
    <xf numFmtId="165" fontId="1" fillId="4"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165" fontId="2" fillId="4" borderId="2" xfId="0" applyNumberFormat="1" applyFont="1" applyFill="1" applyBorder="1" applyAlignment="1">
      <alignment horizontal="center" vertical="center" wrapText="1"/>
    </xf>
    <xf numFmtId="165" fontId="2" fillId="4" borderId="2" xfId="0" applyNumberFormat="1" applyFont="1" applyFill="1" applyBorder="1" applyAlignment="1">
      <alignment horizontal="center" vertical="center"/>
    </xf>
    <xf numFmtId="14" fontId="2" fillId="8" borderId="2" xfId="0" applyNumberFormat="1" applyFont="1" applyFill="1" applyBorder="1" applyAlignment="1">
      <alignment horizontal="center" vertical="center"/>
    </xf>
    <xf numFmtId="0" fontId="2" fillId="5" borderId="2" xfId="0" applyFont="1" applyFill="1" applyBorder="1" applyAlignment="1">
      <alignment vertical="center" wrapText="1"/>
    </xf>
    <xf numFmtId="0" fontId="2" fillId="4" borderId="1" xfId="0" applyFont="1" applyFill="1" applyBorder="1" applyAlignment="1">
      <alignment horizontal="center" vertical="center"/>
    </xf>
    <xf numFmtId="0" fontId="2" fillId="4" borderId="2" xfId="0" applyFont="1" applyFill="1" applyBorder="1" applyAlignment="1">
      <alignment wrapText="1"/>
    </xf>
    <xf numFmtId="164" fontId="2" fillId="4" borderId="1" xfId="0" applyNumberFormat="1" applyFont="1" applyFill="1" applyBorder="1" applyAlignment="1">
      <alignment horizontal="center" vertical="center"/>
    </xf>
    <xf numFmtId="0" fontId="2" fillId="4" borderId="2" xfId="0" applyFont="1" applyFill="1" applyBorder="1" applyAlignment="1">
      <alignment vertical="center" wrapText="1"/>
    </xf>
    <xf numFmtId="0" fontId="2" fillId="4" borderId="4" xfId="0" applyFont="1" applyFill="1" applyBorder="1" applyAlignment="1">
      <alignment wrapText="1"/>
    </xf>
    <xf numFmtId="0" fontId="2" fillId="2" borderId="0" xfId="0" applyFont="1" applyFill="1" applyAlignment="1">
      <alignment vertical="center"/>
    </xf>
    <xf numFmtId="0" fontId="2" fillId="0" borderId="0" xfId="0" applyFont="1" applyAlignment="1">
      <alignment vertical="center"/>
    </xf>
    <xf numFmtId="0" fontId="1" fillId="2" borderId="1" xfId="0" applyFont="1" applyFill="1" applyBorder="1" applyAlignment="1">
      <alignment vertical="center" wrapText="1"/>
    </xf>
    <xf numFmtId="0" fontId="2" fillId="2" borderId="2" xfId="0" applyFont="1" applyFill="1" applyBorder="1" applyAlignment="1">
      <alignment vertical="center"/>
    </xf>
    <xf numFmtId="0" fontId="2" fillId="2" borderId="3" xfId="0" applyFont="1" applyFill="1" applyBorder="1" applyAlignment="1">
      <alignment vertical="center"/>
    </xf>
    <xf numFmtId="0" fontId="3" fillId="2" borderId="2" xfId="0" applyFont="1" applyFill="1" applyBorder="1" applyAlignment="1">
      <alignment horizontal="center" vertical="center" wrapText="1"/>
    </xf>
    <xf numFmtId="0" fontId="1" fillId="2" borderId="2" xfId="0" applyFont="1" applyFill="1" applyBorder="1" applyAlignment="1">
      <alignment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1" fillId="0" borderId="1" xfId="0" applyFont="1" applyBorder="1" applyAlignment="1">
      <alignment vertical="center"/>
    </xf>
    <xf numFmtId="0" fontId="1" fillId="0" borderId="2" xfId="0" applyFont="1" applyBorder="1" applyAlignment="1">
      <alignment vertical="center" wrapText="1"/>
    </xf>
    <xf numFmtId="0" fontId="1" fillId="0" borderId="2" xfId="0" applyFont="1" applyBorder="1" applyAlignment="1">
      <alignment vertical="center"/>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2" fillId="0" borderId="2" xfId="0" applyFont="1" applyBorder="1" applyAlignment="1">
      <alignment vertical="center"/>
    </xf>
    <xf numFmtId="0" fontId="1" fillId="10" borderId="2" xfId="0" applyFont="1" applyFill="1" applyBorder="1" applyAlignment="1">
      <alignment horizontal="center" vertical="center" wrapText="1"/>
    </xf>
    <xf numFmtId="0" fontId="2" fillId="4" borderId="0" xfId="0" applyFont="1" applyFill="1" applyAlignment="1">
      <alignment vertical="center"/>
    </xf>
    <xf numFmtId="0" fontId="1" fillId="4" borderId="1" xfId="0" applyFont="1" applyFill="1" applyBorder="1" applyAlignment="1">
      <alignment vertical="center"/>
    </xf>
    <xf numFmtId="0" fontId="1" fillId="4" borderId="2" xfId="0" applyFont="1" applyFill="1" applyBorder="1" applyAlignment="1">
      <alignment vertical="center" wrapText="1"/>
    </xf>
    <xf numFmtId="0" fontId="1" fillId="4" borderId="2" xfId="0" applyFont="1" applyFill="1" applyBorder="1" applyAlignment="1">
      <alignment vertical="center"/>
    </xf>
    <xf numFmtId="0" fontId="1" fillId="4" borderId="2" xfId="0" applyFont="1" applyFill="1" applyBorder="1" applyAlignment="1">
      <alignment horizontal="center" vertical="center"/>
    </xf>
    <xf numFmtId="0" fontId="2" fillId="4" borderId="2" xfId="0" applyFont="1" applyFill="1" applyBorder="1" applyAlignment="1">
      <alignment vertical="center"/>
    </xf>
    <xf numFmtId="14" fontId="1" fillId="0" borderId="2" xfId="0" applyNumberFormat="1" applyFont="1" applyBorder="1" applyAlignment="1">
      <alignment horizontal="center" vertical="center" wrapText="1"/>
    </xf>
    <xf numFmtId="0" fontId="1" fillId="11" borderId="2" xfId="0" applyFont="1" applyFill="1" applyBorder="1" applyAlignment="1">
      <alignment horizontal="center" vertical="center" wrapText="1"/>
    </xf>
    <xf numFmtId="0" fontId="2" fillId="0" borderId="2" xfId="0" applyFont="1" applyBorder="1" applyAlignment="1">
      <alignment horizontal="center" vertical="center"/>
    </xf>
    <xf numFmtId="165" fontId="1" fillId="0" borderId="2" xfId="0" applyNumberFormat="1" applyFont="1" applyBorder="1" applyAlignment="1">
      <alignment horizontal="center" vertical="center"/>
    </xf>
    <xf numFmtId="0" fontId="1" fillId="12" borderId="1" xfId="0" applyFont="1" applyFill="1" applyBorder="1" applyAlignment="1">
      <alignment vertical="center"/>
    </xf>
    <xf numFmtId="166" fontId="1" fillId="0" borderId="2" xfId="0" applyNumberFormat="1" applyFont="1" applyBorder="1" applyAlignment="1">
      <alignment horizontal="center" vertical="center" wrapText="1"/>
    </xf>
    <xf numFmtId="165" fontId="1" fillId="0" borderId="2" xfId="0" applyNumberFormat="1" applyFont="1" applyBorder="1" applyAlignment="1">
      <alignment horizontal="center" vertical="center" wrapText="1"/>
    </xf>
    <xf numFmtId="167" fontId="1" fillId="0" borderId="2" xfId="0" applyNumberFormat="1" applyFont="1" applyBorder="1" applyAlignment="1">
      <alignment horizontal="center" vertical="center" wrapText="1"/>
    </xf>
    <xf numFmtId="0" fontId="2" fillId="0" borderId="0" xfId="0" applyFont="1" applyAlignment="1">
      <alignment vertical="center"/>
    </xf>
    <xf numFmtId="0" fontId="12" fillId="0" borderId="0" xfId="0" applyFont="1" applyAlignment="1">
      <alignment vertical="center"/>
    </xf>
    <xf numFmtId="0" fontId="2" fillId="0" borderId="0" xfId="0" applyFont="1" applyAlignment="1">
      <alignment vertical="center" wrapText="1"/>
    </xf>
    <xf numFmtId="0" fontId="12" fillId="0" borderId="0" xfId="0" applyFont="1" applyAlignment="1">
      <alignment vertical="center"/>
    </xf>
    <xf numFmtId="0" fontId="1" fillId="13" borderId="1" xfId="0" applyFont="1" applyFill="1" applyBorder="1" applyAlignment="1">
      <alignment vertical="center"/>
    </xf>
    <xf numFmtId="0" fontId="1" fillId="13" borderId="2" xfId="0" applyFont="1" applyFill="1" applyBorder="1" applyAlignment="1">
      <alignment vertical="center" wrapText="1"/>
    </xf>
    <xf numFmtId="0" fontId="1" fillId="13" borderId="2" xfId="0" applyFont="1" applyFill="1" applyBorder="1" applyAlignment="1">
      <alignment vertical="center"/>
    </xf>
    <xf numFmtId="0" fontId="1" fillId="13" borderId="2" xfId="0" applyFont="1" applyFill="1" applyBorder="1" applyAlignment="1">
      <alignment horizontal="center" vertical="center" wrapText="1"/>
    </xf>
    <xf numFmtId="14" fontId="1" fillId="13" borderId="2" xfId="0" applyNumberFormat="1" applyFont="1" applyFill="1" applyBorder="1" applyAlignment="1">
      <alignment horizontal="center" vertical="center"/>
    </xf>
    <xf numFmtId="0" fontId="1" fillId="13" borderId="2" xfId="0" applyFont="1" applyFill="1" applyBorder="1" applyAlignment="1">
      <alignment horizontal="center" vertical="center"/>
    </xf>
    <xf numFmtId="0" fontId="2" fillId="13" borderId="2" xfId="0" applyFont="1" applyFill="1" applyBorder="1" applyAlignment="1">
      <alignment vertical="center"/>
    </xf>
    <xf numFmtId="0" fontId="2" fillId="14" borderId="0" xfId="0" applyFont="1" applyFill="1" applyAlignment="1">
      <alignment vertical="center"/>
    </xf>
    <xf numFmtId="0" fontId="1" fillId="0" borderId="3" xfId="0" applyFont="1" applyBorder="1" applyAlignment="1">
      <alignment horizontal="center" vertical="center" wrapText="1"/>
    </xf>
    <xf numFmtId="168" fontId="1" fillId="0" borderId="2" xfId="0" applyNumberFormat="1" applyFont="1" applyBorder="1" applyAlignment="1">
      <alignment horizontal="center" vertical="center" wrapText="1"/>
    </xf>
    <xf numFmtId="0" fontId="2" fillId="0" borderId="2" xfId="0" applyFont="1" applyBorder="1" applyAlignment="1">
      <alignment vertical="center"/>
    </xf>
    <xf numFmtId="0" fontId="2" fillId="4" borderId="0" xfId="0" applyFont="1" applyFill="1" applyAlignment="1">
      <alignment vertical="center"/>
    </xf>
    <xf numFmtId="0" fontId="1" fillId="0" borderId="5" xfId="0" applyFont="1" applyBorder="1" applyAlignment="1">
      <alignment vertical="center"/>
    </xf>
    <xf numFmtId="0" fontId="1" fillId="0" borderId="3" xfId="0" applyFont="1" applyBorder="1" applyAlignment="1">
      <alignment horizontal="center" vertical="center"/>
    </xf>
    <xf numFmtId="0" fontId="2" fillId="0" borderId="3" xfId="0" applyFont="1" applyBorder="1" applyAlignment="1">
      <alignment vertical="center"/>
    </xf>
    <xf numFmtId="0" fontId="1" fillId="0" borderId="2" xfId="0" applyFont="1" applyBorder="1" applyAlignment="1">
      <alignment horizontal="center" vertical="center"/>
    </xf>
    <xf numFmtId="0" fontId="2" fillId="0" borderId="2" xfId="0" applyFont="1" applyBorder="1" applyAlignment="1">
      <alignment vertical="center" wrapText="1"/>
    </xf>
    <xf numFmtId="165"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0" fontId="2" fillId="0" borderId="1" xfId="0" applyFont="1" applyBorder="1" applyAlignment="1">
      <alignment vertical="center"/>
    </xf>
    <xf numFmtId="0" fontId="2" fillId="0" borderId="5" xfId="0" applyFont="1" applyBorder="1" applyAlignment="1">
      <alignment vertical="center"/>
    </xf>
    <xf numFmtId="0" fontId="4" fillId="0" borderId="0" xfId="0" applyFont="1" applyAlignment="1">
      <alignment vertical="center"/>
    </xf>
    <xf numFmtId="0" fontId="1" fillId="2" borderId="3" xfId="0" applyFont="1" applyFill="1" applyBorder="1" applyAlignment="1">
      <alignment vertical="center" wrapText="1"/>
    </xf>
    <xf numFmtId="0" fontId="3" fillId="2" borderId="0" xfId="0" applyFont="1" applyFill="1" applyAlignment="1">
      <alignment horizontal="center" vertical="center" wrapText="1"/>
    </xf>
    <xf numFmtId="0" fontId="1" fillId="2" borderId="0" xfId="0" applyFont="1" applyFill="1" applyAlignment="1">
      <alignment horizontal="center" vertical="center" wrapText="1"/>
    </xf>
    <xf numFmtId="0" fontId="14" fillId="2" borderId="2" xfId="0" applyFont="1" applyFill="1" applyBorder="1" applyAlignment="1">
      <alignment horizontal="center" vertical="center" wrapText="1"/>
    </xf>
    <xf numFmtId="0" fontId="15" fillId="0" borderId="0" xfId="0" applyFont="1" applyAlignment="1">
      <alignment horizontal="center" vertical="center" wrapText="1"/>
    </xf>
    <xf numFmtId="0" fontId="1" fillId="0" borderId="1" xfId="0" applyFont="1" applyBorder="1" applyAlignment="1">
      <alignment vertical="center" wrapText="1"/>
    </xf>
    <xf numFmtId="0" fontId="2" fillId="0" borderId="0" xfId="0" applyFont="1" applyAlignment="1">
      <alignment horizontal="center" vertical="center"/>
    </xf>
    <xf numFmtId="0" fontId="16" fillId="4" borderId="2" xfId="0" applyFont="1" applyFill="1" applyBorder="1" applyAlignment="1">
      <alignment horizontal="center" vertical="center"/>
    </xf>
    <xf numFmtId="0" fontId="2" fillId="0" borderId="3" xfId="0" applyFont="1" applyBorder="1" applyAlignment="1">
      <alignment vertical="center"/>
    </xf>
    <xf numFmtId="0" fontId="2" fillId="0" borderId="0" xfId="0" applyFont="1" applyAlignment="1">
      <alignment horizontal="right" vertical="center"/>
    </xf>
    <xf numFmtId="0" fontId="2" fillId="0" borderId="3" xfId="0" applyFont="1" applyBorder="1" applyAlignment="1">
      <alignment horizontal="center" vertical="center"/>
    </xf>
    <xf numFmtId="0" fontId="1" fillId="4" borderId="1" xfId="0" applyFont="1" applyFill="1" applyBorder="1" applyAlignment="1">
      <alignment vertical="center" wrapText="1"/>
    </xf>
    <xf numFmtId="14" fontId="2" fillId="0" borderId="5" xfId="0" applyNumberFormat="1" applyFont="1" applyBorder="1" applyAlignment="1">
      <alignment horizontal="center" vertical="center"/>
    </xf>
    <xf numFmtId="0" fontId="1" fillId="15" borderId="1" xfId="0" applyFont="1" applyFill="1" applyBorder="1" applyAlignment="1">
      <alignment vertical="center" wrapText="1"/>
    </xf>
    <xf numFmtId="0" fontId="1" fillId="15" borderId="2" xfId="0" applyFont="1" applyFill="1" applyBorder="1" applyAlignment="1">
      <alignment vertical="center" wrapText="1"/>
    </xf>
    <xf numFmtId="0" fontId="2" fillId="15" borderId="2" xfId="0" applyFont="1" applyFill="1" applyBorder="1" applyAlignment="1">
      <alignment vertical="center"/>
    </xf>
    <xf numFmtId="0" fontId="1" fillId="15" borderId="2" xfId="0" applyFont="1" applyFill="1" applyBorder="1" applyAlignment="1">
      <alignment horizontal="center" vertical="center" wrapText="1"/>
    </xf>
    <xf numFmtId="14" fontId="1" fillId="15" borderId="2" xfId="0" applyNumberFormat="1" applyFont="1" applyFill="1" applyBorder="1" applyAlignment="1">
      <alignment horizontal="center" vertical="center" wrapText="1"/>
    </xf>
    <xf numFmtId="0" fontId="17"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16" borderId="1" xfId="0" applyFont="1" applyFill="1" applyBorder="1" applyAlignment="1">
      <alignment vertical="center" wrapText="1"/>
    </xf>
    <xf numFmtId="0" fontId="1" fillId="16" borderId="2" xfId="0" applyFont="1" applyFill="1" applyBorder="1" applyAlignment="1">
      <alignment vertical="center" wrapText="1"/>
    </xf>
    <xf numFmtId="0" fontId="1" fillId="16" borderId="2" xfId="0" applyFont="1" applyFill="1" applyBorder="1" applyAlignment="1">
      <alignment horizontal="center" vertical="center" wrapText="1"/>
    </xf>
    <xf numFmtId="14" fontId="1" fillId="16" borderId="2" xfId="0" applyNumberFormat="1" applyFont="1" applyFill="1" applyBorder="1" applyAlignment="1">
      <alignment horizontal="center" vertical="center" wrapText="1"/>
    </xf>
    <xf numFmtId="0" fontId="2" fillId="16" borderId="2" xfId="0" applyFont="1" applyFill="1" applyBorder="1" applyAlignment="1">
      <alignment vertical="center"/>
    </xf>
    <xf numFmtId="0" fontId="1" fillId="17" borderId="1" xfId="0" applyFont="1" applyFill="1" applyBorder="1" applyAlignment="1">
      <alignment vertical="center" wrapText="1"/>
    </xf>
    <xf numFmtId="0" fontId="1" fillId="18" borderId="2" xfId="0" applyFont="1" applyFill="1" applyBorder="1" applyAlignment="1">
      <alignment vertical="center" wrapText="1"/>
    </xf>
    <xf numFmtId="14" fontId="1" fillId="0" borderId="2" xfId="0" applyNumberFormat="1" applyFont="1" applyBorder="1" applyAlignment="1">
      <alignment vertical="center" wrapText="1"/>
    </xf>
    <xf numFmtId="0" fontId="1" fillId="18" borderId="1" xfId="0" applyFont="1" applyFill="1" applyBorder="1" applyAlignment="1">
      <alignment vertical="center" wrapText="1"/>
    </xf>
    <xf numFmtId="0" fontId="18" fillId="0" borderId="2" xfId="0" applyFont="1" applyBorder="1" applyAlignment="1">
      <alignment vertical="center" wrapText="1"/>
    </xf>
    <xf numFmtId="0" fontId="17" fillId="0" borderId="2" xfId="0" applyFont="1" applyBorder="1" applyAlignment="1">
      <alignment horizontal="center" vertical="center"/>
    </xf>
    <xf numFmtId="14" fontId="1" fillId="0" borderId="2" xfId="0" applyNumberFormat="1" applyFont="1" applyBorder="1" applyAlignment="1">
      <alignment horizontal="right" vertical="center"/>
    </xf>
    <xf numFmtId="14" fontId="1" fillId="0" borderId="2" xfId="0" applyNumberFormat="1" applyFont="1" applyBorder="1" applyAlignment="1">
      <alignment vertical="center"/>
    </xf>
    <xf numFmtId="165" fontId="1" fillId="0" borderId="2" xfId="0" applyNumberFormat="1" applyFont="1" applyBorder="1" applyAlignment="1">
      <alignment horizontal="right" vertical="center" wrapText="1"/>
    </xf>
    <xf numFmtId="0" fontId="1" fillId="19" borderId="2" xfId="0" applyFont="1" applyFill="1" applyBorder="1" applyAlignment="1">
      <alignment vertical="center" wrapText="1"/>
    </xf>
    <xf numFmtId="0" fontId="1" fillId="19" borderId="2" xfId="0" applyFont="1" applyFill="1" applyBorder="1" applyAlignment="1">
      <alignment horizontal="center" vertical="center" wrapText="1"/>
    </xf>
    <xf numFmtId="14" fontId="1" fillId="19" borderId="2" xfId="0" applyNumberFormat="1" applyFont="1" applyFill="1" applyBorder="1" applyAlignment="1">
      <alignment horizontal="center" vertical="center"/>
    </xf>
    <xf numFmtId="0" fontId="1" fillId="19" borderId="2" xfId="0" applyFont="1" applyFill="1" applyBorder="1" applyAlignment="1">
      <alignment horizontal="center" vertical="center"/>
    </xf>
    <xf numFmtId="0" fontId="2" fillId="19" borderId="2" xfId="0" applyFont="1" applyFill="1" applyBorder="1" applyAlignment="1">
      <alignment vertical="center"/>
    </xf>
    <xf numFmtId="0" fontId="2" fillId="4" borderId="0" xfId="0" applyFont="1" applyFill="1" applyAlignment="1">
      <alignment horizontal="center" vertical="center"/>
    </xf>
    <xf numFmtId="0" fontId="1" fillId="19" borderId="1" xfId="0" applyFont="1" applyFill="1" applyBorder="1" applyAlignment="1">
      <alignment vertical="center"/>
    </xf>
    <xf numFmtId="0" fontId="19" fillId="4" borderId="1" xfId="0" applyFont="1" applyFill="1" applyBorder="1" applyAlignment="1">
      <alignment vertical="center"/>
    </xf>
    <xf numFmtId="0" fontId="20" fillId="4" borderId="2" xfId="0" applyFont="1" applyFill="1" applyBorder="1" applyAlignment="1">
      <alignment horizontal="center" vertical="center" wrapText="1"/>
    </xf>
    <xf numFmtId="0" fontId="1" fillId="4" borderId="2" xfId="0" applyFont="1" applyFill="1" applyBorder="1" applyAlignment="1">
      <alignment horizontal="center" vertical="center"/>
    </xf>
    <xf numFmtId="0" fontId="17" fillId="4" borderId="2" xfId="0" applyFont="1" applyFill="1" applyBorder="1" applyAlignment="1">
      <alignment horizontal="center" vertical="center"/>
    </xf>
    <xf numFmtId="0" fontId="17" fillId="4" borderId="2" xfId="0" applyFont="1" applyFill="1" applyBorder="1" applyAlignment="1">
      <alignment horizontal="center" vertical="center" wrapText="1"/>
    </xf>
    <xf numFmtId="0" fontId="2" fillId="4" borderId="2" xfId="0" applyFont="1" applyFill="1" applyBorder="1" applyAlignment="1">
      <alignment horizontal="center" vertical="center"/>
    </xf>
    <xf numFmtId="14" fontId="1" fillId="0" borderId="2" xfId="0" applyNumberFormat="1" applyFont="1" applyBorder="1" applyAlignment="1">
      <alignment horizontal="center" vertical="center"/>
    </xf>
    <xf numFmtId="0" fontId="2" fillId="4"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4" borderId="2" xfId="0" applyFont="1" applyFill="1" applyBorder="1" applyAlignment="1">
      <alignment vertical="center"/>
    </xf>
    <xf numFmtId="14" fontId="2" fillId="4" borderId="2" xfId="0" applyNumberFormat="1" applyFont="1" applyFill="1" applyBorder="1" applyAlignment="1">
      <alignment vertical="center"/>
    </xf>
    <xf numFmtId="0" fontId="2" fillId="4" borderId="2" xfId="0" applyFont="1" applyFill="1" applyBorder="1" applyAlignment="1">
      <alignment vertical="center" wrapText="1"/>
    </xf>
    <xf numFmtId="0" fontId="2" fillId="0" borderId="5" xfId="0" applyFont="1" applyBorder="1" applyAlignment="1">
      <alignment vertical="center" wrapText="1"/>
    </xf>
    <xf numFmtId="0" fontId="21" fillId="20" borderId="8" xfId="0" applyFont="1" applyFill="1" applyBorder="1" applyAlignment="1">
      <alignment horizontal="center"/>
    </xf>
    <xf numFmtId="165" fontId="21" fillId="20" borderId="8" xfId="0" applyNumberFormat="1" applyFont="1" applyFill="1" applyBorder="1" applyAlignment="1">
      <alignment horizontal="center"/>
    </xf>
    <xf numFmtId="0" fontId="21" fillId="20" borderId="2" xfId="0" applyFont="1" applyFill="1" applyBorder="1" applyAlignment="1">
      <alignment horizontal="center"/>
    </xf>
    <xf numFmtId="165" fontId="21" fillId="20" borderId="2" xfId="0" applyNumberFormat="1" applyFont="1" applyFill="1" applyBorder="1" applyAlignment="1">
      <alignment horizontal="center"/>
    </xf>
    <xf numFmtId="14" fontId="21" fillId="20" borderId="2" xfId="0" applyNumberFormat="1" applyFont="1" applyFill="1" applyBorder="1" applyAlignment="1">
      <alignment horizontal="center"/>
    </xf>
    <xf numFmtId="0" fontId="2" fillId="0" borderId="3" xfId="0" applyFont="1" applyBorder="1" applyAlignment="1"/>
    <xf numFmtId="0" fontId="21" fillId="5" borderId="1" xfId="0" applyFont="1" applyFill="1" applyBorder="1" applyAlignment="1">
      <alignment horizontal="center"/>
    </xf>
    <xf numFmtId="0" fontId="21" fillId="5" borderId="2" xfId="0" applyFont="1" applyFill="1" applyBorder="1" applyAlignment="1">
      <alignment horizontal="center"/>
    </xf>
    <xf numFmtId="0" fontId="23" fillId="4" borderId="1" xfId="0" applyFont="1" applyFill="1" applyBorder="1" applyAlignment="1">
      <alignment horizontal="center"/>
    </xf>
    <xf numFmtId="0" fontId="18" fillId="4" borderId="2" xfId="0" applyFont="1" applyFill="1" applyBorder="1" applyAlignment="1"/>
    <xf numFmtId="0" fontId="18" fillId="4" borderId="2" xfId="0" applyFont="1" applyFill="1" applyBorder="1" applyAlignment="1">
      <alignment horizontal="right"/>
    </xf>
    <xf numFmtId="0" fontId="18" fillId="4" borderId="2" xfId="0" applyFont="1" applyFill="1" applyBorder="1" applyAlignment="1">
      <alignment wrapText="1"/>
    </xf>
    <xf numFmtId="0" fontId="21" fillId="4" borderId="2" xfId="0" applyFont="1" applyFill="1" applyBorder="1" applyAlignment="1"/>
    <xf numFmtId="0" fontId="21" fillId="4" borderId="2" xfId="0" applyFont="1" applyFill="1" applyBorder="1" applyAlignment="1">
      <alignment horizontal="right"/>
    </xf>
    <xf numFmtId="0" fontId="2" fillId="4" borderId="0" xfId="0" applyFont="1" applyFill="1" applyAlignment="1"/>
    <xf numFmtId="0" fontId="2" fillId="21" borderId="3" xfId="0" applyFont="1" applyFill="1" applyBorder="1" applyAlignment="1"/>
    <xf numFmtId="0" fontId="2" fillId="21" borderId="0" xfId="0" applyFont="1" applyFill="1" applyAlignment="1"/>
    <xf numFmtId="0" fontId="18" fillId="4" borderId="3" xfId="0" applyFont="1" applyFill="1" applyBorder="1" applyAlignment="1"/>
    <xf numFmtId="0" fontId="18" fillId="4" borderId="0" xfId="0" applyFont="1" applyFill="1" applyAlignment="1">
      <alignment horizontal="right"/>
    </xf>
    <xf numFmtId="0" fontId="18" fillId="4" borderId="2" xfId="0" applyFont="1" applyFill="1" applyBorder="1" applyAlignment="1">
      <alignment horizontal="center"/>
    </xf>
    <xf numFmtId="0" fontId="18" fillId="4" borderId="0" xfId="0" applyFont="1" applyFill="1" applyAlignment="1"/>
    <xf numFmtId="0" fontId="23" fillId="7" borderId="1" xfId="0" applyFont="1" applyFill="1" applyBorder="1" applyAlignment="1">
      <alignment horizontal="center"/>
    </xf>
    <xf numFmtId="0" fontId="2" fillId="7" borderId="2" xfId="0" applyFont="1" applyFill="1" applyBorder="1" applyAlignment="1"/>
    <xf numFmtId="0" fontId="2" fillId="7" borderId="2" xfId="0" applyFont="1" applyFill="1" applyBorder="1" applyAlignment="1"/>
    <xf numFmtId="0" fontId="2" fillId="7" borderId="2" xfId="0" applyFont="1" applyFill="1" applyBorder="1" applyAlignment="1">
      <alignment horizontal="right"/>
    </xf>
    <xf numFmtId="0" fontId="18" fillId="7" borderId="2" xfId="0" applyFont="1" applyFill="1" applyBorder="1" applyAlignment="1">
      <alignment wrapText="1"/>
    </xf>
    <xf numFmtId="0" fontId="18" fillId="0" borderId="0" xfId="0" applyFont="1" applyAlignment="1"/>
    <xf numFmtId="0" fontId="24" fillId="4" borderId="1" xfId="0" applyFont="1" applyFill="1" applyBorder="1" applyAlignment="1">
      <alignment horizontal="center"/>
    </xf>
    <xf numFmtId="0" fontId="18" fillId="0" borderId="0" xfId="0" applyFont="1" applyAlignment="1">
      <alignment horizontal="right"/>
    </xf>
    <xf numFmtId="0" fontId="2" fillId="4" borderId="1" xfId="0" applyFont="1" applyFill="1" applyBorder="1" applyAlignment="1"/>
    <xf numFmtId="0" fontId="21" fillId="7" borderId="1" xfId="0" applyFont="1" applyFill="1" applyBorder="1" applyAlignment="1">
      <alignment horizontal="center" wrapText="1"/>
    </xf>
    <xf numFmtId="0" fontId="21" fillId="0" borderId="1" xfId="0" applyFont="1" applyBorder="1" applyAlignment="1">
      <alignment horizontal="center"/>
    </xf>
    <xf numFmtId="0" fontId="18" fillId="0" borderId="2" xfId="0" applyFont="1" applyBorder="1" applyAlignment="1"/>
    <xf numFmtId="0" fontId="2" fillId="0" borderId="2" xfId="0" applyFont="1" applyBorder="1" applyAlignment="1"/>
    <xf numFmtId="0" fontId="2" fillId="0" borderId="1" xfId="0" applyFont="1" applyBorder="1" applyAlignment="1"/>
    <xf numFmtId="0" fontId="2" fillId="20" borderId="2" xfId="0" applyFont="1" applyFill="1" applyBorder="1" applyAlignment="1"/>
    <xf numFmtId="0" fontId="15" fillId="7" borderId="1" xfId="0" applyFont="1" applyFill="1" applyBorder="1" applyAlignment="1"/>
    <xf numFmtId="0" fontId="21" fillId="7" borderId="1" xfId="0" applyFont="1" applyFill="1" applyBorder="1" applyAlignment="1">
      <alignment horizontal="center"/>
    </xf>
    <xf numFmtId="0" fontId="18" fillId="7" borderId="2" xfId="0" applyFont="1" applyFill="1" applyBorder="1" applyAlignment="1"/>
    <xf numFmtId="0" fontId="21" fillId="7" borderId="2" xfId="0" applyFont="1" applyFill="1" applyBorder="1" applyAlignment="1">
      <alignment horizontal="right"/>
    </xf>
    <xf numFmtId="0" fontId="18" fillId="7" borderId="2" xfId="0" applyFont="1" applyFill="1" applyBorder="1" applyAlignment="1">
      <alignment horizontal="right"/>
    </xf>
    <xf numFmtId="0" fontId="21" fillId="20" borderId="1" xfId="0" applyFont="1" applyFill="1" applyBorder="1" applyAlignment="1">
      <alignment horizontal="center"/>
    </xf>
    <xf numFmtId="0" fontId="18" fillId="22" borderId="1" xfId="0" applyFont="1" applyFill="1" applyBorder="1" applyAlignment="1">
      <alignment horizontal="center"/>
    </xf>
    <xf numFmtId="0" fontId="18" fillId="22" borderId="2" xfId="0" applyFont="1" applyFill="1" applyBorder="1" applyAlignment="1"/>
    <xf numFmtId="0" fontId="18" fillId="22" borderId="2" xfId="0" applyFont="1" applyFill="1" applyBorder="1" applyAlignment="1">
      <alignment horizontal="right"/>
    </xf>
    <xf numFmtId="0" fontId="2" fillId="22" borderId="2" xfId="0" applyFont="1" applyFill="1" applyBorder="1" applyAlignment="1"/>
    <xf numFmtId="0" fontId="18" fillId="22" borderId="2" xfId="0" applyFont="1" applyFill="1" applyBorder="1" applyAlignment="1">
      <alignment wrapText="1"/>
    </xf>
    <xf numFmtId="0" fontId="21" fillId="23" borderId="2" xfId="0" applyFont="1" applyFill="1" applyBorder="1" applyAlignment="1">
      <alignment horizontal="right"/>
    </xf>
    <xf numFmtId="0" fontId="2" fillId="23" borderId="2" xfId="0" applyFont="1" applyFill="1" applyBorder="1" applyAlignment="1"/>
    <xf numFmtId="0" fontId="24" fillId="8" borderId="1" xfId="0" applyFont="1" applyFill="1" applyBorder="1" applyAlignment="1">
      <alignment horizontal="center"/>
    </xf>
    <xf numFmtId="0" fontId="18" fillId="8" borderId="2" xfId="0" applyFont="1" applyFill="1" applyBorder="1" applyAlignment="1"/>
    <xf numFmtId="0" fontId="18" fillId="8" borderId="2" xfId="0" applyFont="1" applyFill="1" applyBorder="1" applyAlignment="1">
      <alignment horizontal="right"/>
    </xf>
    <xf numFmtId="0" fontId="2" fillId="8" borderId="2" xfId="0" applyFont="1" applyFill="1" applyBorder="1" applyAlignment="1"/>
    <xf numFmtId="0" fontId="24" fillId="7" borderId="1" xfId="0" applyFont="1" applyFill="1" applyBorder="1" applyAlignment="1">
      <alignment horizontal="center" wrapText="1"/>
    </xf>
    <xf numFmtId="0" fontId="18" fillId="7" borderId="2" xfId="0" applyFont="1" applyFill="1" applyBorder="1" applyAlignment="1">
      <alignment horizontal="right" wrapText="1"/>
    </xf>
    <xf numFmtId="0" fontId="18" fillId="8" borderId="2" xfId="0" applyFont="1" applyFill="1" applyBorder="1" applyAlignment="1">
      <alignment wrapText="1"/>
    </xf>
    <xf numFmtId="0" fontId="26" fillId="20" borderId="1" xfId="0" applyFont="1" applyFill="1" applyBorder="1" applyAlignment="1">
      <alignment horizontal="center" wrapText="1"/>
    </xf>
    <xf numFmtId="0" fontId="26" fillId="20" borderId="2" xfId="0" applyFont="1" applyFill="1" applyBorder="1" applyAlignment="1">
      <alignment horizontal="center" wrapText="1"/>
    </xf>
    <xf numFmtId="0" fontId="26" fillId="20" borderId="2" xfId="0" applyFont="1" applyFill="1" applyBorder="1" applyAlignment="1">
      <alignment horizontal="center"/>
    </xf>
    <xf numFmtId="0" fontId="18" fillId="0" borderId="2" xfId="0" applyFont="1" applyBorder="1" applyAlignment="1">
      <alignment horizontal="center"/>
    </xf>
    <xf numFmtId="0" fontId="18" fillId="4" borderId="2" xfId="0" applyFont="1" applyFill="1" applyBorder="1" applyAlignment="1">
      <alignment horizontal="center" wrapText="1"/>
    </xf>
    <xf numFmtId="0" fontId="2" fillId="0" borderId="5" xfId="0" applyFont="1" applyBorder="1" applyAlignment="1"/>
    <xf numFmtId="0" fontId="27" fillId="20" borderId="2" xfId="0" applyFont="1" applyFill="1" applyBorder="1" applyAlignment="1">
      <alignment horizontal="center"/>
    </xf>
    <xf numFmtId="0" fontId="21" fillId="4" borderId="1" xfId="0" applyFont="1" applyFill="1" applyBorder="1" applyAlignment="1">
      <alignment horizontal="center"/>
    </xf>
    <xf numFmtId="0" fontId="2" fillId="24" borderId="2" xfId="0" applyFont="1" applyFill="1" applyBorder="1" applyAlignment="1"/>
    <xf numFmtId="0" fontId="2" fillId="0" borderId="0" xfId="0" applyFont="1" applyAlignment="1"/>
    <xf numFmtId="0" fontId="28" fillId="4" borderId="2" xfId="0" applyFont="1" applyFill="1" applyBorder="1" applyAlignment="1">
      <alignment horizontal="center"/>
    </xf>
    <xf numFmtId="0" fontId="18" fillId="0" borderId="2" xfId="0" applyFont="1" applyBorder="1" applyAlignment="1"/>
    <xf numFmtId="0" fontId="18" fillId="7" borderId="2" xfId="0" applyFont="1" applyFill="1" applyBorder="1" applyAlignment="1">
      <alignment horizontal="center"/>
    </xf>
    <xf numFmtId="0" fontId="28" fillId="7" borderId="2" xfId="0" applyFont="1" applyFill="1" applyBorder="1" applyAlignment="1">
      <alignment horizontal="center"/>
    </xf>
    <xf numFmtId="0" fontId="15" fillId="0" borderId="0" xfId="0" applyFont="1" applyAlignment="1">
      <alignment horizontal="right"/>
    </xf>
    <xf numFmtId="0" fontId="2" fillId="0" borderId="0" xfId="0" applyFont="1" applyAlignment="1">
      <alignment horizontal="right"/>
    </xf>
    <xf numFmtId="0" fontId="29" fillId="0" borderId="0" xfId="0" applyFont="1" applyAlignment="1">
      <alignment horizontal="right"/>
    </xf>
    <xf numFmtId="0" fontId="4" fillId="0" borderId="0" xfId="0" applyFont="1"/>
    <xf numFmtId="164" fontId="4" fillId="0" borderId="0" xfId="0" applyNumberFormat="1" applyFont="1"/>
    <xf numFmtId="0" fontId="4" fillId="0" borderId="0" xfId="0" applyFont="1"/>
    <xf numFmtId="0" fontId="4" fillId="0" borderId="0" xfId="0" applyFont="1" applyAlignment="1">
      <alignment horizontal="center"/>
    </xf>
    <xf numFmtId="0" fontId="1" fillId="0" borderId="3" xfId="0" applyFont="1" applyBorder="1" applyAlignment="1">
      <alignment horizontal="center" vertical="center" wrapText="1"/>
    </xf>
    <xf numFmtId="0" fontId="13" fillId="0" borderId="2" xfId="0" applyFont="1" applyBorder="1"/>
    <xf numFmtId="0" fontId="21" fillId="20" borderId="6" xfId="0" applyFont="1" applyFill="1" applyBorder="1" applyAlignment="1">
      <alignment horizontal="center"/>
    </xf>
    <xf numFmtId="0" fontId="13" fillId="0" borderId="7" xfId="0" applyFont="1" applyBorder="1"/>
    <xf numFmtId="0" fontId="13" fillId="0" borderId="9" xfId="0" applyFont="1" applyBorder="1"/>
    <xf numFmtId="0" fontId="13" fillId="0" borderId="5" xfId="0" applyFont="1" applyBorder="1"/>
    <xf numFmtId="0" fontId="13" fillId="0" borderId="10" xfId="0" applyFont="1" applyBorder="1"/>
    <xf numFmtId="0" fontId="22" fillId="0" borderId="0" xfId="0" applyFont="1" applyAlignment="1">
      <alignment horizontal="center"/>
    </xf>
    <xf numFmtId="0" fontId="0" fillId="0" borderId="0" xfId="0" applyFont="1" applyAlignment="1"/>
    <xf numFmtId="0" fontId="21" fillId="20" borderId="9" xfId="0" applyFont="1" applyFill="1" applyBorder="1" applyAlignment="1">
      <alignment horizontal="center"/>
    </xf>
    <xf numFmtId="0" fontId="21" fillId="4" borderId="10" xfId="0" applyFont="1" applyFill="1" applyBorder="1" applyAlignment="1"/>
    <xf numFmtId="0" fontId="21" fillId="4" borderId="10" xfId="0" applyFont="1" applyFill="1" applyBorder="1" applyAlignment="1">
      <alignment wrapText="1"/>
    </xf>
    <xf numFmtId="0" fontId="21" fillId="20" borderId="9" xfId="0" applyFont="1" applyFill="1" applyBorder="1" applyAlignment="1">
      <alignment horizontal="center" wrapText="1"/>
    </xf>
    <xf numFmtId="0" fontId="23" fillId="4" borderId="10" xfId="0" applyFont="1" applyFill="1" applyBorder="1" applyAlignment="1">
      <alignment horizontal="center"/>
    </xf>
    <xf numFmtId="0" fontId="23" fillId="7" borderId="10" xfId="0" applyFont="1" applyFill="1" applyBorder="1" applyAlignment="1">
      <alignment horizontal="center"/>
    </xf>
    <xf numFmtId="0" fontId="23" fillId="23" borderId="10" xfId="0" applyFont="1" applyFill="1" applyBorder="1" applyAlignment="1">
      <alignment horizontal="center"/>
    </xf>
    <xf numFmtId="0" fontId="23" fillId="23" borderId="10" xfId="0" applyFont="1" applyFill="1" applyBorder="1" applyAlignment="1">
      <alignment horizontal="center" wrapText="1"/>
    </xf>
    <xf numFmtId="0" fontId="25" fillId="20" borderId="10" xfId="0" applyFont="1" applyFill="1" applyBorder="1" applyAlignment="1">
      <alignment horizontal="center" wrapText="1"/>
    </xf>
    <xf numFmtId="0" fontId="13" fillId="0" borderId="3" xfId="0" applyFont="1" applyBorder="1"/>
    <xf numFmtId="0" fontId="28" fillId="4" borderId="5" xfId="0" applyFont="1" applyFill="1" applyBorder="1" applyAlignment="1">
      <alignment horizontal="center"/>
    </xf>
    <xf numFmtId="0" fontId="28" fillId="7" borderId="5" xfId="0" applyFont="1" applyFill="1" applyBorder="1" applyAlignment="1">
      <alignment horizontal="center"/>
    </xf>
    <xf numFmtId="0" fontId="21" fillId="0" borderId="11" xfId="0" applyFont="1" applyBorder="1" applyAlignment="1">
      <alignment horizontal="center"/>
    </xf>
    <xf numFmtId="0" fontId="13" fillId="0" borderId="1" xfId="0" applyFont="1" applyBorder="1"/>
    <xf numFmtId="0" fontId="32" fillId="0" borderId="0" xfId="0" applyFont="1" applyAlignment="1">
      <alignment horizontal="center"/>
    </xf>
    <xf numFmtId="164" fontId="33" fillId="0" borderId="0" xfId="0" applyNumberFormat="1" applyFont="1" applyAlignment="1">
      <alignment horizontal="center"/>
    </xf>
    <xf numFmtId="0" fontId="2" fillId="0" borderId="0" xfId="0" applyFont="1" applyAlignment="1"/>
    <xf numFmtId="0" fontId="2" fillId="0" borderId="0" xfId="0" applyFont="1"/>
    <xf numFmtId="0" fontId="30" fillId="0" borderId="0" xfId="0" applyFont="1" applyAlignment="1">
      <alignment horizontal="center"/>
    </xf>
    <xf numFmtId="9" fontId="31" fillId="0" borderId="0" xfId="0" applyNumberFormat="1" applyFont="1" applyAlignment="1">
      <alignment horizontal="center"/>
    </xf>
    <xf numFmtId="0" fontId="31" fillId="0" borderId="0" xfId="0" applyFont="1" applyAlignment="1">
      <alignment horizontal="center"/>
    </xf>
    <xf numFmtId="0" fontId="33" fillId="0" borderId="0" xfId="0" applyFont="1" applyAlignment="1">
      <alignment horizontal="center"/>
    </xf>
    <xf numFmtId="164" fontId="31" fillId="0" borderId="0" xfId="0" applyNumberFormat="1" applyFont="1" applyAlignment="1">
      <alignment horizontal="center"/>
    </xf>
    <xf numFmtId="9" fontId="30" fillId="0" borderId="0" xfId="0" applyNumberFormat="1" applyFont="1" applyAlignment="1">
      <alignment horizontal="center"/>
    </xf>
    <xf numFmtId="0" fontId="2" fillId="0" borderId="0" xfId="0" applyFont="1" applyAlignment="1">
      <alignment horizontal="center"/>
    </xf>
    <xf numFmtId="0" fontId="0" fillId="0" borderId="12" xfId="0" pivotButton="1" applyFont="1" applyBorder="1" applyAlignment="1"/>
    <xf numFmtId="0" fontId="0" fillId="0" borderId="13" xfId="0" applyFont="1" applyBorder="1" applyAlignment="1"/>
    <xf numFmtId="0" fontId="0" fillId="0" borderId="12" xfId="0" applyFont="1" applyBorder="1" applyAlignment="1"/>
    <xf numFmtId="0" fontId="0" fillId="0" borderId="13" xfId="0" applyNumberFormat="1" applyFont="1" applyBorder="1" applyAlignment="1"/>
    <xf numFmtId="0" fontId="0" fillId="0" borderId="14" xfId="0" applyFont="1" applyBorder="1" applyAlignment="1"/>
    <xf numFmtId="0" fontId="0" fillId="0" borderId="15" xfId="0" applyNumberFormat="1" applyFont="1" applyBorder="1" applyAlignment="1"/>
    <xf numFmtId="0" fontId="0" fillId="0" borderId="16" xfId="0" applyFont="1" applyBorder="1" applyAlignment="1"/>
    <xf numFmtId="0" fontId="0" fillId="0" borderId="17" xfId="0" applyNumberFormat="1" applyFont="1" applyBorder="1" applyAlignment="1"/>
    <xf numFmtId="0" fontId="0" fillId="0" borderId="18" xfId="0" pivotButton="1" applyFont="1" applyBorder="1" applyAlignment="1"/>
    <xf numFmtId="0" fontId="0" fillId="0" borderId="18" xfId="0" applyFont="1" applyBorder="1" applyAlignment="1"/>
    <xf numFmtId="0" fontId="0" fillId="0" borderId="19" xfId="0" applyFont="1" applyBorder="1" applyAlignment="1"/>
    <xf numFmtId="0" fontId="0" fillId="0" borderId="18" xfId="0" applyNumberFormat="1" applyFont="1" applyBorder="1" applyAlignment="1"/>
    <xf numFmtId="0" fontId="0" fillId="0" borderId="0" xfId="0" applyFont="1" applyAlignment="1">
      <alignment wrapText="1"/>
    </xf>
    <xf numFmtId="0" fontId="3" fillId="3" borderId="11" xfId="0" applyFont="1" applyFill="1" applyBorder="1" applyAlignment="1">
      <alignment horizontal="center" vertical="center" wrapText="1"/>
    </xf>
    <xf numFmtId="14" fontId="34" fillId="0" borderId="20" xfId="0" applyNumberFormat="1" applyFont="1" applyFill="1" applyBorder="1" applyAlignment="1">
      <alignment horizontal="center" vertical="center" wrapText="1"/>
    </xf>
    <xf numFmtId="0" fontId="35" fillId="0" borderId="20" xfId="0" applyFont="1" applyFill="1" applyBorder="1" applyAlignment="1">
      <alignment wrapText="1"/>
    </xf>
    <xf numFmtId="0" fontId="35" fillId="0" borderId="20" xfId="0" applyFont="1" applyFill="1" applyBorder="1" applyAlignment="1">
      <alignment vertical="center" wrapText="1"/>
    </xf>
    <xf numFmtId="0" fontId="2" fillId="2" borderId="3" xfId="0" applyFont="1" applyFill="1" applyBorder="1"/>
    <xf numFmtId="0" fontId="3" fillId="3" borderId="9" xfId="0" applyFont="1" applyFill="1" applyBorder="1" applyAlignment="1">
      <alignment horizontal="center" vertical="center" wrapText="1"/>
    </xf>
    <xf numFmtId="0" fontId="2" fillId="4" borderId="3" xfId="0" applyFont="1" applyFill="1" applyBorder="1" applyAlignment="1"/>
    <xf numFmtId="0" fontId="2" fillId="4" borderId="3" xfId="0" applyFont="1" applyFill="1" applyBorder="1"/>
    <xf numFmtId="0" fontId="0" fillId="0" borderId="20" xfId="0" applyFont="1" applyBorder="1" applyAlignment="1"/>
    <xf numFmtId="0" fontId="2" fillId="2" borderId="21" xfId="0" applyFont="1" applyFill="1" applyBorder="1" applyAlignment="1">
      <alignment horizontal="center" vertical="center"/>
    </xf>
    <xf numFmtId="14" fontId="34" fillId="25" borderId="21" xfId="0" applyNumberFormat="1" applyFont="1" applyFill="1" applyBorder="1" applyAlignment="1">
      <alignment horizontal="center" vertical="center" wrapText="1"/>
    </xf>
    <xf numFmtId="0" fontId="2" fillId="4" borderId="21" xfId="0" applyFont="1" applyFill="1" applyBorder="1" applyAlignment="1">
      <alignment horizontal="center" vertical="center"/>
    </xf>
    <xf numFmtId="0" fontId="4" fillId="0" borderId="21" xfId="0" applyFont="1" applyBorder="1" applyAlignment="1">
      <alignment horizontal="center" vertical="center"/>
    </xf>
    <xf numFmtId="0" fontId="0" fillId="0" borderId="21" xfId="0" applyFont="1" applyBorder="1" applyAlignment="1"/>
    <xf numFmtId="164" fontId="3" fillId="2" borderId="20" xfId="0" applyNumberFormat="1" applyFont="1" applyFill="1" applyBorder="1" applyAlignment="1">
      <alignment horizontal="center" vertical="center" wrapText="1"/>
    </xf>
    <xf numFmtId="164" fontId="2" fillId="4" borderId="20" xfId="0" applyNumberFormat="1" applyFont="1" applyFill="1" applyBorder="1" applyAlignment="1">
      <alignment horizontal="center" vertical="center"/>
    </xf>
    <xf numFmtId="164" fontId="4" fillId="0" borderId="20" xfId="0" applyNumberFormat="1" applyFont="1" applyBorder="1" applyAlignment="1">
      <alignment horizontal="center" vertical="center"/>
    </xf>
    <xf numFmtId="8" fontId="35" fillId="0" borderId="20" xfId="0" applyNumberFormat="1" applyFont="1" applyFill="1" applyBorder="1" applyAlignment="1">
      <alignment horizontal="center" vertical="center" wrapText="1"/>
    </xf>
    <xf numFmtId="14" fontId="35" fillId="0" borderId="20" xfId="0" applyNumberFormat="1" applyFont="1" applyFill="1" applyBorder="1" applyAlignment="1">
      <alignment horizontal="center" vertical="center" wrapText="1"/>
    </xf>
    <xf numFmtId="0" fontId="35" fillId="0" borderId="20" xfId="0" applyFont="1" applyFill="1" applyBorder="1" applyAlignment="1">
      <alignment horizontal="center" vertical="center" wrapText="1"/>
    </xf>
    <xf numFmtId="14" fontId="35" fillId="0" borderId="20" xfId="0" applyNumberFormat="1" applyFont="1" applyFill="1" applyBorder="1" applyAlignment="1">
      <alignment vertical="center" wrapText="1"/>
    </xf>
    <xf numFmtId="0" fontId="36" fillId="0" borderId="20" xfId="0" applyFont="1" applyFill="1" applyBorder="1" applyAlignment="1">
      <alignment horizontal="center" vertical="center"/>
    </xf>
    <xf numFmtId="164" fontId="36" fillId="4" borderId="20" xfId="0" applyNumberFormat="1" applyFont="1" applyFill="1" applyBorder="1" applyAlignment="1">
      <alignment horizontal="center" vertical="center"/>
    </xf>
    <xf numFmtId="0" fontId="3" fillId="3" borderId="22" xfId="0" applyFont="1" applyFill="1" applyBorder="1" applyAlignment="1">
      <alignment horizontal="center" vertical="center" wrapText="1"/>
    </xf>
    <xf numFmtId="0" fontId="3" fillId="3" borderId="23" xfId="0" applyFont="1" applyFill="1" applyBorder="1" applyAlignment="1">
      <alignment horizontal="center" vertical="center" wrapText="1"/>
    </xf>
    <xf numFmtId="0" fontId="3" fillId="3" borderId="5" xfId="0" applyFont="1" applyFill="1" applyBorder="1" applyAlignment="1">
      <alignment horizontal="center" vertical="center" wrapText="1"/>
    </xf>
    <xf numFmtId="14" fontId="34" fillId="25" borderId="24" xfId="0" applyNumberFormat="1" applyFont="1" applyFill="1" applyBorder="1" applyAlignment="1">
      <alignment horizontal="center" vertical="center" wrapText="1"/>
    </xf>
    <xf numFmtId="164" fontId="2" fillId="4" borderId="25" xfId="0" applyNumberFormat="1" applyFont="1" applyFill="1" applyBorder="1" applyAlignment="1">
      <alignment horizontal="center" vertical="center"/>
    </xf>
    <xf numFmtId="14" fontId="35" fillId="0" borderId="25" xfId="0" applyNumberFormat="1" applyFont="1" applyFill="1" applyBorder="1" applyAlignment="1">
      <alignment vertical="center" wrapText="1"/>
    </xf>
    <xf numFmtId="0" fontId="36" fillId="4" borderId="20" xfId="0" applyFont="1" applyFill="1" applyBorder="1" applyAlignment="1">
      <alignment horizontal="center" vertical="center"/>
    </xf>
    <xf numFmtId="14" fontId="36" fillId="4" borderId="20" xfId="0" applyNumberFormat="1" applyFont="1" applyFill="1" applyBorder="1" applyAlignment="1">
      <alignment horizontal="center" vertical="center"/>
    </xf>
    <xf numFmtId="0" fontId="35" fillId="0" borderId="20" xfId="0" applyFont="1" applyFill="1" applyBorder="1" applyAlignment="1">
      <alignment vertical="top" wrapText="1"/>
    </xf>
    <xf numFmtId="0" fontId="36" fillId="4" borderId="20" xfId="0" applyFont="1" applyFill="1" applyBorder="1" applyAlignment="1"/>
    <xf numFmtId="14" fontId="35" fillId="25" borderId="20" xfId="0" applyNumberFormat="1" applyFont="1" applyFill="1" applyBorder="1" applyAlignment="1">
      <alignment horizontal="center" vertical="center" wrapText="1"/>
    </xf>
    <xf numFmtId="0" fontId="36" fillId="4" borderId="20" xfId="0" applyFont="1" applyFill="1" applyBorder="1" applyAlignment="1">
      <alignment horizontal="center" vertical="center" wrapText="1"/>
    </xf>
    <xf numFmtId="14" fontId="36" fillId="4" borderId="21" xfId="0" applyNumberFormat="1" applyFont="1" applyFill="1" applyBorder="1" applyAlignment="1">
      <alignment horizontal="center" vertical="center"/>
    </xf>
    <xf numFmtId="0" fontId="36" fillId="4" borderId="26" xfId="0" applyFont="1" applyFill="1" applyBorder="1" applyAlignment="1">
      <alignment horizontal="center" vertical="center"/>
    </xf>
    <xf numFmtId="0" fontId="36" fillId="4" borderId="25"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4"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ODRIGO DE OLIVEIRA BIANCHINI" refreshedDate="46009.406448842594" refreshedVersion="6" recordCount="259" xr:uid="{00000000-000A-0000-FFFF-FFFF00000000}">
  <cacheSource type="worksheet">
    <worksheetSource ref="A2:P261" sheet="Compras 2025"/>
  </cacheSource>
  <cacheFields count="16">
    <cacheField name="PROCESSO N°" numFmtId="0">
      <sharedItems containsBlank="1" count="203">
        <s v="23.536.933-8"/>
        <s v="23.577.593-0"/>
        <s v="23.432.467-5"/>
        <s v="23.711.290-3"/>
        <s v="23.336.634-0"/>
        <s v="23.356.092-8"/>
        <s v="23.708.709-7"/>
        <s v="23.822.468-3"/>
        <s v="23.750.119-5"/>
        <s v="23.391.860-1"/>
        <s v="23.384.464-0"/>
        <s v="23.427.285-3"/>
        <s v="23.549.843-0"/>
        <s v="23.539.216-0"/>
        <s v="23.726.102-0"/>
        <s v="23.814.144-3"/>
        <s v="23.852.416-4"/>
        <s v="23.759.626-9"/>
        <s v="23.529.878-3"/>
        <s v="23.550.851-6"/>
        <s v="23.590.694-5"/>
        <s v="23.444.059-4"/>
        <s v="23.711.352-7"/>
        <s v="23.678.445-2"/>
        <s v="23.503.010-1"/>
        <s v="23.541.254-3"/>
        <s v="23.581.473-0"/>
        <s v="23.659.354-1"/>
        <s v="23.650.629-0"/>
        <s v="23.642.186-4"/>
        <s v="23.574.455-4"/>
        <s v="23.326.534-9"/>
        <s v="23.468.057-9"/>
        <s v="23.518.554-7"/>
        <s v="23.443.596-5"/>
        <s v="23.510.701-5"/>
        <s v="23.460.149-0"/>
        <s v="23.456.626-1"/>
        <s v="21.027.878-8"/>
        <s v="23.551.931-3"/>
        <s v="23.846.805-1"/>
        <s v="23.820.057-1"/>
        <s v="23.484.170-0"/>
        <s v="23.390.457-0"/>
        <s v="23.934.522-0"/>
        <s v="23.951.184-8"/>
        <s v="23.824.217-7"/>
        <s v="23.887.144-1"/>
        <s v="23.390.499-6"/>
        <s v="23.484.056-8"/>
        <s v="23.496.090-3"/>
        <s v="23.364.790-0"/>
        <s v="23.330.486-7"/>
        <s v="23.573.808-2"/>
        <s v="22.075.189-9"/>
        <s v="21.828.132-0"/>
        <s v="23.828.665-4"/>
        <s v="23.912.341-4"/>
        <s v="23.918.447-2"/>
        <s v="22.403.733-3"/>
        <s v="23.976.044-9"/>
        <s v="23.970.694-0"/>
        <s v="23.985.100-2"/>
        <s v="23.985.963-1"/>
        <s v="23.994.158-3"/>
        <s v="23.901.224-8"/>
        <s v="23.166.542-0"/>
        <s v="23.695.715-2"/>
        <s v="23.841.550-0"/>
        <s v="24.031.360-0"/>
        <s v="24.040.265-3"/>
        <s v="22.683.581-4"/>
        <s v="24.071.567-8"/>
        <s v="22.774.761-7"/>
        <s v="24.016.119-2"/>
        <s v="24.090.039-4"/>
        <s v="23.778.317-4"/>
        <s v="22.415.334-1"/>
        <s v="22.668.212-0"/>
        <s v="22.415.499-2"/>
        <s v="24.097.849-0"/>
        <s v="22.385.321-8"/>
        <s v="23.656.828-8"/>
        <s v="23.766.345-4"/>
        <s v="22.168.566-0"/>
        <s v="24.116.894-8"/>
        <s v="22.488.200-9"/>
        <s v="22.212.489-1"/>
        <s v="22.124.897-0"/>
        <s v="22.443.126-0"/>
        <s v="24.162.789-6"/>
        <s v="24.075.464-9"/>
        <s v="24.172.889-7"/>
        <s v="24.195.717-9"/>
        <s v="24.195.811-6"/>
        <s v="23.885.636-1"/>
        <s v="24.197.585-1"/>
        <s v="24.198.214-9"/>
        <s v="24.202.922-4"/>
        <s v="21.642.557-0"/>
        <s v="24.186.420-0"/>
        <s v="22.720.658-6"/>
        <s v="24.224.903-8"/>
        <s v="24.208.961-8"/>
        <s v="24.266.562-7"/>
        <s v="24.238.205-6"/>
        <s v="24.142.921-0"/>
        <s v="23.912.434-8"/>
        <s v="24.148.117-4"/>
        <s v="24.010.132-7"/>
        <s v="24.290.361-7"/>
        <s v="23.156.142-0"/>
        <s v="24.342.992-7"/>
        <s v="24.342.142-0"/>
        <s v="24.364.066-0"/>
        <s v="24.366.546-9"/>
        <s v="24.377.758-5"/>
        <s v="24.386.238-8"/>
        <s v="24.406.951-7"/>
        <s v="24.426.189-2"/>
        <s v="23.984.183-0"/>
        <s v="23.983.840-5"/>
        <s v="23.983.883-9"/>
        <s v="23.984.538-0"/>
        <s v="23.984.572-0"/>
        <s v="23.984.330-1"/>
        <s v="23.984.498-7"/>
        <s v="24.456.004-0"/>
        <s v="22.822.268-2"/>
        <s v="22.797.404-4"/>
        <s v="24.482.178-2"/>
        <s v="24.487.991-8"/>
        <s v="21.555.888-6"/>
        <s v="24.480.565-5"/>
        <s v="24.510.381-6"/>
        <s v="24.512.327-2"/>
        <s v="24.449.124-3"/>
        <s v="24.520.311-0"/>
        <s v="24.512.556-9"/>
        <s v="24.526.769-0"/>
        <s v="24.528.768-2"/>
        <s v="24.500.870-8"/>
        <s v="24.526.961-7"/>
        <s v="24.565.512-6"/>
        <s v="24.504.198-5"/>
        <s v="24.606.920-4"/>
        <s v="24.081.061-1"/>
        <s v="24.635.628-9"/>
        <s v="24.645.670-4"/>
        <s v="24.650.340-0"/>
        <s v="24.668.410-3"/>
        <s v="24.670.103-2"/>
        <s v="24.700.197-2"/>
        <s v="24.701.131-5"/>
        <s v="24.718.923-8"/>
        <s v="24.676.215-5"/>
        <s v="24.085.766-9"/>
        <s v="24.751.180-6"/>
        <s v="24.671.891-1"/>
        <s v="24.761.161-4"/>
        <s v="24.534.485-6"/>
        <s v="24.784.824-0"/>
        <s v="24.793.353-0"/>
        <s v="24.528.833-6"/>
        <s v="24.797.031-2"/>
        <s v="24.778.347-4"/>
        <s v="24.806.819-1"/>
        <s v="24.807.199-0"/>
        <s v="24.821.547-0"/>
        <s v="24.244.306-3"/>
        <s v="24.803.758-0"/>
        <s v="24.824.547-6"/>
        <s v="24.830.107-4"/>
        <s v="24.854.313-2"/>
        <s v="24.834.503-9"/>
        <s v="24.866.312-0"/>
        <s v="24.872.808-6"/>
        <s v="24.741.978-0"/>
        <s v="24.868.627-8"/>
        <s v="24.869.838-1"/>
        <s v="24.825.878-0"/>
        <s v="24.803.230-8"/>
        <s v="24.910.997-5"/>
        <s v="24.943.160-5"/>
        <s v="23.145.411-0"/>
        <s v="24.879.513-1"/>
        <s v="24.947.637-4"/>
        <s v="24.949.355-4"/>
        <s v="24.837.456-0"/>
        <s v="24.988.558-4"/>
        <s v="24.828.562-1"/>
        <s v="24.991.091-0"/>
        <s v="24.910.383-7"/>
        <s v="25.027.768-7"/>
        <s v="24.819.502-9"/>
        <s v="25.069.470-9"/>
        <s v="24.911.467-7"/>
        <s v="23.983.776-0"/>
        <s v="23.984.297-6"/>
        <s v="24.760.281-0"/>
        <s v="25.097.438-8"/>
        <s v="24.984.760-7"/>
        <m/>
      </sharedItems>
    </cacheField>
    <cacheField name="DESCRIÇÃO" numFmtId="0">
      <sharedItems containsBlank="1"/>
    </cacheField>
    <cacheField name="DATA DE CRIAÇÃO" numFmtId="0">
      <sharedItems containsDate="1" containsString="0" containsBlank="1" containsMixedTypes="1" minDate="2024-01-24T00:00:00" maxDate="1900-01-02T18:30:05"/>
    </cacheField>
    <cacheField name="VALOR PREVISTO" numFmtId="164">
      <sharedItems containsString="0" containsBlank="1" containsNumber="1" minValue="0" maxValue="33480720" count="199">
        <n v="10560"/>
        <n v="1778400"/>
        <n v="531310"/>
        <n v="106123"/>
        <n v="171111.52"/>
        <n v="193026.4"/>
        <n v="85981.41"/>
        <n v="33480720"/>
        <n v="990000"/>
        <n v="50000"/>
        <n v="233.25"/>
        <n v="17473"/>
        <n v="68276.399999999994"/>
        <n v="292600"/>
        <n v="19470"/>
        <n v="57317.760000000002"/>
        <n v="89853.91"/>
        <n v="2375"/>
        <n v="53179.5"/>
        <n v="51776"/>
        <n v="16271.44"/>
        <n v="360551.24"/>
        <n v="1538000"/>
        <n v="434305.84"/>
        <n v="6480"/>
        <n v="25816.46"/>
        <n v="4666"/>
        <n v="192"/>
        <n v="976.92"/>
        <n v="1631.75"/>
        <n v="11757.8"/>
        <n v="7000"/>
        <n v="3078.15"/>
        <n v="1301.9100000000001"/>
        <n v="2862"/>
        <n v="2847.5"/>
        <n v="99500.4"/>
        <n v="2600"/>
        <n v="0"/>
        <n v="110000"/>
        <n v="144046.09"/>
        <n v="113526"/>
        <n v="16234"/>
        <n v="838189.8"/>
        <n v="7960"/>
        <n v="11407"/>
        <n v="196096.08"/>
        <n v="835200"/>
        <n v="4504"/>
        <n v="9904.2000000000007"/>
        <n v="11160"/>
        <n v="152155.20000000001"/>
        <n v="98295.8"/>
        <n v="22453.8"/>
        <n v="75039.399999999994"/>
        <n v="642413"/>
        <n v="147814.9"/>
        <n v="18161.650000000001"/>
        <n v="274500"/>
        <n v="9301.9500000000007"/>
        <n v="8059.06"/>
        <n v="26808"/>
        <n v="69200"/>
        <n v="963.9"/>
        <n v="13750"/>
        <n v="798231"/>
        <n v="121371.5"/>
        <n v="7650"/>
        <n v="820"/>
        <n v="150480"/>
        <n v="73530"/>
        <n v="6793984.1699999999"/>
        <n v="1325"/>
        <n v="40970"/>
        <n v="30802722"/>
        <n v="104850"/>
        <n v="4382364"/>
        <n v="5922423.1200000001"/>
        <n v="29093"/>
        <n v="7879099.6699999999"/>
        <n v="579575.06000000006"/>
        <n v="8432255.9100000001"/>
        <n v="116360.88"/>
        <n v="9744.27"/>
        <n v="1436816.34"/>
        <n v="83360"/>
        <n v="4768676.76"/>
        <n v="2192989.56"/>
        <n v="697746"/>
        <n v="1439800"/>
        <n v="87471"/>
        <n v="255509.8"/>
        <n v="6784"/>
        <n v="2072"/>
        <n v="1050.05"/>
        <n v="1952460.71"/>
        <n v="13311.15"/>
        <n v="18480"/>
        <n v="72642.789999999994"/>
        <n v="113955.01"/>
        <n v="208720"/>
        <n v="465017.4"/>
        <n v="26700"/>
        <n v="1650000"/>
        <n v="1102063"/>
        <n v="89960.16"/>
        <n v="284631.71000000002"/>
        <n v="5340"/>
        <n v="19954.560000000001"/>
        <n v="176179.26"/>
        <n v="323572.09999999998"/>
        <n v="2817"/>
        <n v="44054"/>
        <n v="15880"/>
        <n v="3177"/>
        <n v="4000"/>
        <n v="1641"/>
        <n v="538522.97"/>
        <n v="5600"/>
        <n v="41731.800000000003"/>
        <n v="112916.07"/>
        <n v="86613.78"/>
        <n v="75344.070000000007"/>
        <n v="46447.77"/>
        <n v="73481.55"/>
        <n v="41515.14"/>
        <n v="1361"/>
        <n v="23600"/>
        <n v="21711.599999999999"/>
        <n v="6790"/>
        <n v="9280"/>
        <n v="2503120.12"/>
        <n v="2355"/>
        <n v="3234"/>
        <n v="53404.18"/>
        <n v="1876357.8"/>
        <n v="11200"/>
        <n v="1685780"/>
        <n v="1005957.3"/>
        <n v="29600"/>
        <n v="681597.98"/>
        <n v="60699.75"/>
        <n v="49913.69"/>
        <n v="345421.81"/>
        <n v="97250.5"/>
        <n v="60703.44"/>
        <n v="56473.2"/>
        <n v="30044.77"/>
        <n v="1250"/>
        <n v="761785"/>
        <n v="44696"/>
        <n v="3300000"/>
        <n v="9420"/>
        <n v="37837.58"/>
        <n v="110684.32"/>
        <n v="24981.91"/>
        <n v="153208.04999999999"/>
        <n v="1036731.47"/>
        <n v="2257.85"/>
        <n v="6047.75"/>
        <n v="27034"/>
        <n v="5397.3"/>
        <n v="3013272"/>
        <n v="6972"/>
        <n v="1322.65"/>
        <n v="3965128"/>
        <n v="631439"/>
        <n v="313560"/>
        <n v="135135"/>
        <n v="72462.23"/>
        <n v="134686.03"/>
        <n v="75762.8"/>
        <n v="890968.17"/>
        <n v="493800"/>
        <n v="263904.84000000003"/>
        <n v="56125"/>
        <n v="26490"/>
        <n v="331749.36"/>
        <n v="578034"/>
        <n v="131200"/>
        <n v="92601"/>
        <n v="122700"/>
        <n v="304113.09999999998"/>
        <n v="210000"/>
        <n v="4417765.99"/>
        <n v="49485.94"/>
        <n v="8465785"/>
        <n v="5500"/>
        <n v="397000"/>
        <n v="10256.450000000001"/>
        <n v="325000"/>
        <n v="90250"/>
        <n v="1717.2"/>
        <n v="72820.7"/>
        <n v="72094.899999999994"/>
        <n v="19800"/>
        <n v="558"/>
        <n v="49780"/>
        <m/>
      </sharedItems>
    </cacheField>
    <cacheField name="FONTE DE RECURSO" numFmtId="0">
      <sharedItems containsBlank="1" count="3">
        <s v="CUSTEIO"/>
        <s v="INVESTIMENTO"/>
        <m/>
      </sharedItems>
    </cacheField>
    <cacheField name="MODALIDADE" numFmtId="0">
      <sharedItems containsBlank="1" count="8">
        <s v="Dispensa de Licitação"/>
        <s v="Licitação"/>
        <s v="Inexigibilidade"/>
        <s v="SRP Estadual"/>
        <s v="SRP Estadual (Carona)"/>
        <s v="SRP Federal"/>
        <s v="SRP Federal (Carona)"/>
        <m/>
      </sharedItems>
    </cacheField>
    <cacheField name="DATA DO PREGÃO" numFmtId="0">
      <sharedItems containsNonDate="0" containsDate="1" containsString="0" containsBlank="1" minDate="2024-10-21T00:00:00" maxDate="2026-02-14T00:00:00"/>
    </cacheField>
    <cacheField name="CONTRATO ASSINADO" numFmtId="0">
      <sharedItems containsNonDate="0" containsDate="1" containsString="0" containsBlank="1" minDate="2024-11-22T00:00:00" maxDate="2025-12-11T00:00:00"/>
    </cacheField>
    <cacheField name="EMPENHO ASSINADO" numFmtId="0">
      <sharedItems containsNonDate="0" containsDate="1" containsString="0" containsBlank="1" minDate="2024-12-06T00:00:00" maxDate="2025-12-09T00:00:00"/>
    </cacheField>
    <cacheField name="EMPENHO E CONTRATO ENVIADO AO FORNECEDOR (DATA)" numFmtId="0">
      <sharedItems containsNonDate="0" containsDate="1" containsString="0" containsBlank="1" minDate="2024-12-06T00:00:00" maxDate="2025-12-11T00:00:00"/>
    </cacheField>
    <cacheField name="PRAZO DE ENTREGA (DIAS)" numFmtId="0">
      <sharedItems containsString="0" containsBlank="1" containsNumber="1" containsInteger="1" minValue="0" maxValue="360"/>
    </cacheField>
    <cacheField name="DATA PREV. DE ENTREGA" numFmtId="0">
      <sharedItems containsDate="1" containsMixedTypes="1" minDate="2025-03-06T00:00:00" maxDate="2026-06-09T00:00:00"/>
    </cacheField>
    <cacheField name="COBRADO ENTREGA NO DIA" numFmtId="0">
      <sharedItems containsNonDate="0" containsDate="1" containsString="0" containsBlank="1" minDate="2025-01-25T00:00:00" maxDate="2026-04-16T00:00:00"/>
    </cacheField>
    <cacheField name="MATERIAL ENTREGUE (DATA)" numFmtId="0">
      <sharedItems containsNonDate="0" containsDate="1" containsString="0" containsBlank="1" minDate="2025-02-13T00:00:00" maxDate="2025-11-29T00:00:00" count="66">
        <d v="2025-07-01T00:00:00"/>
        <d v="2025-11-20T00:00:00"/>
        <m/>
        <d v="2025-10-21T00:00:00"/>
        <d v="2025-04-04T00:00:00"/>
        <d v="2025-06-25T00:00:00"/>
        <d v="2025-09-15T00:00:00"/>
        <d v="2025-07-29T00:00:00"/>
        <d v="2025-07-08T00:00:00"/>
        <d v="2025-07-24T00:00:00"/>
        <d v="2025-08-18T00:00:00"/>
        <d v="2025-05-22T00:00:00"/>
        <d v="2025-06-16T00:00:00"/>
        <d v="2025-05-27T00:00:00"/>
        <d v="2025-04-14T00:00:00"/>
        <d v="2025-09-10T00:00:00"/>
        <d v="2025-03-28T00:00:00"/>
        <d v="2025-04-28T00:00:00"/>
        <d v="2025-04-25T00:00:00"/>
        <d v="2025-05-26T00:00:00"/>
        <d v="2025-02-13T00:00:00"/>
        <d v="2025-03-14T00:00:00"/>
        <d v="2025-03-21T00:00:00"/>
        <d v="2025-03-12T00:00:00"/>
        <d v="2025-03-26T00:00:00"/>
        <d v="2025-07-09T00:00:00"/>
        <d v="2025-08-01T00:00:00"/>
        <d v="2025-05-28T00:00:00"/>
        <d v="2025-09-05T00:00:00"/>
        <d v="2025-06-27T00:00:00"/>
        <d v="2025-06-30T00:00:00"/>
        <d v="2025-03-20T00:00:00"/>
        <d v="2025-04-10T00:00:00"/>
        <d v="2025-09-01T00:00:00"/>
        <d v="2025-06-02T00:00:00"/>
        <d v="2025-10-07T00:00:00"/>
        <d v="2025-08-15T00:00:00"/>
        <d v="2025-06-24T00:00:00"/>
        <d v="2025-07-15T00:00:00"/>
        <d v="2025-11-06T00:00:00"/>
        <d v="2025-07-14T00:00:00"/>
        <d v="2025-09-25T00:00:00"/>
        <d v="2025-10-20T00:00:00"/>
        <d v="2025-07-02T00:00:00"/>
        <d v="2025-11-03T00:00:00"/>
        <d v="2025-10-09T00:00:00"/>
        <d v="2025-09-18T00:00:00"/>
        <d v="2025-09-29T00:00:00"/>
        <d v="2025-06-12T00:00:00"/>
        <d v="2025-09-16T00:00:00"/>
        <d v="2025-07-21T00:00:00"/>
        <d v="2025-08-19T00:00:00"/>
        <d v="2025-07-25T00:00:00"/>
        <d v="2025-10-10T00:00:00"/>
        <d v="2025-11-11T00:00:00"/>
        <d v="2025-08-14T00:00:00"/>
        <d v="2025-11-28T00:00:00"/>
        <d v="2025-09-17T00:00:00"/>
        <d v="2025-02-18T00:00:00"/>
        <d v="2025-10-02T00:00:00"/>
        <d v="2025-11-25T00:00:00"/>
        <d v="2025-10-06T00:00:00"/>
        <d v="2025-10-26T00:00:00"/>
        <d v="2025-11-04T00:00:00"/>
        <d v="2025-11-26T00:00:00"/>
        <d v="2025-10-28T00:00:00"/>
      </sharedItems>
    </cacheField>
    <cacheField name="SITUAÇÃO" numFmtId="0">
      <sharedItems containsBlank="1" count="4">
        <s v="FINALIZADO"/>
        <s v="TRAMITANDO"/>
        <s v="ARQUIVADO"/>
        <m/>
      </sharedItems>
    </cacheField>
    <cacheField name="OBSERVAÇÃ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9">
  <r>
    <x v="0"/>
    <s v="Dispensa de menor valor - Dispensa de contratação de prestação de serviço de Dosimetria, para atender a UETC Tarumã da Polícia Científica do Paraná"/>
    <d v="2025-02-27T00:00:00"/>
    <x v="0"/>
    <x v="0"/>
    <x v="0"/>
    <m/>
    <d v="2025-07-01T00:00:00"/>
    <d v="2025-07-10T00:00:00"/>
    <d v="2025-07-14T00:00:00"/>
    <n v="30"/>
    <d v="2025-08-13T00:00:00"/>
    <m/>
    <x v="0"/>
    <x v="0"/>
    <m/>
  </r>
  <r>
    <x v="1"/>
    <s v="Contratação de Serviço de empresa especializada em lavagem de roupa hospitalar - Lavanderia"/>
    <d v="2025-02-26T00:00:00"/>
    <x v="1"/>
    <x v="0"/>
    <x v="1"/>
    <d v="2025-08-06T00:00:00"/>
    <d v="2025-10-02T00:00:00"/>
    <d v="2025-10-21T00:00:00"/>
    <d v="2025-10-21T00:00:00"/>
    <n v="30"/>
    <d v="2025-11-20T00:00:00"/>
    <m/>
    <x v="1"/>
    <x v="0"/>
    <m/>
  </r>
  <r>
    <x v="2"/>
    <s v="[Verba Parlamentar Moro] Aquisição de Pipetador Automático para preparo de placas para a SGMF"/>
    <d v="2025-03-18T00:00:00"/>
    <x v="2"/>
    <x v="0"/>
    <x v="2"/>
    <m/>
    <m/>
    <m/>
    <m/>
    <n v="30"/>
    <s v=""/>
    <m/>
    <x v="2"/>
    <x v="1"/>
    <m/>
  </r>
  <r>
    <x v="3"/>
    <s v="Dispensa de Licitação - Aquisição de Maleta de Perícia tipo 02, para atender as necessidades da Polícia Científica do Paraná, através do Convênio Federal No 936068/2022, No Processo: 08020002865202206"/>
    <d v="2025-04-03T00:00:00"/>
    <x v="3"/>
    <x v="1"/>
    <x v="0"/>
    <m/>
    <d v="2025-09-03T00:00:00"/>
    <d v="2025-09-22T00:00:00"/>
    <d v="2025-09-23T00:00:00"/>
    <n v="90"/>
    <d v="2025-12-22T00:00:00"/>
    <d v="2025-12-01T00:00:00"/>
    <x v="2"/>
    <x v="1"/>
    <m/>
  </r>
  <r>
    <x v="4"/>
    <s v="Contratação do serviço de ampliação da rede de gases especiais visando a instalação de novos equipamentos laboratoriais na UETC Curitiba - Tarumã"/>
    <d v="2025-01-17T00:00:00"/>
    <x v="4"/>
    <x v="0"/>
    <x v="1"/>
    <m/>
    <d v="2025-09-17T00:00:00"/>
    <d v="2025-10-07T00:00:00"/>
    <d v="2025-10-06T00:00:00"/>
    <n v="15"/>
    <d v="2025-10-21T00:00:00"/>
    <m/>
    <x v="3"/>
    <x v="0"/>
    <m/>
  </r>
  <r>
    <x v="5"/>
    <s v="Aquisição de “Kits de Controle de Acesso”, para atender a demanda da Divisão de Custódia de Vestígios da Polícia Científica do Paraná"/>
    <d v="2025-01-21T00:00:00"/>
    <x v="5"/>
    <x v="1"/>
    <x v="1"/>
    <m/>
    <m/>
    <m/>
    <m/>
    <n v="30"/>
    <s v=""/>
    <m/>
    <x v="2"/>
    <x v="1"/>
    <m/>
  </r>
  <r>
    <x v="6"/>
    <s v="Solicita abertura para aquisição de 60 Purificadores de água e refil de filtro, a fim de atender as demandas da Polícia Científica do Paraná."/>
    <d v="2025-04-04T00:00:00"/>
    <x v="6"/>
    <x v="1"/>
    <x v="1"/>
    <m/>
    <m/>
    <m/>
    <m/>
    <n v="30"/>
    <s v=""/>
    <m/>
    <x v="2"/>
    <x v="1"/>
    <m/>
  </r>
  <r>
    <x v="7"/>
    <s v="Contratação de empresa especializada na prestação de serviços de locação de veículos adaptados para transporte de cadáveres (COTRANS) - o protocolo que correu o processo licitatório, 22.469.724-4, foi arquivado na SEAP."/>
    <d v="2025-04-16T00:00:00"/>
    <x v="7"/>
    <x v="0"/>
    <x v="1"/>
    <d v="2025-02-14T00:00:00"/>
    <d v="2025-06-12T00:00:00"/>
    <d v="2025-07-30T00:00:00"/>
    <d v="2025-06-13T00:00:00"/>
    <n v="60"/>
    <d v="2025-08-12T00:00:00"/>
    <m/>
    <x v="2"/>
    <x v="1"/>
    <m/>
  </r>
  <r>
    <x v="8"/>
    <s v="SEDCA Aquisição de uma Plataforma de Processamento Rápido de DNA"/>
    <d v="2025-03-31T00:00:00"/>
    <x v="8"/>
    <x v="1"/>
    <x v="2"/>
    <m/>
    <d v="2025-12-08T00:00:00"/>
    <m/>
    <m/>
    <n v="30"/>
    <s v=""/>
    <m/>
    <x v="2"/>
    <x v="1"/>
    <s v="25/06/2025 - Enviado ao SESP/NFS/OR para emissão das informações financeiras"/>
  </r>
  <r>
    <x v="9"/>
    <s v="SRP Coffee Break - Aquisição através do Registro de Preço do PE 494/2023, na modalidade PARTICIPANTE, de Serviço de Coffee Break para atender as necessidades da Unidade de Execução Técnico-Científica de Curitiba da Polícia Científica do Paraná. VALIDADE D"/>
    <d v="2025-01-29T00:00:00"/>
    <x v="9"/>
    <x v="0"/>
    <x v="3"/>
    <d v="2025-10-16T00:00:00"/>
    <d v="2025-03-17T00:00:00"/>
    <d v="2025-04-01T00:00:00"/>
    <d v="2025-04-09T00:00:00"/>
    <n v="360"/>
    <d v="2026-04-04T00:00:00"/>
    <m/>
    <x v="4"/>
    <x v="0"/>
    <m/>
  </r>
  <r>
    <x v="10"/>
    <s v="AQUISIÇÃO DE SOLUÇÕES TAMPÃO E KCl, VIA PREGÃO ELETRÔNICO 851/2023 LOTES 01, 02 e 03, VALIDADE DA ATA: 19/02/2025, NA MODALIDADE PARTICIPANTE, PARA SUPRIR A DEMANDA DOS LABORATÓRIOS FORENSES DA POLÍCIA CIENTÍFICA DO PARANÁ."/>
    <d v="2025-01-31T00:00:00"/>
    <x v="10"/>
    <x v="0"/>
    <x v="3"/>
    <m/>
    <m/>
    <m/>
    <m/>
    <m/>
    <s v=""/>
    <m/>
    <x v="2"/>
    <x v="2"/>
    <m/>
  </r>
  <r>
    <x v="11"/>
    <s v="SRP Máscara e Avental Descartável - Aquisição através do Registro de Preço do PE 706/2024, na modalidade PARTICIPANTE, de Máscara e Avental Descartável para atender as necessidades das unidades da Polícia Científica do Paraná."/>
    <d v="2025-02-10T00:00:00"/>
    <x v="11"/>
    <x v="0"/>
    <x v="3"/>
    <d v="2026-01-22T00:00:00"/>
    <m/>
    <d v="2025-02-14T00:00:00"/>
    <d v="2025-05-09T00:00:00"/>
    <n v="30"/>
    <d v="2025-06-08T00:00:00"/>
    <d v="2025-05-28T00:00:00"/>
    <x v="5"/>
    <x v="0"/>
    <m/>
  </r>
  <r>
    <x v="12"/>
    <s v="SRP Insumos de Laboratórios - Aquisição através do Registro de Preço do PE 163/2023, na modalidade PARTICIPANTE de Insumos de Laboratórios para atender as unidades da Polícia Científica do Paraná. VALIDADE DA ATA: 17/02/2026"/>
    <d v="2025-02-24T00:00:00"/>
    <x v="12"/>
    <x v="0"/>
    <x v="3"/>
    <m/>
    <m/>
    <d v="2025-05-29T00:00:00"/>
    <d v="2025-06-04T00:00:00"/>
    <n v="15"/>
    <d v="2025-06-19T00:00:00"/>
    <d v="2025-09-10T00:00:00"/>
    <x v="6"/>
    <x v="0"/>
    <m/>
  </r>
  <r>
    <x v="13"/>
    <s v="Aquisição de Câmaras Frias pelo SRP no 1388/2024. 7 Unidades: 1 Seção Ambiental, 1 Telêmaco Borba, 3 Toledo, 1 Maringá e 1 Paranaguá"/>
    <d v="2025-03-19T00:00:00"/>
    <x v="13"/>
    <x v="1"/>
    <x v="3"/>
    <m/>
    <m/>
    <d v="2025-05-23T00:00:00"/>
    <d v="2025-05-15T00:00:00"/>
    <n v="45"/>
    <d v="2025-06-29T00:00:00"/>
    <d v="2025-07-24T00:00:00"/>
    <x v="7"/>
    <x v="0"/>
    <s v="29/07/2025 - Ja entregue Telemaco Borba, Segundo Beatriz"/>
  </r>
  <r>
    <x v="14"/>
    <s v="SRP Papel Sulfite A4 - Aquisição através do Registro de Preço do PE 33/2024, na modalidade PARTICIPANTE, de Papel Sulfite A4 para atender as necessidades das unidades da Polícia Científica do Paraná."/>
    <d v="2025-03-27T00:00:00"/>
    <x v="14"/>
    <x v="0"/>
    <x v="3"/>
    <m/>
    <m/>
    <d v="2025-04-28T00:00:00"/>
    <d v="2025-06-18T00:00:00"/>
    <n v="30"/>
    <d v="2025-07-18T00:00:00"/>
    <m/>
    <x v="8"/>
    <x v="0"/>
    <m/>
  </r>
  <r>
    <x v="15"/>
    <s v="SRP Almoxarife - Contratação através do Registro de Preço do PE 1934/2024, na modalidade PARTICIPANTE, de Posto, Almoxarife, 40 horas semanais, De segunda a sexta para atender as necessidades do Almoxarifado Central da Polícia Científica do Paraná."/>
    <d v="2025-04-15T00:00:00"/>
    <x v="15"/>
    <x v="0"/>
    <x v="3"/>
    <m/>
    <m/>
    <m/>
    <m/>
    <m/>
    <s v=""/>
    <m/>
    <x v="2"/>
    <x v="2"/>
    <m/>
  </r>
  <r>
    <x v="16"/>
    <s v="SRP Água Mineral - Aquisição através do Registro de Preço do PE 1089/2024 na modalidade PARTICIPANTE, de Água Mineral para atender as necessidades das unidades da Polícia Científica do Paraná. VALIDADE DA ATA: 07/04/2026"/>
    <d v="2025-04-16T00:00:00"/>
    <x v="16"/>
    <x v="0"/>
    <x v="3"/>
    <m/>
    <m/>
    <d v="2025-07-02T00:00:00"/>
    <d v="2025-07-14T00:00:00"/>
    <n v="10"/>
    <d v="2025-07-24T00:00:00"/>
    <m/>
    <x v="9"/>
    <x v="0"/>
    <m/>
  </r>
  <r>
    <x v="17"/>
    <s v="Adesão em ATA DE REGISTRO DE PREÇO da PCP-SC, para aquisição de álcool metílico, álcool isopropílico e luminol."/>
    <d v="2025-04-08T00:00:00"/>
    <x v="17"/>
    <x v="0"/>
    <x v="4"/>
    <m/>
    <d v="2025-07-14T00:00:00"/>
    <d v="2025-08-14T00:00:00"/>
    <d v="2025-07-14T00:00:00"/>
    <n v="60"/>
    <d v="2025-09-12T00:00:00"/>
    <d v="2025-08-21T00:00:00"/>
    <x v="10"/>
    <x v="0"/>
    <m/>
  </r>
  <r>
    <x v="18"/>
    <s v="Trata-se de abertura de dispensa de licitação para aquisição de embalagem simples."/>
    <d v="2025-02-25T00:00:00"/>
    <x v="18"/>
    <x v="0"/>
    <x v="0"/>
    <m/>
    <m/>
    <d v="2025-04-30T00:00:00"/>
    <d v="2025-05-07T00:00:00"/>
    <n v="30"/>
    <d v="2025-06-06T00:00:00"/>
    <m/>
    <x v="11"/>
    <x v="0"/>
    <m/>
  </r>
  <r>
    <x v="19"/>
    <s v="dispensa eletrônica de licitação para aquisição de insumos para a realização de exames de identificação veicular, Em Aço Rápido; lixa, graxa, removedor de esmalte (acetona) estopa"/>
    <d v="2025-02-27T00:00:00"/>
    <x v="19"/>
    <x v="0"/>
    <x v="0"/>
    <m/>
    <m/>
    <d v="2025-05-15T00:00:00"/>
    <d v="2025-05-19T00:00:00"/>
    <n v="30"/>
    <d v="2025-06-18T00:00:00"/>
    <m/>
    <x v="12"/>
    <x v="0"/>
    <m/>
  </r>
  <r>
    <x v="20"/>
    <s v="dispensa eletrônica de processo licitatório, de Artigos de Higiene Pessoal - Sabonete Líquido"/>
    <d v="2025-03-06T00:00:00"/>
    <x v="20"/>
    <x v="0"/>
    <x v="0"/>
    <m/>
    <m/>
    <d v="2025-05-09T00:00:00"/>
    <d v="2025-05-15T00:00:00"/>
    <n v="30"/>
    <d v="2025-06-14T00:00:00"/>
    <m/>
    <x v="13"/>
    <x v="0"/>
    <m/>
  </r>
  <r>
    <x v="21"/>
    <s v="[Verba Parlamentar - Moro] - Aquisição de Insumos para o Analisador Genético 3500"/>
    <d v="2025-02-04T00:00:00"/>
    <x v="21"/>
    <x v="0"/>
    <x v="2"/>
    <m/>
    <m/>
    <m/>
    <m/>
    <m/>
    <s v=""/>
    <m/>
    <x v="2"/>
    <x v="1"/>
    <m/>
  </r>
  <r>
    <x v="22"/>
    <s v="[Verba Parlamentar - Moro] - Aquisição Sequenciador com Sistema de Eletroforese capilar"/>
    <d v="2025-03-25T00:00:00"/>
    <x v="22"/>
    <x v="0"/>
    <x v="2"/>
    <m/>
    <m/>
    <m/>
    <m/>
    <n v="90"/>
    <s v=""/>
    <m/>
    <x v="2"/>
    <x v="1"/>
    <m/>
  </r>
  <r>
    <x v="23"/>
    <s v="[Emenda Parlamentar - Sérgio Moro] Aquisição de um moinho moedor de ossos"/>
    <d v="2025-03-18T00:00:00"/>
    <x v="23"/>
    <x v="0"/>
    <x v="2"/>
    <m/>
    <m/>
    <m/>
    <m/>
    <n v="90"/>
    <s v=""/>
    <m/>
    <x v="2"/>
    <x v="1"/>
    <m/>
  </r>
  <r>
    <x v="24"/>
    <s v="SRP CAIXA VAZADA - AQUISIÇÃO ATRAVÉS DO REGISTRO DE PREÇO DO PE 979/2023, NA MODALIDADE PARTICIPANTE, DE CAIXA VAZADA, COR: AZUL, CAPACIDADE: 49 LITROS"/>
    <d v="2025-02-14T00:00:00"/>
    <x v="24"/>
    <x v="0"/>
    <x v="3"/>
    <d v="2025-12-12T00:00:00"/>
    <m/>
    <d v="2025-02-21T00:00:00"/>
    <d v="2025-02-27T00:00:00"/>
    <n v="30"/>
    <d v="2025-03-29T00:00:00"/>
    <m/>
    <x v="14"/>
    <x v="0"/>
    <m/>
  </r>
  <r>
    <x v="25"/>
    <s v="SRP Reagentes Químicos - Aquisição através do Registro de Preço do PE 975/2023, na modalidade PARTICIPANTE de Reagentes Químicos para atender as unidades da Polícia Científica do Paraná. VALIDADE DA ATA: 28/05/2025"/>
    <d v="2025-02-24T00:00:00"/>
    <x v="25"/>
    <x v="0"/>
    <x v="3"/>
    <m/>
    <m/>
    <d v="2025-03-05T00:00:00"/>
    <d v="2025-03-17T00:00:00"/>
    <n v="30"/>
    <d v="2025-04-16T00:00:00"/>
    <d v="2025-07-23T00:00:00"/>
    <x v="15"/>
    <x v="0"/>
    <m/>
  </r>
  <r>
    <x v="26"/>
    <s v="SRP Bandeiras - Aquisição através do Registro de Preço do PE 449/2023, na modalidade PARTICIPANTE, de Bandeiras para atender as necessidades das unidades da Polícia Científica do Paraná."/>
    <d v="2025-03-01T00:00:00"/>
    <x v="26"/>
    <x v="0"/>
    <x v="3"/>
    <d v="2026-02-13T00:00:00"/>
    <m/>
    <d v="2025-03-13T00:00:00"/>
    <d v="2025-03-17T00:00:00"/>
    <n v="30"/>
    <d v="2025-04-16T00:00:00"/>
    <m/>
    <x v="16"/>
    <x v="0"/>
    <m/>
  </r>
  <r>
    <x v="27"/>
    <s v="SRP Envelope, TIPO: Saco, COR: Branca - Aquisição através do Registro de Preço do PE 25/2023, na modalidade PARTICIPANTE, de Envelope, TIPO: Saco, COR: Branca para atender as necessidades das unidades da Polícia Científica do Paraná."/>
    <d v="2025-03-17T00:00:00"/>
    <x v="27"/>
    <x v="0"/>
    <x v="3"/>
    <d v="2025-12-16T00:00:00"/>
    <m/>
    <d v="2025-03-21T00:00:00"/>
    <d v="2025-03-24T00:00:00"/>
    <n v="30"/>
    <d v="2025-04-23T00:00:00"/>
    <m/>
    <x v="17"/>
    <x v="0"/>
    <m/>
  </r>
  <r>
    <x v="28"/>
    <s v="SRP Caneta Esferográfica - Aquisição através do Registro de Preço do PE 28/2023, na modalidade PARTICIPANTE, de Caneta Esferográfica para atender as necessidades das unidades da Polícia Científica do Paraná."/>
    <d v="2025-03-13T00:00:00"/>
    <x v="28"/>
    <x v="0"/>
    <x v="3"/>
    <m/>
    <m/>
    <d v="2025-03-20T00:00:00"/>
    <d v="2025-03-24T00:00:00"/>
    <n v="30"/>
    <d v="2025-04-23T00:00:00"/>
    <m/>
    <x v="18"/>
    <x v="0"/>
    <m/>
  </r>
  <r>
    <x v="29"/>
    <s v="SRP Sabão em Pó, Limpa Vidros e Lustra Móveis - Aquisição através do Registro de Preço do PE 113/2024, na modalidade PARTICIPANTE, de Sabão em Pó, Limpa Vidros e Lustra Móveis"/>
    <d v="2025-03-12T00:00:00"/>
    <x v="29"/>
    <x v="0"/>
    <x v="3"/>
    <m/>
    <m/>
    <d v="2025-03-24T00:00:00"/>
    <d v="2025-04-01T00:00:00"/>
    <n v="30"/>
    <d v="2025-05-01T00:00:00"/>
    <m/>
    <x v="19"/>
    <x v="0"/>
    <m/>
  </r>
  <r>
    <x v="30"/>
    <s v="SRP Materiais Diversos para Laboratório - Aquisição através do Registro de Preço do PE 747/2023, na modalidade PARTICIPANTE, de Materiais Diversos para Laboratório para atender as necessidades das unidades da Polícia Científica do Paraná."/>
    <d v="2025-02-28T00:00:00"/>
    <x v="30"/>
    <x v="0"/>
    <x v="3"/>
    <m/>
    <m/>
    <d v="2025-03-13T00:00:00"/>
    <d v="2025-04-23T00:00:00"/>
    <n v="30"/>
    <d v="2025-05-23T00:00:00"/>
    <d v="2025-06-26T00:00:00"/>
    <x v="0"/>
    <x v="0"/>
    <m/>
  </r>
  <r>
    <x v="31"/>
    <s v="SRP CARONA - Adesão de Aquisição através do Registro de Preço do PE 185/2024, de aquisição de Seringa, Descartável, Estéril, 20ml (sem agulha"/>
    <d v="2025-01-16T00:00:00"/>
    <x v="31"/>
    <x v="0"/>
    <x v="4"/>
    <d v="2025-12-15T00:00:00"/>
    <m/>
    <d v="2025-01-29T00:00:00"/>
    <d v="2025-02-04T00:00:00"/>
    <n v="30"/>
    <d v="2025-03-06T00:00:00"/>
    <m/>
    <x v="20"/>
    <x v="0"/>
    <m/>
  </r>
  <r>
    <x v="32"/>
    <s v="SRP Água Sanitária e Desodorizador de Ambiente - Aquisição através do Registro de Preço do PE 112/2024, na modalidade PARTICIPANTE, de Água Sanitária e Desodorizador de Ambiente para atender as necessidades das unidades da Polícia Científica do Paraná. VA"/>
    <d v="2025-02-10T00:00:00"/>
    <x v="32"/>
    <x v="0"/>
    <x v="3"/>
    <d v="2026-02-02T00:00:00"/>
    <m/>
    <d v="2025-02-14T00:00:00"/>
    <d v="2025-03-06T00:00:00"/>
    <n v="30"/>
    <d v="2025-04-05T00:00:00"/>
    <m/>
    <x v="21"/>
    <x v="0"/>
    <m/>
  </r>
  <r>
    <x v="33"/>
    <s v="SRP Material de Limpeza - Grupo I - Aquisição através do Registro de Preço do PE 1026/2023, na modalidade PARTICIPANTE de Material de Limpeza - Grupo I - Escova, Pá, desentupidor . VALIDADE DA ATA: 09/10/2025"/>
    <d v="2025-02-17T00:00:00"/>
    <x v="33"/>
    <x v="0"/>
    <x v="3"/>
    <d v="2025-10-09T00:00:00"/>
    <m/>
    <d v="2025-02-19T00:00:00"/>
    <d v="2025-03-07T00:00:00"/>
    <n v="30"/>
    <d v="2025-04-06T00:00:00"/>
    <m/>
    <x v="22"/>
    <x v="0"/>
    <m/>
  </r>
  <r>
    <x v="34"/>
    <s v="SRP Caixa Arquivo - Aquisição através do Registro de Preço do PE 27/2023, na modalidade PARTICIPANTE, de Caixa Arquivo para atender as necessidades das unidades da Polícia Científica do Paraná. VALIDADE DA ATA: 27/02/2025"/>
    <d v="2025-02-04T00:00:00"/>
    <x v="34"/>
    <x v="0"/>
    <x v="3"/>
    <d v="2025-02-27T00:00:00"/>
    <m/>
    <d v="2025-02-12T00:00:00"/>
    <d v="2025-02-20T00:00:00"/>
    <n v="30"/>
    <d v="2025-03-22T00:00:00"/>
    <m/>
    <x v="23"/>
    <x v="0"/>
    <m/>
  </r>
  <r>
    <x v="35"/>
    <s v="SRP Garrafa Térmica - Aquisição através do Registro de Preço do PE 366/2023, na modalidade PARTICIPANTE de Garrafa Térmica 1,8 Litros para atender as unidades da Polícia Científica do Paraná. VALIDADE DA ATA: 01/09/2025"/>
    <d v="2025-02-17T00:00:00"/>
    <x v="35"/>
    <x v="0"/>
    <x v="3"/>
    <d v="2025-09-01T00:00:00"/>
    <m/>
    <d v="2025-02-28T00:00:00"/>
    <d v="2025-03-06T00:00:00"/>
    <n v="30"/>
    <d v="2025-04-05T00:00:00"/>
    <m/>
    <x v="22"/>
    <x v="0"/>
    <m/>
  </r>
  <r>
    <x v="36"/>
    <s v="SRP Luva Nitrílica - Aquisição através do Registro de Preço do PE 747/2023, na modalidade PARTICIPANTE, de Luva Nitrílica para atender as necessidades das unidades da Polícia Científica do Paraná. VALIDADE DA ATA: 29/04/2025"/>
    <d v="2025-02-07T00:00:00"/>
    <x v="36"/>
    <x v="0"/>
    <x v="3"/>
    <d v="2025-04-29T00:00:00"/>
    <m/>
    <d v="2025-02-13T00:00:00"/>
    <d v="2025-03-13T00:00:00"/>
    <n v="30"/>
    <d v="2025-04-12T00:00:00"/>
    <m/>
    <x v="24"/>
    <x v="0"/>
    <m/>
  </r>
  <r>
    <x v="37"/>
    <s v="Solicitação de compra por dispensa de licitação de envelopes cartão."/>
    <d v="2025-03-19T00:00:00"/>
    <x v="37"/>
    <x v="0"/>
    <x v="0"/>
    <m/>
    <m/>
    <d v="2025-06-10T00:00:00"/>
    <d v="2025-06-16T00:00:00"/>
    <n v="30"/>
    <d v="2025-07-16T00:00:00"/>
    <m/>
    <x v="25"/>
    <x v="0"/>
    <m/>
  </r>
  <r>
    <x v="38"/>
    <s v="Certame | PEI90968-23 | Análise docs complementares (30/01/25) | COLETES BALÍSTICOS VIA SRP - SESP"/>
    <d v="2025-01-30T00:00:00"/>
    <x v="38"/>
    <x v="1"/>
    <x v="3"/>
    <m/>
    <m/>
    <m/>
    <m/>
    <m/>
    <s v=""/>
    <m/>
    <x v="2"/>
    <x v="1"/>
    <m/>
  </r>
  <r>
    <x v="39"/>
    <s v="Processo de inexigibilidade para a aquisição de 200 (duzentas) inscrições para o congresso Interforensics"/>
    <d v="2025-03-11T00:00:00"/>
    <x v="39"/>
    <x v="0"/>
    <x v="2"/>
    <m/>
    <d v="2025-07-30T00:00:00"/>
    <d v="2025-08-08T00:00:00"/>
    <d v="2025-07-31T00:00:00"/>
    <n v="30"/>
    <d v="2025-08-30T00:00:00"/>
    <m/>
    <x v="26"/>
    <x v="0"/>
    <m/>
  </r>
  <r>
    <x v="40"/>
    <s v="Solicitação para abertura de processo licitatório para manutenção preventiva e corretiva de dois Espectrômetros Raman da Seção de Química Forense da Polícia Científica do Paraná."/>
    <d v="2025-04-16T00:00:00"/>
    <x v="40"/>
    <x v="0"/>
    <x v="1"/>
    <m/>
    <m/>
    <m/>
    <m/>
    <m/>
    <s v=""/>
    <m/>
    <x v="2"/>
    <x v="1"/>
    <m/>
  </r>
  <r>
    <x v="41"/>
    <s v="[Emenda Parlamentar Senador Sérgio Moro] Aquisição de Kits reagentes de extração de DNA forense automatizado BTA, validados e compatíveis com plataformas automatizadas Hamilton de extração de DNA, visando atender às demandas do Laboratório de Genética Mol"/>
    <d v="2025-04-24T00:00:00"/>
    <x v="41"/>
    <x v="0"/>
    <x v="2"/>
    <m/>
    <d v="2025-09-17T00:00:00"/>
    <d v="2025-10-08T00:00:00"/>
    <d v="2025-10-08T00:00:00"/>
    <n v="30"/>
    <d v="2025-11-07T00:00:00"/>
    <m/>
    <x v="2"/>
    <x v="1"/>
    <m/>
  </r>
  <r>
    <x v="42"/>
    <s v="SRP - Cordão personalizado e porta crachá - Aquisição através do Registro de Preço do PE 334/2023, na modalidade CARONA, de Cordão personalizado e porta crachá para atender as necessidades das unidades da Polícia Científica do Paraná. VALIDADE DA ATA 03/0"/>
    <d v="2025-02-13T00:00:00"/>
    <x v="42"/>
    <x v="0"/>
    <x v="4"/>
    <m/>
    <m/>
    <d v="2025-05-14T00:00:00"/>
    <d v="2025-04-30T00:00:00"/>
    <n v="30"/>
    <d v="2025-05-30T00:00:00"/>
    <m/>
    <x v="27"/>
    <x v="0"/>
    <m/>
  </r>
  <r>
    <x v="43"/>
    <s v="Cartão FTA para a Polícia Científica do Paraná. Certame| PE 90224-25 | Seleção de fornecedores 2. Prot. 24.213.141-0 - Homologação Parcial - 158 pacotes com 100 unidades (R$347.600,00)"/>
    <d v="2025-02-03T00:00:00"/>
    <x v="43"/>
    <x v="0"/>
    <x v="1"/>
    <d v="2025-06-18T00:00:00"/>
    <d v="2025-09-22T00:00:00"/>
    <d v="2025-10-07T00:00:00"/>
    <d v="2025-10-08T00:00:00"/>
    <n v="60"/>
    <d v="2025-12-07T00:00:00"/>
    <d v="2025-11-26T00:00:00"/>
    <x v="2"/>
    <x v="1"/>
    <s v="2. Prot. 24.213.141-0 - Homologação Parcial - 158 pacotes com 100 unidades (R$347.600,00)"/>
  </r>
  <r>
    <x v="44"/>
    <s v="Dispensa eletrônica de Lâmina de Serra Sabre"/>
    <d v="2025-05-05T00:00:00"/>
    <x v="44"/>
    <x v="0"/>
    <x v="0"/>
    <d v="2025-06-11T00:00:00"/>
    <m/>
    <d v="2025-07-23T00:00:00"/>
    <d v="2025-07-24T00:00:00"/>
    <n v="30"/>
    <d v="2025-08-23T00:00:00"/>
    <d v="2025-09-04T00:00:00"/>
    <x v="28"/>
    <x v="0"/>
    <m/>
  </r>
  <r>
    <x v="45"/>
    <s v="SRP - Copo Descartável - Aquisição através do Registro de Preço do PE 1036/2024, na modalidade CARONA, de Copo Descartável para atender as necessidades das unidades da Polícia Científica do Paraná. VALIDADE DA ATA 05/11/2025"/>
    <d v="2025-05-08T00:00:00"/>
    <x v="45"/>
    <x v="0"/>
    <x v="4"/>
    <d v="2025-11-05T00:00:00"/>
    <m/>
    <d v="2025-06-18T00:00:00"/>
    <d v="2025-06-24T00:00:00"/>
    <n v="30"/>
    <d v="2025-07-24T00:00:00"/>
    <m/>
    <x v="29"/>
    <x v="0"/>
    <m/>
  </r>
  <r>
    <x v="46"/>
    <s v="Contrato de manutenção corretiva e preventiva do equipamento IDStarlet da marca HAMILTON, por meio da Ata de Registro de Preços no 04/2024/SENASP, da qual a Polícia Científica do Paraná é participante."/>
    <d v="2025-04-11T00:00:00"/>
    <x v="46"/>
    <x v="0"/>
    <x v="5"/>
    <m/>
    <m/>
    <m/>
    <m/>
    <m/>
    <s v=""/>
    <m/>
    <x v="2"/>
    <x v="2"/>
    <m/>
  </r>
  <r>
    <x v="47"/>
    <s v="Solicita-se a aquisição de freezers científicos, por meio da ARP 15/2025 (SENASP)."/>
    <d v="2025-04-30T00:00:00"/>
    <x v="47"/>
    <x v="1"/>
    <x v="5"/>
    <m/>
    <d v="2025-08-14T00:00:00"/>
    <d v="2025-09-02T00:00:00"/>
    <d v="2025-09-02T00:00:00"/>
    <n v="180"/>
    <d v="2026-03-01T00:00:00"/>
    <d v="2026-01-28T00:00:00"/>
    <x v="2"/>
    <x v="1"/>
    <m/>
  </r>
  <r>
    <x v="48"/>
    <s v="Aquisição via dispensa de processo licitatório na forma eletrônica de Água Sanitária para atende a demanda da Polícia Científica do Paraná."/>
    <d v="2025-01-28T00:00:00"/>
    <x v="48"/>
    <x v="0"/>
    <x v="0"/>
    <m/>
    <m/>
    <m/>
    <m/>
    <m/>
    <s v=""/>
    <m/>
    <x v="2"/>
    <x v="2"/>
    <m/>
  </r>
  <r>
    <x v="49"/>
    <s v="Solicita a aquisição de letreiro para a fachada da UETC Curitiba Tarumã"/>
    <d v="2025-04-09T00:00:00"/>
    <x v="49"/>
    <x v="1"/>
    <x v="0"/>
    <m/>
    <m/>
    <d v="2025-07-31T00:00:00"/>
    <m/>
    <n v="30"/>
    <s v=""/>
    <m/>
    <x v="2"/>
    <x v="1"/>
    <s v="Fornecedor desistiu do Serviço, será desomologado e solicitado o próximo colocado. 24.644.316-5 - Verifica eventual responsabilidade da empresa Visualiza Comunicação Visual (ENZO MIGUEL DIAS DA SILVA) adjudicatária sobre a recusa no prosseguimento da exec"/>
  </r>
  <r>
    <x v="50"/>
    <s v="Aquisição, através de dispensa eletrônica de processo licitatório, de sabão em pó, a fim de suprir a demanda do órgão da Polícia Científica do Paraná."/>
    <d v="2025-02-13T00:00:00"/>
    <x v="50"/>
    <x v="0"/>
    <x v="0"/>
    <m/>
    <m/>
    <m/>
    <m/>
    <m/>
    <s v=""/>
    <m/>
    <x v="2"/>
    <x v="2"/>
    <m/>
  </r>
  <r>
    <x v="51"/>
    <s v="Solicitação de compra de Leitores QRCode.  PE90830/25"/>
    <d v="2025-04-30T00:00:00"/>
    <x v="51"/>
    <x v="1"/>
    <x v="1"/>
    <d v="2025-08-19T00:00:00"/>
    <m/>
    <m/>
    <m/>
    <m/>
    <s v=""/>
    <m/>
    <x v="2"/>
    <x v="1"/>
    <m/>
  </r>
  <r>
    <x v="52"/>
    <s v="Solicitação de reabertura de processo licitatório para aquisição des STUBS para a Polícia Científica do Paraná. PE 150/2025"/>
    <d v="2025-01-16T00:00:00"/>
    <x v="52"/>
    <x v="0"/>
    <x v="1"/>
    <d v="2025-09-26T00:00:00"/>
    <d v="2025-12-02T00:00:00"/>
    <d v="2025-12-05T00:00:00"/>
    <d v="2025-12-09T00:00:00"/>
    <n v="60"/>
    <d v="2026-02-07T00:00:00"/>
    <m/>
    <x v="2"/>
    <x v="1"/>
    <m/>
  </r>
  <r>
    <x v="53"/>
    <s v="SRP Materiais Diversos para Laboratório - Aquisição através do Registro de Preço do PE 352/2023, na modalidade PARTICIPANTE, de Materiais Diversos para Laboratório para atender as necessidades das unidades da Polícia Científica do Paraná."/>
    <d v="2025-02-27T00:00:00"/>
    <x v="53"/>
    <x v="0"/>
    <x v="3"/>
    <d v="2025-07-28T00:00:00"/>
    <m/>
    <d v="2025-04-10T00:00:00"/>
    <d v="2025-04-15T00:00:00"/>
    <n v="30"/>
    <d v="2025-05-15T00:00:00"/>
    <m/>
    <x v="30"/>
    <x v="0"/>
    <m/>
  </r>
  <r>
    <x v="54"/>
    <s v="Licitação - Abertura de procedimento Licitatório, visando a aquisição de Cofres para atender a demanda de todas as unidades da Polícia Científica do Paraná."/>
    <d v="2024-05-28T00:00:00"/>
    <x v="54"/>
    <x v="1"/>
    <x v="1"/>
    <d v="2024-11-27T00:00:00"/>
    <d v="2025-02-04T00:00:00"/>
    <d v="2025-02-18T00:00:00"/>
    <d v="2025-02-21T00:00:00"/>
    <n v="45"/>
    <d v="2025-04-07T00:00:00"/>
    <m/>
    <x v="31"/>
    <x v="0"/>
    <m/>
  </r>
  <r>
    <x v="55"/>
    <s v="SOLICITAÇÃO PARA ABERTURA DE PROCESSO LICITATÓRIO PARA CONTRATAÇÃO DE EMPRESA ESPECIALIZADA NO FORNECIMENTO, CONFIGURAÇÃO E IMPLANTAÇÃO DE SISTEMA INFORMATIZADO DE AUTOMAÇÃO E GESTÃO DE LABORATÓRIOS (LIMS), ATRAVÉS DO CONVÊNIO No 919141/2021 - PLATAFORMA "/>
    <d v="2024-03-06T00:00:00"/>
    <x v="55"/>
    <x v="1"/>
    <x v="1"/>
    <d v="2024-11-07T00:00:00"/>
    <d v="2025-01-13T00:00:00"/>
    <d v="2025-01-23T00:00:00"/>
    <d v="2025-02-04T00:00:00"/>
    <n v="60"/>
    <d v="2025-04-05T00:00:00"/>
    <m/>
    <x v="32"/>
    <x v="0"/>
    <m/>
  </r>
  <r>
    <x v="56"/>
    <s v="Contratação de serviço de manutenção corretiva do equipamento Hamilton EasyPunch STARlet (StarQ), por inexigibilidade de licitação, para atender a demanda da Seção de Genética Molecular Forense da Polícia Científica do Paraná."/>
    <d v="2025-04-29T00:00:00"/>
    <x v="56"/>
    <x v="0"/>
    <x v="2"/>
    <m/>
    <m/>
    <m/>
    <m/>
    <m/>
    <s v=""/>
    <m/>
    <x v="2"/>
    <x v="1"/>
    <m/>
  </r>
  <r>
    <x v="57"/>
    <s v="AQUISIÇÃO DE AR CONDICIONADO PORTÁTIL ATRAVÉS DE ADESÃO À ATA DE REGISTRO DE PREÇOS 236/2024 - UNIVERSIDADE FEDERAL DO PARANÁ - UFPR, PARA ATENDER A DEMANDA DA POLÍCIA CIENTÍFICA DO PARANÁ"/>
    <d v="2025-04-30T00:00:00"/>
    <x v="57"/>
    <x v="1"/>
    <x v="4"/>
    <m/>
    <m/>
    <m/>
    <m/>
    <m/>
    <s v=""/>
    <m/>
    <x v="2"/>
    <x v="2"/>
    <s v="Fornecedor declinou no fornecimento"/>
  </r>
  <r>
    <x v="58"/>
    <s v="Solicitação de adesão ao item 42 da ata de registro de preços no 038/2023, UASG 153254, com vigência até 27/09/2025, para aquisição de ultrafreezers laboratoriais para atender a demanda da Seção de Genética Molecular Forense da Polícia Científica do Paran"/>
    <d v="2025-05-06T00:00:00"/>
    <x v="58"/>
    <x v="1"/>
    <x v="4"/>
    <m/>
    <m/>
    <d v="2025-07-21T00:00:00"/>
    <d v="2025-07-28T00:00:00"/>
    <n v="60"/>
    <d v="2025-09-26T00:00:00"/>
    <d v="2025-08-27T00:00:00"/>
    <x v="33"/>
    <x v="0"/>
    <m/>
  </r>
  <r>
    <x v="59"/>
    <s v="Dispensa de Licitação Eletrônica - Aquisição através de dispensa de licitação de aquisição de Pilhas AA e AAA recarregáveis para atendimento da demanda da Polícia Científica do Paraná. DISPENSA ELETRÔNICA"/>
    <d v="2024-08-12T00:00:00"/>
    <x v="59"/>
    <x v="0"/>
    <x v="0"/>
    <m/>
    <m/>
    <d v="2025-05-05T00:00:00"/>
    <d v="2025-05-13T00:00:00"/>
    <n v="30"/>
    <d v="2025-06-12T00:00:00"/>
    <m/>
    <x v="34"/>
    <x v="0"/>
    <m/>
  </r>
  <r>
    <x v="60"/>
    <s v="Dispensa de Licitação Eletrônica - Aquisição através de dispensa de licitação de aquisição de Agulha Hipodérmica 40 x 1,6 mm para atendimento da demanda da Polícia Científica do Paraná. DISPENSA ELETRÔNICA"/>
    <d v="2025-05-13T00:00:00"/>
    <x v="60"/>
    <x v="0"/>
    <x v="0"/>
    <m/>
    <m/>
    <d v="2025-07-10T00:00:00"/>
    <d v="2025-07-14T00:00:00"/>
    <n v="30"/>
    <d v="2025-08-13T00:00:00"/>
    <d v="2025-09-24T00:00:00"/>
    <x v="35"/>
    <x v="0"/>
    <m/>
  </r>
  <r>
    <x v="61"/>
    <s v="Trata-se da aquisição de copos descartáveis para atendente a demanda da Policia Científica do Paraná. DISPENSA ELETRÔNICA"/>
    <d v="2025-05-12T00:00:00"/>
    <x v="61"/>
    <x v="0"/>
    <x v="0"/>
    <m/>
    <m/>
    <m/>
    <m/>
    <m/>
    <s v=""/>
    <m/>
    <x v="2"/>
    <x v="2"/>
    <m/>
  </r>
  <r>
    <x v="62"/>
    <s v="SRP Fragmentadora de Papel - Aquisição através do Registro de Preço do PE 595/2024, na modalidade PARTICIPANTE, de Fragmentadora de Papel para atender as necessidades das unidades da Polícia Científica do Paraná. VALIDADE DA ATA: 24/04/2026"/>
    <d v="2025-05-14T00:00:00"/>
    <x v="62"/>
    <x v="1"/>
    <x v="3"/>
    <m/>
    <d v="2025-07-18T00:00:00"/>
    <d v="2025-08-07T00:00:00"/>
    <d v="2025-07-22T00:00:00"/>
    <n v="30"/>
    <d v="2025-08-21T00:00:00"/>
    <d v="2025-08-12T00:00:00"/>
    <x v="36"/>
    <x v="0"/>
    <m/>
  </r>
  <r>
    <x v="63"/>
    <s v="SRP Limpador Multiuso - Aquisição através do Registro de Preço do PE 113/2024, na modalidade PARTICIPANTE, de Limpador Multiuso para atender as necessidades das unidades da Polícia Científica do Paraná. VALIDADE DA ATA: 06/03/2026"/>
    <d v="2025-05-14T00:00:00"/>
    <x v="63"/>
    <x v="0"/>
    <x v="3"/>
    <m/>
    <m/>
    <d v="2025-06-04T00:00:00"/>
    <d v="2025-06-09T00:00:00"/>
    <n v="30"/>
    <d v="2025-07-09T00:00:00"/>
    <m/>
    <x v="37"/>
    <x v="0"/>
    <m/>
  </r>
  <r>
    <x v="64"/>
    <s v="SRP Papel Higiênico Rolão 10 cm x 300 m - Aquisição através do Registro de Preço do PE 1025/2023, na modalidade PARTICIPANTE, de Papel Higiênico Rolão 10 cm x 300 m para atender as necessidades das unidades da Polícia Científica do Paraná. VALIDADE DA ATA"/>
    <d v="2025-05-15T00:00:00"/>
    <x v="64"/>
    <x v="0"/>
    <x v="3"/>
    <m/>
    <m/>
    <d v="2025-05-30T00:00:00"/>
    <d v="2025-06-09T00:00:00"/>
    <n v="30"/>
    <d v="2025-07-09T00:00:00"/>
    <m/>
    <x v="38"/>
    <x v="0"/>
    <m/>
  </r>
  <r>
    <x v="65"/>
    <s v="Aquisição de Ferramenta Forense Avançada de Remoção de Senha e Extração de Dados de Dispositivos Móveis Portáteis"/>
    <d v="2025-04-28T00:00:00"/>
    <x v="65"/>
    <x v="1"/>
    <x v="2"/>
    <m/>
    <d v="2025-09-09T00:00:00"/>
    <d v="2025-09-18T00:00:00"/>
    <d v="2025-09-18T00:00:00"/>
    <n v="90"/>
    <d v="2025-12-17T00:00:00"/>
    <m/>
    <x v="39"/>
    <x v="0"/>
    <m/>
  </r>
  <r>
    <x v="66"/>
    <s v="INSTRUÇÃO DE COMPRA - CADEIRAS DO AUDITÓRIO DA NOVA SEDE DA UETC-PG"/>
    <d v="2024-12-05T00:00:00"/>
    <x v="66"/>
    <x v="1"/>
    <x v="1"/>
    <m/>
    <m/>
    <m/>
    <m/>
    <m/>
    <s v=""/>
    <m/>
    <x v="2"/>
    <x v="2"/>
    <m/>
  </r>
  <r>
    <x v="67"/>
    <s v="AQUISIÇÃO DE COOKTOP E FRIGOBAR ATRAVÉS DE ADESÃO À ATA DE REGISTRO DE PREÇOS 243/2024 - UNIVERSIDADE FEDERAL DO PARANÁ - UFPR, PARA ATENDER A DEMANDA DA POLÍCIA CIENTÍFICA DO PARANÁ"/>
    <d v="2025-03-31T00:00:00"/>
    <x v="67"/>
    <x v="1"/>
    <x v="4"/>
    <m/>
    <m/>
    <m/>
    <m/>
    <m/>
    <s v=""/>
    <m/>
    <x v="2"/>
    <x v="1"/>
    <m/>
  </r>
  <r>
    <x v="68"/>
    <s v="Solicita adesão à ATA SRP no 0008/2025, UASG 155015, para aquisição de Proteinase K (item 21) para atender a demanda da Seção de Genética Molecular Forense da Polícia Científica do Paraná."/>
    <d v="2025-04-15T00:00:00"/>
    <x v="68"/>
    <x v="0"/>
    <x v="6"/>
    <m/>
    <m/>
    <m/>
    <m/>
    <m/>
    <s v=""/>
    <m/>
    <x v="2"/>
    <x v="2"/>
    <m/>
  </r>
  <r>
    <x v="69"/>
    <s v="SRP Desktop e Monitores - Aquisição através do Registro de Preço do PE 1031/2023, na modalidade PARTICIPANTE, de Desktop e Monitores para atender as necessidades das unidades da Polícia Científica do Paraná. VALIDADE DA ATA: 14/04/2026"/>
    <d v="2025-05-22T00:00:00"/>
    <x v="69"/>
    <x v="1"/>
    <x v="3"/>
    <m/>
    <d v="2025-09-15T00:00:00"/>
    <d v="2025-10-04T00:00:00"/>
    <d v="2025-09-15T00:00:00"/>
    <n v="120"/>
    <d v="2026-01-13T00:00:00"/>
    <d v="2025-12-15T00:00:00"/>
    <x v="2"/>
    <x v="1"/>
    <m/>
  </r>
  <r>
    <x v="70"/>
    <s v="SRP Licença Software Archicad Brazilian - Aquisição através do Registro de Preço do PE INEX 2/2024, na modalidade PARTICIPANTE, de Licença Software Archicad Brazilian para atender as necessidades das unidades da Polícia Científica do Paraná. VALIDADE DA A"/>
    <d v="2025-05-23T00:00:00"/>
    <x v="70"/>
    <x v="0"/>
    <x v="3"/>
    <m/>
    <m/>
    <m/>
    <m/>
    <n v="10"/>
    <s v=""/>
    <m/>
    <x v="2"/>
    <x v="2"/>
    <s v="Processo arquivado para solicitar outro tipo de software com ATA disponível. Aberto o 24.761.161-4"/>
  </r>
  <r>
    <x v="71"/>
    <s v="Aquisição de equipamentos de processamento e de armazenamento de vestígios digitais e de equipamentos de gerenciamento de rede através de Termo de Execução Descentralizada - TED no 001/2024 - Lottopar PE 698 2025 | Publicado (abertura 26/08/25)"/>
    <d v="2024-08-30T00:00:00"/>
    <x v="71"/>
    <x v="1"/>
    <x v="1"/>
    <d v="2025-08-26T00:00:00"/>
    <d v="2025-12-05T00:00:00"/>
    <d v="2025-12-08T00:00:00"/>
    <d v="2025-12-09T00:00:00"/>
    <n v="120"/>
    <d v="2026-04-08T00:00:00"/>
    <m/>
    <x v="2"/>
    <x v="1"/>
    <m/>
  </r>
  <r>
    <x v="72"/>
    <s v="SRP Lâmina e Corante Giemsa - Aquisição através do Registro de Preço do PE 2121/2024, na modalidade PARTICIPANTE, de Lâmina e Corante Giemsa para atender as necessidades das unidades da Polícia Científica do Paraná. VALIDADE DA ATA: 13/05/2026"/>
    <d v="2025-05-29T00:00:00"/>
    <x v="72"/>
    <x v="0"/>
    <x v="3"/>
    <m/>
    <m/>
    <d v="2025-06-27T00:00:00"/>
    <d v="2025-07-02T00:00:00"/>
    <n v="30"/>
    <d v="2025-08-01T00:00:00"/>
    <d v="2025-09-23T00:00:00"/>
    <x v="40"/>
    <x v="0"/>
    <m/>
  </r>
  <r>
    <x v="73"/>
    <s v="Aquisição de Fuzil 5,56 por meio de adesão à Ata de Registro de Preços da Polícia Militar de Minas Gerais"/>
    <d v="2024-09-18T00:00:00"/>
    <x v="73"/>
    <x v="1"/>
    <x v="4"/>
    <m/>
    <m/>
    <d v="2025-04-28T00:00:00"/>
    <d v="2025-05-07T00:00:00"/>
    <n v="120"/>
    <d v="2025-09-04T00:00:00"/>
    <m/>
    <x v="41"/>
    <x v="0"/>
    <m/>
  </r>
  <r>
    <x v="74"/>
    <s v="INSTRUÇÃO INICIAL DE PROCESSO LICITATÓRIO VISANDO FUTURA E EVENTUAL AQUISIÇÃO E LOCAÇÃO DE VIATURAS"/>
    <d v="2025-05-20T00:00:00"/>
    <x v="74"/>
    <x v="1"/>
    <x v="3"/>
    <m/>
    <m/>
    <m/>
    <m/>
    <m/>
    <s v=""/>
    <m/>
    <x v="2"/>
    <x v="1"/>
    <m/>
  </r>
  <r>
    <x v="75"/>
    <s v="Monitores 24&quot; Via SRP - Adesão -  Defensoria Publica do Amapá"/>
    <d v="2024-06-02T00:00:00"/>
    <x v="75"/>
    <x v="1"/>
    <x v="4"/>
    <m/>
    <d v="2025-09-03T00:00:00"/>
    <d v="2025-09-24T00:00:00"/>
    <d v="2025-09-25T00:00:00"/>
    <n v="30"/>
    <d v="2025-10-25T00:00:00"/>
    <d v="2025-10-12T00:00:00"/>
    <x v="42"/>
    <x v="0"/>
    <m/>
  </r>
  <r>
    <x v="76"/>
    <s v="abertura de processo licitatório para aquisição de 08 unidades de Sistema de Espectrometria de Infravermelho com Transformada de Fourier e Reflexão Total Atenuada (FTIR-ATR) para a Seção de Química Forense."/>
    <d v="2025-04-03T00:00:00"/>
    <x v="76"/>
    <x v="1"/>
    <x v="1"/>
    <m/>
    <m/>
    <m/>
    <m/>
    <m/>
    <s v=""/>
    <m/>
    <x v="2"/>
    <x v="1"/>
    <m/>
  </r>
  <r>
    <x v="77"/>
    <s v="aquisição de dois Espectrômetros de massa com plasma indutivamente acoplado (ICP-MS)"/>
    <d v="2024-07-04T00:00:00"/>
    <x v="77"/>
    <x v="1"/>
    <x v="1"/>
    <m/>
    <d v="2025-09-02T00:00:00"/>
    <d v="2025-09-22T00:00:00"/>
    <d v="2025-09-23T00:00:00"/>
    <n v="90"/>
    <d v="2025-12-22T00:00:00"/>
    <d v="2025-12-01T00:00:00"/>
    <x v="2"/>
    <x v="1"/>
    <m/>
  </r>
  <r>
    <x v="78"/>
    <s v="Aquisição de reagentes químicos por dispensa de licitação, para atender a demanda das Seções de Genética Molecular Forense, Química Forense e Toxicologia Forense da Polícia Científica do Paraná"/>
    <d v="2024-08-27T00:00:00"/>
    <x v="78"/>
    <x v="0"/>
    <x v="0"/>
    <m/>
    <m/>
    <d v="2025-06-02T00:00:00"/>
    <d v="2025-06-02T00:00:00"/>
    <n v="30"/>
    <d v="2025-07-02T00:00:00"/>
    <m/>
    <x v="43"/>
    <x v="0"/>
    <s v="Entregue os materiais parcialmente, falta somente o LUMINOL"/>
  </r>
  <r>
    <x v="79"/>
    <s v="Solicitação de abertura de processo de licitação para a aquisição de dois Sistemas de Cromatografia Líquida acoplada a Espectrômetro de Massas de alta resolução do tipo Quadrupolo e Tempo de Voo (LC-qTOF-MS). (Agro Forense)"/>
    <d v="2024-07-19T00:00:00"/>
    <x v="79"/>
    <x v="1"/>
    <x v="1"/>
    <d v="2024-12-18T00:00:00"/>
    <d v="2025-06-05T00:00:00"/>
    <d v="2025-06-18T00:00:00"/>
    <d v="2025-06-24T00:00:00"/>
    <n v="90"/>
    <d v="2025-09-22T00:00:00"/>
    <m/>
    <x v="33"/>
    <x v="0"/>
    <m/>
  </r>
  <r>
    <x v="80"/>
    <s v="SRP de Drones - Aquisição através do Registro de Preço do PE 1327/2024, na modalidade PARTICIPANTE, de Drones para atender as necessidades da Unidade de Execução Técnico-Científica de Curitiba da Polícia Científica do Paraná. VALIDADE DA ATA 27/04/2026"/>
    <d v="2025-06-03T00:00:00"/>
    <x v="80"/>
    <x v="1"/>
    <x v="3"/>
    <m/>
    <d v="2025-08-27T00:00:00"/>
    <d v="2025-07-02T00:00:00"/>
    <d v="2025-08-26T00:00:00"/>
    <n v="60"/>
    <d v="2025-10-25T00:00:00"/>
    <d v="2025-10-13T00:00:00"/>
    <x v="44"/>
    <x v="0"/>
    <s v="Cobrado o Gestor Felipe Dias no dia 13/10/2025, Felipe informou que a empresa pediu prorrogação de mais 60 dias"/>
  </r>
  <r>
    <x v="81"/>
    <s v="Licitação para a aquisição de 03 Sistemas de cromatografia líquida acoplados a espectrometria de massas em tandem. LC-MS/MS"/>
    <d v="2024-07-11T00:00:00"/>
    <x v="81"/>
    <x v="1"/>
    <x v="1"/>
    <d v="2024-10-31T00:00:00"/>
    <d v="2025-02-28T00:00:00"/>
    <d v="2025-03-19T00:00:00"/>
    <d v="2025-03-20T00:00:00"/>
    <n v="120"/>
    <d v="2025-07-18T00:00:00"/>
    <m/>
    <x v="38"/>
    <x v="0"/>
    <m/>
  </r>
  <r>
    <x v="82"/>
    <s v="SRP - Contratação através do Registro de Preço do PE 847/2024, de prestação de serviço de limpeza, postos 12x36 com insalubridade 40% para atender a unidade de Telemaco Borba da Polícia Científica do Paraná. VALIDADE DA ATA: 17/11/2025."/>
    <d v="2025-03-14T00:00:00"/>
    <x v="82"/>
    <x v="0"/>
    <x v="3"/>
    <d v="2024-11-25T00:00:00"/>
    <m/>
    <m/>
    <m/>
    <m/>
    <s v=""/>
    <m/>
    <x v="2"/>
    <x v="1"/>
    <m/>
  </r>
  <r>
    <x v="83"/>
    <s v="adesão como carona em ATA DE REGISTRO DE PREÇO no 0050/2024/PCI da Polícia Científica de Santa Catarina, para aquisição de Fast Blue Salt e Tiocianato de Cobalto II, para atender a demanda da Seção de Química Forense."/>
    <d v="2025-04-01T00:00:00"/>
    <x v="83"/>
    <x v="0"/>
    <x v="3"/>
    <m/>
    <d v="2025-08-12T00:00:00"/>
    <d v="2025-09-02T00:00:00"/>
    <d v="2025-08-12T00:00:00"/>
    <n v="60"/>
    <d v="2025-10-11T00:00:00"/>
    <d v="2025-09-25T00:00:00"/>
    <x v="45"/>
    <x v="0"/>
    <m/>
  </r>
  <r>
    <x v="84"/>
    <s v="Licitação - Abertura de procedimento Licitatório, visando a aquisição de CÂMARAS MORTUÁRIAS para a nova unidade da Polícia Científica de Ponta Grossa."/>
    <d v="2024-05-29T00:00:00"/>
    <x v="84"/>
    <x v="1"/>
    <x v="1"/>
    <m/>
    <m/>
    <d v="2025-04-10T00:00:00"/>
    <d v="2025-06-06T00:00:00"/>
    <n v="60"/>
    <d v="2025-08-05T00:00:00"/>
    <d v="2025-07-10T00:00:00"/>
    <x v="46"/>
    <x v="0"/>
    <m/>
  </r>
  <r>
    <x v="85"/>
    <s v="Solicitação de Adesão a ATA 011/2024 da SUPERINTENDÊNCIA REGIONAL DA POLÍCIA FEDERAL NO ESTADO DO AMAPÁ visando a aquisição de 40 unidades de Smart Tv 55"/>
    <d v="2025-06-05T00:00:00"/>
    <x v="85"/>
    <x v="1"/>
    <x v="6"/>
    <m/>
    <d v="2025-09-03T00:00:00"/>
    <d v="2025-09-18T00:00:00"/>
    <d v="2025-09-03T00:00:00"/>
    <n v="30"/>
    <d v="2025-10-03T00:00:00"/>
    <d v="2025-09-19T00:00:00"/>
    <x v="47"/>
    <x v="0"/>
    <m/>
  </r>
  <r>
    <x v="86"/>
    <s v="Aquisição de Equipamentos SGMF - Inexigibilidade StarletID, EasyPunch e QuantStudio."/>
    <d v="2024-07-22T00:00:00"/>
    <x v="86"/>
    <x v="1"/>
    <x v="2"/>
    <m/>
    <d v="2025-05-22T00:00:00"/>
    <d v="2025-06-06T00:00:00"/>
    <d v="2025-06-09T00:00:00"/>
    <n v="30"/>
    <d v="2025-07-09T00:00:00"/>
    <m/>
    <x v="25"/>
    <x v="0"/>
    <m/>
  </r>
  <r>
    <x v="87"/>
    <s v="Prestação de serviço de manutenção, preventiva e corretiva, de câmaras mortuárias refrigeradas, para atender a demanda de 18 (dezoito) Unidades de Execução Técnico-Científicas (UETCs) da Polícia Científica do Paraná (PCP), pelo período de 12 (doze) meses"/>
    <d v="2024-05-23T00:00:00"/>
    <x v="87"/>
    <x v="0"/>
    <x v="1"/>
    <d v="2025-02-26T00:00:00"/>
    <d v="2025-06-11T00:00:00"/>
    <d v="2025-07-11T00:00:00"/>
    <d v="2025-07-14T00:00:00"/>
    <n v="0"/>
    <d v="2025-07-14T00:00:00"/>
    <m/>
    <x v="40"/>
    <x v="0"/>
    <m/>
  </r>
  <r>
    <x v="88"/>
    <s v="Instrução de compra referente às mesas de necropsia da nova unidade da Polícia Científica de Ponta Grossa"/>
    <d v="2024-05-06T00:00:00"/>
    <x v="88"/>
    <x v="1"/>
    <x v="1"/>
    <m/>
    <d v="2025-03-13T00:00:00"/>
    <d v="2025-03-21T00:00:00"/>
    <d v="2025-03-24T00:00:00"/>
    <n v="60"/>
    <d v="2025-05-23T00:00:00"/>
    <m/>
    <x v="48"/>
    <x v="0"/>
    <m/>
  </r>
  <r>
    <x v="89"/>
    <s v="AQUISIÇÃO DE SISTEMA DE CROMATOGRAFIA IÔNICA PARA ANÁLISE SIMULTÂNEA DE ÂNIONS E CÁTIONS COM DETECTORES POR CONDUTIVIDADE"/>
    <d v="2024-07-10T00:00:00"/>
    <x v="89"/>
    <x v="1"/>
    <x v="1"/>
    <d v="2025-12-18T00:00:00"/>
    <d v="2025-05-22T00:00:00"/>
    <d v="2025-05-22T00:00:00"/>
    <d v="2025-06-17T00:00:00"/>
    <n v="90"/>
    <d v="2025-09-15T00:00:00"/>
    <d v="2025-08-21T00:00:00"/>
    <x v="2"/>
    <x v="1"/>
    <s v="Empresa pediu prorrogação até dia 30/10/2025"/>
  </r>
  <r>
    <x v="90"/>
    <s v="Aquisição, através de procedimento licitatório de carrinho de instrumentação para atender a demanda das unidades que realizam exames de necropsia da Polícia Científica do Paraná"/>
    <d v="2025-06-13T00:00:00"/>
    <x v="90"/>
    <x v="1"/>
    <x v="1"/>
    <m/>
    <m/>
    <m/>
    <m/>
    <m/>
    <s v=""/>
    <m/>
    <x v="2"/>
    <x v="1"/>
    <m/>
  </r>
  <r>
    <x v="91"/>
    <s v="Aquisição de Tanques Balísticos - Adesão a Ata de Registro de Preços N° 0049/2024/PCI"/>
    <d v="2025-05-29T00:00:00"/>
    <x v="91"/>
    <x v="1"/>
    <x v="4"/>
    <m/>
    <m/>
    <m/>
    <m/>
    <m/>
    <s v=""/>
    <m/>
    <x v="2"/>
    <x v="2"/>
    <s v="vencimento da ata de registro de_x000a_preços e impossibilidade de aquisição"/>
  </r>
  <r>
    <x v="92"/>
    <s v="protocolo de adesão à ata de lençol descartável"/>
    <d v="2025-06-16T00:00:00"/>
    <x v="92"/>
    <x v="0"/>
    <x v="6"/>
    <m/>
    <m/>
    <d v="2025-09-01T00:00:00"/>
    <d v="2025-09-10T00:00:00"/>
    <n v="30"/>
    <d v="2025-10-10T00:00:00"/>
    <m/>
    <x v="49"/>
    <x v="0"/>
    <m/>
  </r>
  <r>
    <x v="93"/>
    <s v="SRP - Banco de Jardim - Aquisição através do Registro de Preço do PE 026/2025, na modalidade CARONA, de Banco de Jardim para atender as necessidades das unidades da Polícia Científica do Paraná."/>
    <d v="2025-06-23T00:00:00"/>
    <x v="93"/>
    <x v="1"/>
    <x v="4"/>
    <m/>
    <m/>
    <d v="2025-10-31T00:00:00"/>
    <d v="2025-11-05T00:00:00"/>
    <n v="30"/>
    <d v="2025-12-05T00:00:00"/>
    <m/>
    <x v="2"/>
    <x v="1"/>
    <m/>
  </r>
  <r>
    <x v="94"/>
    <s v="SRP MATERIAL DE COPA E COZINHA – GRUPO II - Aquisição através do Registro de Preço do PE 366/2023, na modalidade PARTICIPANTE, de MATERIAL DE COPA E COZINHA – GRUPO II para atender as necessidades das unidades da Polícia Científica do Paraná. VALIDADE DA "/>
    <d v="2025-06-26T00:00:00"/>
    <x v="94"/>
    <x v="0"/>
    <x v="3"/>
    <m/>
    <m/>
    <d v="2025-07-02T00:00:00"/>
    <d v="2025-07-04T00:00:00"/>
    <n v="30"/>
    <d v="2025-08-03T00:00:00"/>
    <m/>
    <x v="50"/>
    <x v="0"/>
    <m/>
  </r>
  <r>
    <x v="95"/>
    <s v="processo de compra por inexigibilidade para aquisição de um Espectrômetro de Ressonância Magnética Nuclear (RMN) de bancada para atender a demanda da seção de química forense da Polícia Científica do Paraná"/>
    <d v="2025-06-23T00:00:00"/>
    <x v="95"/>
    <x v="1"/>
    <x v="2"/>
    <m/>
    <m/>
    <m/>
    <m/>
    <m/>
    <s v=""/>
    <m/>
    <x v="2"/>
    <x v="1"/>
    <m/>
  </r>
  <r>
    <x v="96"/>
    <s v="SRP Detergente Laboratorial - Aquisição através do Registro de Preço do PE 107/2024, na modalidade CARONA, de Detergente Laboratorial para atender as necessidades das unidades da Polícia Científica do Paraná. VALIDADE DA ATA: 17/09/2025"/>
    <d v="2025-06-23T00:00:00"/>
    <x v="96"/>
    <x v="0"/>
    <x v="4"/>
    <m/>
    <m/>
    <d v="2025-07-29T00:00:00"/>
    <d v="2025-07-30T00:00:00"/>
    <n v="30"/>
    <d v="2025-08-29T00:00:00"/>
    <d v="2025-09-15T00:00:00"/>
    <x v="51"/>
    <x v="0"/>
    <m/>
  </r>
  <r>
    <x v="97"/>
    <s v="Aquisição de sacos plásticos para acondicionamento de resíduos hospitalares/infectantes, através de adesão à ata SRP no 2216/2024/SESA PR, vigência: 06/05/2026, para atender a demanda da Polícia Científica do Paraná."/>
    <d v="2025-06-17T00:00:00"/>
    <x v="97"/>
    <x v="0"/>
    <x v="4"/>
    <m/>
    <m/>
    <d v="2025-08-26T00:00:00"/>
    <d v="2025-08-27T00:00:00"/>
    <n v="30"/>
    <d v="2025-09-26T00:00:00"/>
    <d v="2025-09-24T00:00:00"/>
    <x v="47"/>
    <x v="0"/>
    <m/>
  </r>
  <r>
    <x v="98"/>
    <s v="Aquisição, através de dispensa eletrônica de processo licitatório, de Impressora de Crachá e Insumos, a fim de suprir a demanda do órgão da Polícia Científica do Paraná."/>
    <d v="2025-06-24T00:00:00"/>
    <x v="98"/>
    <x v="1"/>
    <x v="0"/>
    <m/>
    <m/>
    <d v="2025-09-22T00:00:00"/>
    <d v="2025-09-24T00:00:00"/>
    <n v="30"/>
    <d v="2025-10-24T00:00:00"/>
    <m/>
    <x v="47"/>
    <x v="0"/>
    <s v="Ipressora entregue em 03/10/2025  (24.771.263-1 - Encaminha Nota Fiscal  - Impressora de Crachá ) Ribbon entregue em 08/10/2025  (24.805.307-0- Encaminha Nota Fiscal Insumos(Ribbon) para Impressora de Crachá )"/>
  </r>
  <r>
    <x v="99"/>
    <s v="Solicitação de compra de Geladeiras Automotivas Portáteis por licitação."/>
    <d v="2024-04-15T00:00:00"/>
    <x v="99"/>
    <x v="1"/>
    <x v="1"/>
    <d v="2024-10-29T00:00:00"/>
    <d v="2025-07-23T00:00:00"/>
    <d v="2025-07-29T00:00:00"/>
    <d v="2025-08-01T00:00:00"/>
    <n v="85"/>
    <d v="2025-10-25T00:00:00"/>
    <m/>
    <x v="2"/>
    <x v="1"/>
    <m/>
  </r>
  <r>
    <x v="100"/>
    <s v="SRP Poltronas Auditório CWB e Ponta Grossa - Aquisição através do Registro de Preço do PE 127/2025, na modalidade CARONA, para atender as necessidades das unidades da Polícia Científica do Paraná."/>
    <d v="2025-06-18T00:00:00"/>
    <x v="100"/>
    <x v="1"/>
    <x v="6"/>
    <m/>
    <d v="2025-09-10T00:00:00"/>
    <d v="2025-09-18T00:00:00"/>
    <d v="2025-09-22T00:00:00"/>
    <n v="45"/>
    <d v="2025-11-06T00:00:00"/>
    <d v="2025-10-27T00:00:00"/>
    <x v="2"/>
    <x v="1"/>
    <m/>
  </r>
  <r>
    <x v="101"/>
    <s v="Aquisição de uma licença do software de análise de marcadores STR Genemapper ID-X Full e dez (10) licenças de software de análise de marcadores STR Genemapper ID-X Client, através de Inexigibilidade de licitação, para atender a demanda da Seção de Genétic"/>
    <d v="2024-09-09T00:00:00"/>
    <x v="101"/>
    <x v="1"/>
    <x v="2"/>
    <m/>
    <d v="2025-02-18T00:00:00"/>
    <d v="2025-06-24T00:00:00"/>
    <d v="2025-06-25T00:00:00"/>
    <n v="30"/>
    <d v="2025-07-25T00:00:00"/>
    <m/>
    <x v="52"/>
    <x v="0"/>
    <m/>
  </r>
  <r>
    <x v="102"/>
    <s v="EP Paraná Mais Cidades - SRP Eletroposto - Aquisição através do Registro de Preço do PE 1073/2023, na modalidade CARONA, de estação de carregamento para veículo elétrico (Eletroposto) para atender as necessidades UETC Maringa. VALIDADE DA ATA 01/09/2025."/>
    <d v="2025-06-27T00:00:00"/>
    <x v="102"/>
    <x v="1"/>
    <x v="4"/>
    <m/>
    <d v="2025-10-20T00:00:00"/>
    <d v="2025-10-31T00:00:00"/>
    <d v="2025-10-22T00:00:00"/>
    <n v="120"/>
    <d v="2026-02-19T00:00:00"/>
    <d v="2026-01-23T00:00:00"/>
    <x v="2"/>
    <x v="1"/>
    <m/>
  </r>
  <r>
    <x v="103"/>
    <s v="Aquisição via adesão à ATA DE REGISTRO DE PREÇOS No 55/2025 realizada pela DITEC/PF, de VÍDEO COMPARADOR ESPECTRAL REGULA 4308."/>
    <d v="2025-06-24T00:00:00"/>
    <x v="103"/>
    <x v="1"/>
    <x v="5"/>
    <m/>
    <m/>
    <m/>
    <m/>
    <m/>
    <s v=""/>
    <m/>
    <x v="2"/>
    <x v="2"/>
    <m/>
  </r>
  <r>
    <x v="104"/>
    <s v="SRP Mobilia de Escritório - Aquisição através do Registro de Preço do PE 90005/2024, na modalidade CARONA, de Mobilia de escritório para atender as necessidades das unidades da Polícia Científica do Paraná. VALIDADE DA ATA: 26/09/2025"/>
    <d v="2025-07-04T00:00:00"/>
    <x v="104"/>
    <x v="1"/>
    <x v="4"/>
    <m/>
    <m/>
    <m/>
    <m/>
    <m/>
    <s v=""/>
    <m/>
    <x v="2"/>
    <x v="2"/>
    <m/>
  </r>
  <r>
    <x v="105"/>
    <s v="Aquisição de insumos laboratoriais (vidrarias), por meio da ata de registro de preços 884/2024, na modalidade PARTICIPANTE, para atender a demanda dos laboratórios de química e toxicologia forense"/>
    <d v="2025-06-30T00:00:00"/>
    <x v="105"/>
    <x v="0"/>
    <x v="3"/>
    <d v="2024-10-21T00:00:00"/>
    <m/>
    <d v="2025-08-13T00:00:00"/>
    <d v="2025-08-21T00:00:00"/>
    <n v="90"/>
    <d v="2025-11-19T00:00:00"/>
    <m/>
    <x v="2"/>
    <x v="1"/>
    <m/>
  </r>
  <r>
    <x v="106"/>
    <s v="Adesão à Ata de Registro de Preços no 24D/2024 - PLANEJ 261/2024- Item 06 Caminhonete 4x4 caracterizada com compartimento de detidos. Visando atendimento ao Convênio n 936068/2022."/>
    <d v="2025-06-10T00:00:00"/>
    <x v="106"/>
    <x v="1"/>
    <x v="4"/>
    <m/>
    <m/>
    <m/>
    <m/>
    <m/>
    <s v=""/>
    <m/>
    <x v="2"/>
    <x v="1"/>
    <m/>
  </r>
  <r>
    <x v="107"/>
    <s v="Solicita-se a aquisição de caixas para armazenamento de microtubos de contraprovas."/>
    <d v="2025-05-19T00:00:00"/>
    <x v="107"/>
    <x v="0"/>
    <x v="0"/>
    <m/>
    <m/>
    <d v="2025-08-08T00:00:00"/>
    <d v="2025-08-11T00:00:00"/>
    <n v="60"/>
    <d v="2025-10-10T00:00:00"/>
    <m/>
    <x v="49"/>
    <x v="0"/>
    <m/>
  </r>
  <r>
    <x v="108"/>
    <s v="Contratação de Prestação de serviço programado de manutenção preventiva e corretiva com fornecimento de peças e insumos de 01 unidade de Grupo Motor Gerador Stemac de 220 Kva com motor FPT NEF-67TM6, por dispensa de licitação, para atender a demanda da UE"/>
    <d v="2025-07-09T00:00:00"/>
    <x v="108"/>
    <x v="0"/>
    <x v="0"/>
    <m/>
    <d v="2025-10-09T00:00:00"/>
    <d v="2025-09-04T00:00:00"/>
    <d v="2025-10-10T00:00:00"/>
    <n v="0"/>
    <d v="2025-10-10T00:00:00"/>
    <m/>
    <x v="53"/>
    <x v="0"/>
    <s v="O serviço começa imediatamente após a assinatura do contrato."/>
  </r>
  <r>
    <x v="109"/>
    <s v="[Verba Parlamentar Moro] Aquisição de Termociclador e termoblocos para a SGMF"/>
    <d v="2025-05-19T00:00:00"/>
    <x v="109"/>
    <x v="1"/>
    <x v="1"/>
    <m/>
    <m/>
    <m/>
    <m/>
    <m/>
    <s v=""/>
    <m/>
    <x v="2"/>
    <x v="1"/>
    <m/>
  </r>
  <r>
    <x v="110"/>
    <s v="SRP Colete Balístico Nível III-A- Aquisição através do Registro de Preço do PE 14/2024, na modalidade CARONA, de Mobilia de escritório para atender as necessidades das unidades da Polícia Científica do Paraná. VALIDADE DA ATA: 07/10/2025"/>
    <d v="2025-07-14T00:00:00"/>
    <x v="110"/>
    <x v="1"/>
    <x v="4"/>
    <m/>
    <m/>
    <d v="2025-10-10T00:00:00"/>
    <d v="2025-10-13T00:00:00"/>
    <n v="90"/>
    <d v="2026-01-11T00:00:00"/>
    <m/>
    <x v="2"/>
    <x v="1"/>
    <m/>
  </r>
  <r>
    <x v="111"/>
    <s v="SRP CARONA - Adesão de Aquisição através do Registro de Preço do PE 27/2023, de aquisição de Pastas tipo A/Z para atender as unidades da Polícia Científica do Paraná"/>
    <d v="2024-12-04T00:00:00"/>
    <x v="111"/>
    <x v="0"/>
    <x v="3"/>
    <m/>
    <m/>
    <d v="2025-07-16T00:00:00"/>
    <d v="2025-07-17T00:00:00"/>
    <n v="30"/>
    <d v="2025-08-16T00:00:00"/>
    <m/>
    <x v="26"/>
    <x v="0"/>
    <m/>
  </r>
  <r>
    <x v="112"/>
    <s v="SRP Comparador Espectral de Vídeo - Aquisição através do Registro de Preço do PE 055/2025, na modalidade PARTICIPANTE, de Comparador Espectral de Vídeo para atender as necessidades da Unidade de Execução Técnico-Científica de Curitiba da Polícia Científic"/>
    <d v="2025-07-18T00:00:00"/>
    <x v="103"/>
    <x v="1"/>
    <x v="5"/>
    <m/>
    <m/>
    <m/>
    <m/>
    <m/>
    <s v=""/>
    <m/>
    <x v="2"/>
    <x v="1"/>
    <m/>
  </r>
  <r>
    <x v="113"/>
    <s v="Solicita-se a aquisição de frascos diversos para a coleta de vestígios."/>
    <d v="2025-07-18T00:00:00"/>
    <x v="112"/>
    <x v="0"/>
    <x v="0"/>
    <m/>
    <m/>
    <d v="2025-09-24T00:00:00"/>
    <d v="2025-09-29T00:00:00"/>
    <n v="81"/>
    <d v="2025-12-19T00:00:00"/>
    <m/>
    <x v="54"/>
    <x v="0"/>
    <s v="Chegou o parafilm e tubo falcom, Coletor Universal"/>
  </r>
  <r>
    <x v="114"/>
    <s v="SRP Insumos para Patologia - Aquisição através do Registro de Preço do PE 39/2024, na modalidade CARONA, de Insumos para Patologia para atender as necessidades da Unidade de Execução Técnico-Científica de Curitiba da Polícia Científica do Paraná. VALIDADE"/>
    <d v="2025-07-23T00:00:00"/>
    <x v="113"/>
    <x v="0"/>
    <x v="4"/>
    <m/>
    <m/>
    <m/>
    <m/>
    <m/>
    <s v=""/>
    <m/>
    <x v="2"/>
    <x v="2"/>
    <s v="Processo arquivado pela vencimento da ATA"/>
  </r>
  <r>
    <x v="115"/>
    <s v="SRP Água Sanitária e Desodorizador de Ambiente - Aquisição através do Registro de Preço do PE 112/2024, na modalidade PARTICIPANTE, de Água Sanitária e Desodorizador de Ambiente para atender as necessidades das unidades da Polícia Científica do Paraná. VA"/>
    <d v="2025-07-23T00:00:00"/>
    <x v="114"/>
    <x v="0"/>
    <x v="3"/>
    <m/>
    <m/>
    <d v="2025-08-11T00:00:00"/>
    <d v="2025-08-12T00:00:00"/>
    <n v="30"/>
    <d v="2025-09-11T00:00:00"/>
    <m/>
    <x v="55"/>
    <x v="0"/>
    <m/>
  </r>
  <r>
    <x v="116"/>
    <s v="SRP Protetor Solar FPS 60 - Aquisição através do Registro de Preço do PE 290/2025, na modalidade CARONA, de Protetor Solar FPS 60 para atender as necessidades das unidades da Polícia Científica do Paraná. VALIDADE DA ATA: 12/03/2026"/>
    <d v="2025-07-25T00:00:00"/>
    <x v="115"/>
    <x v="0"/>
    <x v="4"/>
    <m/>
    <m/>
    <d v="2025-10-13T00:00:00"/>
    <d v="2025-10-13T00:00:00"/>
    <n v="30"/>
    <d v="2025-11-12T00:00:00"/>
    <m/>
    <x v="56"/>
    <x v="0"/>
    <m/>
  </r>
  <r>
    <x v="117"/>
    <s v="SRP Fita adesiva - Aquisição através do Registro de Preço do PE 26/2023, na modalidade PARTICIPANTE, de Fita adesiva para atender as necessidades das unidades da Polícia Científica do Paraná. VALIDADE DA ATA: 15/01/2026"/>
    <d v="2025-07-28T00:00:00"/>
    <x v="116"/>
    <x v="0"/>
    <x v="4"/>
    <m/>
    <m/>
    <d v="2025-08-27T00:00:00"/>
    <d v="2025-09-03T00:00:00"/>
    <n v="30"/>
    <d v="2025-10-03T00:00:00"/>
    <m/>
    <x v="57"/>
    <x v="0"/>
    <s v="Entregue parcial, falta um item"/>
  </r>
  <r>
    <x v="118"/>
    <s v="SRP Vestimentas Operacionais Profissionais, Fardamento, Uniforme - Aquisição através do Registro de Preço do PE 6/2025, na modalidade CARONA, de Vestimentas Operacionais Profissionais para atender as necessidades da Polícia Científica do Paraná. VALIDADE "/>
    <d v="2025-07-31T00:00:00"/>
    <x v="117"/>
    <x v="0"/>
    <x v="6"/>
    <m/>
    <d v="2025-11-13T00:00:00"/>
    <d v="2025-11-24T00:00:00"/>
    <d v="2025-11-25T00:00:00"/>
    <n v="180"/>
    <d v="2026-05-24T00:00:00"/>
    <m/>
    <x v="2"/>
    <x v="1"/>
    <m/>
  </r>
  <r>
    <x v="119"/>
    <s v="Aquisição de mangotes plásticos descartáveis, visando atender a demanda da Polícia Científica do Estado do Paraná"/>
    <d v="2025-08-04T00:00:00"/>
    <x v="118"/>
    <x v="0"/>
    <x v="0"/>
    <m/>
    <m/>
    <d v="2025-09-23T00:00:00"/>
    <d v="2025-09-24T00:00:00"/>
    <n v="30"/>
    <d v="2025-10-24T00:00:00"/>
    <d v="2025-11-14T00:00:00"/>
    <x v="2"/>
    <x v="1"/>
    <s v="Cobrado a entrega no dia 14/11/2025"/>
  </r>
  <r>
    <x v="120"/>
    <s v="SRP - Padrões Analíticos Certificados – OPIOIDES I"/>
    <d v="2025-05-21T00:00:00"/>
    <x v="119"/>
    <x v="0"/>
    <x v="3"/>
    <m/>
    <m/>
    <m/>
    <m/>
    <m/>
    <s v=""/>
    <m/>
    <x v="2"/>
    <x v="1"/>
    <m/>
  </r>
  <r>
    <x v="121"/>
    <s v="SRP - Padrões Analíticos Certificados – DROGAS II"/>
    <d v="2025-05-21T00:00:00"/>
    <x v="120"/>
    <x v="0"/>
    <x v="3"/>
    <m/>
    <m/>
    <m/>
    <m/>
    <m/>
    <s v=""/>
    <m/>
    <x v="2"/>
    <x v="1"/>
    <m/>
  </r>
  <r>
    <x v="122"/>
    <s v="SRP - Padrões Analíticos Certificados – DROGAS IV"/>
    <d v="2025-05-21T00:00:00"/>
    <x v="121"/>
    <x v="0"/>
    <x v="3"/>
    <m/>
    <m/>
    <m/>
    <m/>
    <m/>
    <s v=""/>
    <m/>
    <x v="2"/>
    <x v="1"/>
    <m/>
  </r>
  <r>
    <x v="123"/>
    <s v="SRP - Padrões Analíticos Certificados – DROGAS ESTIMULANTES"/>
    <d v="2025-05-21T00:00:00"/>
    <x v="122"/>
    <x v="0"/>
    <x v="3"/>
    <m/>
    <m/>
    <m/>
    <m/>
    <m/>
    <s v=""/>
    <m/>
    <x v="2"/>
    <x v="1"/>
    <m/>
  </r>
  <r>
    <x v="124"/>
    <s v="SRP - Padrões Analíticos Certificados – ANTIPSICÓTICOS, HIPNÓTICOS E SEDATIVOS"/>
    <d v="2025-05-21T00:00:00"/>
    <x v="123"/>
    <x v="0"/>
    <x v="3"/>
    <m/>
    <m/>
    <m/>
    <m/>
    <m/>
    <s v=""/>
    <m/>
    <x v="2"/>
    <x v="1"/>
    <m/>
  </r>
  <r>
    <x v="125"/>
    <s v="SRP - Padrões Analíticos Certificados – AGROT. PESTICIDAS I"/>
    <d v="2025-05-21T00:00:00"/>
    <x v="124"/>
    <x v="0"/>
    <x v="3"/>
    <m/>
    <m/>
    <m/>
    <m/>
    <m/>
    <s v=""/>
    <m/>
    <x v="2"/>
    <x v="1"/>
    <m/>
  </r>
  <r>
    <x v="126"/>
    <s v="SRP - Padrões Analíticos Certificados – AGROT. PESTICIDAS III"/>
    <d v="2025-05-21T00:00:00"/>
    <x v="125"/>
    <x v="0"/>
    <x v="3"/>
    <m/>
    <m/>
    <m/>
    <m/>
    <m/>
    <s v=""/>
    <m/>
    <x v="2"/>
    <x v="1"/>
    <m/>
  </r>
  <r>
    <x v="127"/>
    <s v="Carrinho plataforma abastecedor para atender a demanda do almoxarifado central"/>
    <d v="2025-08-08T00:00:00"/>
    <x v="126"/>
    <x v="1"/>
    <x v="0"/>
    <m/>
    <m/>
    <m/>
    <m/>
    <n v="30"/>
    <s v=""/>
    <m/>
    <x v="2"/>
    <x v="2"/>
    <s v="Protocolo 24.821.547-0 foi aberto para abertura da Dispensa"/>
  </r>
  <r>
    <x v="128"/>
    <s v="Aquisição de Magnificador por meio de adesão à Ata de Registro de Preços PE 12/2024 da Polícia Militar do Pará, para suprir a demanda da Polícia Científica do Paraná."/>
    <d v="2024-09-27T00:00:00"/>
    <x v="127"/>
    <x v="1"/>
    <x v="4"/>
    <m/>
    <d v="2024-11-22T00:00:00"/>
    <d v="2024-12-06T00:00:00"/>
    <d v="2024-12-06T00:00:00"/>
    <n v="120"/>
    <d v="2025-04-05T00:00:00"/>
    <m/>
    <x v="58"/>
    <x v="0"/>
    <m/>
  </r>
  <r>
    <x v="129"/>
    <s v="Aquisição de Miras Optrônicas por meio de adesão à Ata de Registro de Preços n 11/2024 da Polícia Militar do Pará, para suprir a demanda da Polícia Científica do Paraná."/>
    <d v="2024-09-23T00:00:00"/>
    <x v="128"/>
    <x v="1"/>
    <x v="4"/>
    <m/>
    <d v="2024-12-19T00:00:00"/>
    <d v="2025-02-07T00:00:00"/>
    <d v="2025-09-09T00:00:00"/>
    <n v="180"/>
    <d v="2026-03-08T00:00:00"/>
    <m/>
    <x v="59"/>
    <x v="0"/>
    <m/>
  </r>
  <r>
    <x v="130"/>
    <s v="SRP Federal - Aquisição de Nobreaks 1500 VA, via Adesão a ATA de registro de preços 108/2024 SENASP, para atender a demanda do órgão da Polícia Científica do Paraná. VALIDADE DA ATA: 07/01/2026."/>
    <d v="2025-08-13T00:00:00"/>
    <x v="129"/>
    <x v="1"/>
    <x v="6"/>
    <m/>
    <m/>
    <d v="2025-11-13T00:00:00"/>
    <d v="2025-11-19T00:00:00"/>
    <n v="60"/>
    <d v="2026-01-18T00:00:00"/>
    <m/>
    <x v="2"/>
    <x v="1"/>
    <m/>
  </r>
  <r>
    <x v="131"/>
    <s v="SRP Swab de Algodão e Fio Encerado - Aquisição através do Registro de Preço do PE 32/2025, na modalidade CARONA, de Swab de Algodão e Fio Encerado para atender as necessidades das unidades da Polícia Científica do Paraná. VALIDADE DA ATA: 16/07/2026"/>
    <d v="2025-08-14T00:00:00"/>
    <x v="130"/>
    <x v="0"/>
    <x v="4"/>
    <m/>
    <d v="2025-10-06T00:00:00"/>
    <d v="2025-11-17T00:00:00"/>
    <d v="2025-10-06T00:00:00"/>
    <n v="60"/>
    <d v="2025-12-05T00:00:00"/>
    <d v="2025-11-25T00:00:00"/>
    <x v="60"/>
    <x v="0"/>
    <m/>
  </r>
  <r>
    <x v="132"/>
    <s v="Tem este o objetivo de solicitar a instauração de processo de licitação para aquisição de um Sistema de Cromatografia Gasosa Acoplado a Espectrômetro de Massas (GC/MS/MS), visando atender as necessidades de ampliação do escopo de análises analíticas reali"/>
    <d v="2024-01-24T00:00:00"/>
    <x v="131"/>
    <x v="1"/>
    <x v="1"/>
    <d v="2025-04-09T00:00:00"/>
    <d v="2025-08-01T00:00:00"/>
    <d v="2025-08-14T00:00:00"/>
    <d v="2025-08-14T00:00:00"/>
    <n v="90"/>
    <d v="2025-11-12T00:00:00"/>
    <m/>
    <x v="2"/>
    <x v="1"/>
    <m/>
  </r>
  <r>
    <x v="133"/>
    <s v="Aquisição de álcool em gel 70% V/V, por meio da ATA SRP 107/2024, na modalidade adesão, para atender a demanda da Polícia Científica do Paraná, VALIDADE DA ATA: 17/09/2025."/>
    <d v="2025-08-13T00:00:00"/>
    <x v="132"/>
    <x v="0"/>
    <x v="4"/>
    <m/>
    <m/>
    <d v="2025-11-06T00:00:00"/>
    <d v="2025-11-11T00:00:00"/>
    <n v="30"/>
    <d v="2025-12-11T00:00:00"/>
    <m/>
    <x v="2"/>
    <x v="1"/>
    <m/>
  </r>
  <r>
    <x v="134"/>
    <s v="SRP Álcool Etílico hidratado - Aquisição através do Registro de Preço do PE 3/2025, na modalidade CARONA, de Álcool Etílico hidratado, para atender as necessidades das unidades da Polícia Científica do Paraná. VALIDADE DA ATA: 11/05/2026"/>
    <d v="2025-08-19T00:00:00"/>
    <x v="133"/>
    <x v="0"/>
    <x v="4"/>
    <m/>
    <m/>
    <d v="2025-09-25T00:00:00"/>
    <d v="2025-09-29T00:00:00"/>
    <n v="10"/>
    <d v="2025-10-09T00:00:00"/>
    <m/>
    <x v="61"/>
    <x v="0"/>
    <m/>
  </r>
  <r>
    <x v="135"/>
    <s v="SRP Gases Especiais - Aquisição através do Registro de Preço do PE 377/2025, na modalidade PARTICIPANTE, de Gases Especiais para atender as necessidades dos Laboratórios da Polícia Científica do Paraná. VALIDADE DA ATA: 10/08/2026"/>
    <d v="2025-08-19T00:00:00"/>
    <x v="134"/>
    <x v="0"/>
    <x v="3"/>
    <m/>
    <d v="2025-10-15T00:00:00"/>
    <d v="2025-10-23T00:00:00"/>
    <d v="2025-10-24T00:00:00"/>
    <n v="2"/>
    <d v="2025-10-26T00:00:00"/>
    <m/>
    <x v="62"/>
    <x v="0"/>
    <m/>
  </r>
  <r>
    <x v="136"/>
    <s v="Trata-se de processo destinado à contratação de solução completa para a locação de tomógrafos computadorizados multislice, com vistas ao aprimoramento dos exames de Tanatologia Forense na Polícia Científica do Paraná."/>
    <d v="2025-08-20T00:00:00"/>
    <x v="135"/>
    <x v="1"/>
    <x v="1"/>
    <m/>
    <m/>
    <m/>
    <m/>
    <m/>
    <s v=""/>
    <m/>
    <x v="2"/>
    <x v="2"/>
    <m/>
  </r>
  <r>
    <x v="137"/>
    <s v="SRP Colchão Solteiro - Aquisição através do Registro de Preço do PE 97/2025, na modalidade PARTICIPANTE, de Colchão Solteiro para atender as necessidades das unidades da Polícia Científica do Paraná. VALIDADE DA ATA 30/07/2026"/>
    <d v="2025-08-20T00:00:00"/>
    <x v="136"/>
    <x v="0"/>
    <x v="3"/>
    <m/>
    <m/>
    <d v="2025-09-05T00:00:00"/>
    <d v="2025-09-09T00:00:00"/>
    <n v="30"/>
    <d v="2025-10-09T00:00:00"/>
    <m/>
    <x v="53"/>
    <x v="0"/>
    <m/>
  </r>
  <r>
    <x v="138"/>
    <s v="Aquisição de Viaturas ARP 33/2025-SENASP - Adesão - PCP - Veículo"/>
    <d v="2025-08-20T00:00:00"/>
    <x v="137"/>
    <x v="1"/>
    <x v="5"/>
    <m/>
    <m/>
    <m/>
    <m/>
    <m/>
    <s v=""/>
    <m/>
    <x v="2"/>
    <x v="2"/>
    <s v="Sobrestado, pq quem conduziria o processo seria a o Setor de Compras SESP, foi pedido para que fosse tudo instruído por aqui, por isso abertura do protocolo 24.668.410-3"/>
  </r>
  <r>
    <x v="139"/>
    <s v="Aquisição de 02 (duas) unidades de Microcomparadores Balísticos, via Ata de Registro de Preços no 38/2025 da SENASP, na modalidade PARTICIPANTE, para atender as demandas da Polícia Científica do Paraná."/>
    <d v="2025-08-21T00:00:00"/>
    <x v="138"/>
    <x v="1"/>
    <x v="5"/>
    <m/>
    <m/>
    <m/>
    <m/>
    <m/>
    <s v=""/>
    <m/>
    <x v="2"/>
    <x v="2"/>
    <s v="Arquivado devido a necessidade de instruir novo processo de aquisição devido a mudança de fornecedor da ata."/>
  </r>
  <r>
    <x v="140"/>
    <s v="Aquisição de Mesa de Necropsia, por meio da Ata de Registro de Preços no 38/2024 PCI-SC, na modalidade ADESÃO, para atender a demanda da UETC Paranaguá da Polícia Científica do Paraná"/>
    <d v="2025-08-21T00:00:00"/>
    <x v="139"/>
    <x v="1"/>
    <x v="4"/>
    <m/>
    <d v="2025-11-14T00:00:00"/>
    <d v="2025-11-25T00:00:00"/>
    <d v="2025-11-14T00:00:00"/>
    <n v="180"/>
    <d v="2026-05-13T00:00:00"/>
    <d v="2026-04-15T00:00:00"/>
    <x v="2"/>
    <x v="1"/>
    <m/>
  </r>
  <r>
    <x v="141"/>
    <s v="SRP SENASP - Aquisição através de registro de preço n 20/2025, PE n 29/2024 de Veículos (Van e Furgão Refrigerado) para atendimento da Polícia Científica do Paraná. VALIDADE 28/05/2026"/>
    <d v="2025-08-18T00:00:00"/>
    <x v="140"/>
    <x v="1"/>
    <x v="5"/>
    <m/>
    <d v="2025-11-19T00:00:00"/>
    <d v="2025-11-28T00:00:00"/>
    <d v="2025-11-19T00:00:00"/>
    <n v="180"/>
    <d v="2026-05-18T00:00:00"/>
    <d v="2026-04-15T00:00:00"/>
    <x v="2"/>
    <x v="1"/>
    <m/>
  </r>
  <r>
    <x v="142"/>
    <s v="SRP SENASP - Aquisição através de registro de preço n 20/2025, PE n 39/2025 aquisição de Cubas Ultrassônicas"/>
    <d v="2025-08-21T00:00:00"/>
    <x v="141"/>
    <x v="1"/>
    <x v="5"/>
    <m/>
    <d v="2025-10-09T00:00:00"/>
    <d v="2025-11-13T00:00:00"/>
    <d v="2025-10-13T00:00:00"/>
    <n v="120"/>
    <d v="2026-02-10T00:00:00"/>
    <d v="2026-01-15T00:00:00"/>
    <x v="2"/>
    <x v="1"/>
    <m/>
  </r>
  <r>
    <x v="143"/>
    <s v="Dispensa de Licitação Eletrônica - aquisição de insumos de patologia, visando atender a demanda da Seção de Patologia Forense da Polícia Científica do Paraná. DISPENSA ELETRÔNICA"/>
    <d v="2025-09-29T00:00:00"/>
    <x v="142"/>
    <x v="0"/>
    <x v="0"/>
    <m/>
    <m/>
    <d v="2025-11-10T00:00:00"/>
    <d v="2025-11-25T00:00:00"/>
    <n v="60"/>
    <d v="2026-01-24T00:00:00"/>
    <m/>
    <x v="2"/>
    <x v="1"/>
    <m/>
  </r>
  <r>
    <x v="144"/>
    <s v="Dispensa de Inexigibilidade - Aquisição de plataforma de DNA Rápido através de procedimento de inexigibilidade para atendimento da Seção de Genética Molecular Forense da Polícia Científica do Paraná."/>
    <d v="2025-09-01T00:00:00"/>
    <x v="8"/>
    <x v="1"/>
    <x v="2"/>
    <m/>
    <m/>
    <m/>
    <m/>
    <m/>
    <s v=""/>
    <m/>
    <x v="2"/>
    <x v="1"/>
    <m/>
  </r>
  <r>
    <x v="145"/>
    <s v="Aquisição de insumos do Analisador Genético 3500 Applied Biosystem, por meio da Ata de Registro de Preços no 58/2024 da SENASP, vigente até 20/12/2025, na modalidade PARTICIPANTE, para atender a demanda da Seção de Genética Molecular Forense da Polícia Ci"/>
    <d v="2025-09-04T00:00:00"/>
    <x v="143"/>
    <x v="0"/>
    <x v="5"/>
    <m/>
    <m/>
    <m/>
    <m/>
    <m/>
    <s v=""/>
    <m/>
    <x v="2"/>
    <x v="1"/>
    <m/>
  </r>
  <r>
    <x v="146"/>
    <s v="SRP - Padrões Analíticos Certificados – ANTIDEPRESSIVOS II"/>
    <d v="2025-05-30T00:00:00"/>
    <x v="144"/>
    <x v="0"/>
    <x v="3"/>
    <m/>
    <m/>
    <m/>
    <m/>
    <m/>
    <s v=""/>
    <m/>
    <x v="2"/>
    <x v="1"/>
    <m/>
  </r>
  <r>
    <x v="147"/>
    <s v="SRP Papel Higiênico e Toalha de Papel - Aquisição através do Registro de Preço do PE 1025/2023, na modalidade PARTICIPANTE, de Papel Higiênico e Toalha de Papel para atender as necessidades das unidades da Polícia Científica do Paraná. VALIDADE DA ATA: 10"/>
    <d v="2025-09-10T00:00:00"/>
    <x v="145"/>
    <x v="0"/>
    <x v="3"/>
    <m/>
    <m/>
    <d v="2025-11-24T00:00:00"/>
    <d v="2025-11-25T00:00:00"/>
    <n v="30"/>
    <d v="2025-12-25T00:00:00"/>
    <m/>
    <x v="2"/>
    <x v="1"/>
    <s v="Chegou no dia 02/12 o papel higiênico da empresa Kelly Minioli e Mastersul"/>
  </r>
  <r>
    <x v="148"/>
    <s v="SRP Luva Nitrílica - Aquisição através do Registro de Preço do PE 747/2023, na modalidade PARTICIPANTE, de Luva Nitrílica para atender as necessidades das unidades da Polícia Científica do Paraná. VALIDADE DA ATA: 28/04/2026"/>
    <d v="2025-09-11T00:00:00"/>
    <x v="146"/>
    <x v="0"/>
    <x v="3"/>
    <m/>
    <m/>
    <d v="2025-11-24T00:00:00"/>
    <d v="2025-11-25T00:00:00"/>
    <n v="30"/>
    <d v="2025-12-25T00:00:00"/>
    <m/>
    <x v="56"/>
    <x v="0"/>
    <m/>
  </r>
  <r>
    <x v="149"/>
    <s v="Trata-se da aquisição de impressora térmica modelo transferência de térmica para atender a demando do patrimônio da Policia Cientifica do Paraná."/>
    <d v="2025-09-12T00:00:00"/>
    <x v="147"/>
    <x v="1"/>
    <x v="0"/>
    <m/>
    <m/>
    <m/>
    <m/>
    <m/>
    <s v=""/>
    <m/>
    <x v="2"/>
    <x v="1"/>
    <m/>
  </r>
  <r>
    <x v="150"/>
    <s v="Trata-se da aquisição de viaturas caracterizadas, por meio de adesão a ATA de Registro de preço - 33/2025 gerenciada pela Secretaria Nacional de Segurança Publica - SENASP. veículo duster 10un"/>
    <d v="2025-09-16T00:00:00"/>
    <x v="137"/>
    <x v="1"/>
    <x v="6"/>
    <m/>
    <d v="2025-11-11T00:00:00"/>
    <d v="2025-11-18T00:00:00"/>
    <d v="2025-11-11T00:00:00"/>
    <n v="180"/>
    <d v="2026-05-10T00:00:00"/>
    <d v="2026-04-15T00:00:00"/>
    <x v="2"/>
    <x v="1"/>
    <m/>
  </r>
  <r>
    <x v="151"/>
    <s v="Aquisição de lâminas de vidro para microscopia, via Ata de Registro de Preços 163/2024 da SESA/PR, na modalidade ADESÃO, para atender a demanda da Polícia Científica do Paraná."/>
    <d v="2025-09-16T00:00:00"/>
    <x v="148"/>
    <x v="0"/>
    <x v="4"/>
    <m/>
    <m/>
    <d v="2025-10-22T00:00:00"/>
    <d v="2025-10-24T00:00:00"/>
    <n v="10"/>
    <d v="2025-11-03T00:00:00"/>
    <m/>
    <x v="63"/>
    <x v="0"/>
    <m/>
  </r>
  <r>
    <x v="152"/>
    <s v="Aquisição de Botas Táticas, por meio da ATA SRP 001/2024, na modalidade ADESÃO (CARONA), para atender a demanda da Polícia Científica do Paraná, VALIDADE DA ATA: 12/12/2025."/>
    <d v="2025-09-22T00:00:00"/>
    <x v="149"/>
    <x v="0"/>
    <x v="4"/>
    <m/>
    <m/>
    <m/>
    <m/>
    <m/>
    <s v=""/>
    <m/>
    <x v="2"/>
    <x v="1"/>
    <m/>
  </r>
  <r>
    <x v="153"/>
    <s v="[Verba Parlamentar - Moro] - SRP SENASP - Aquisição através de registro de preço no 8/2025 E 9/2025, na modalidade PARTICIPANTE de INSUMOS PARA PROC. DE AMOSTRAS LGMF para atendimento da Polícia Científica do Paraná. VALIDADE 20/03/2026"/>
    <d v="2025-09-22T00:00:00"/>
    <x v="150"/>
    <x v="0"/>
    <x v="5"/>
    <m/>
    <m/>
    <m/>
    <m/>
    <m/>
    <s v=""/>
    <m/>
    <x v="2"/>
    <x v="1"/>
    <m/>
  </r>
  <r>
    <x v="154"/>
    <s v="SRP Federal Comparador Espectral de Vídeo - Aquisição através do Registro de Preço do PE 055/2025, na modalidade PARTICIPANTE, de Comparador Espectral de Vídeo para atender as necessidades da Unidade de Execução Técnico-Científica de Curitiba da Polícia C"/>
    <d v="2025-09-25T00:00:00"/>
    <x v="151"/>
    <x v="1"/>
    <x v="5"/>
    <m/>
    <m/>
    <m/>
    <m/>
    <m/>
    <s v=""/>
    <m/>
    <x v="2"/>
    <x v="2"/>
    <s v="arquivado e será continuado pelo protocolo n 24.342.992-7."/>
  </r>
  <r>
    <x v="155"/>
    <s v="Aquisição de cartões de proximidade RFID em frequência dupla, por meio de dispensa de licitação, para atender a demanda da Polícia Científica do Paraná."/>
    <d v="2025-09-26T00:00:00"/>
    <x v="152"/>
    <x v="0"/>
    <x v="0"/>
    <m/>
    <m/>
    <m/>
    <m/>
    <m/>
    <s v=""/>
    <m/>
    <x v="2"/>
    <x v="1"/>
    <m/>
  </r>
  <r>
    <x v="156"/>
    <s v="SRP - Padrões Analíticos Certificados – ANESTÉSICOS"/>
    <d v="2025-05-31T00:00:00"/>
    <x v="153"/>
    <x v="0"/>
    <x v="3"/>
    <m/>
    <m/>
    <m/>
    <m/>
    <m/>
    <s v=""/>
    <m/>
    <x v="2"/>
    <x v="1"/>
    <m/>
  </r>
  <r>
    <x v="157"/>
    <s v="SRP Reagentes Químicos - Aquisição através do Registro de Preço do PE 254/2025, na modalidade PARTICIPANTE, de Reagentes Químicos para atender as necessidades das unidades da Polícia Científica do Paraná. VALIDADE DA ATA: 01/10/2026"/>
    <d v="2025-10-01T00:00:00"/>
    <x v="154"/>
    <x v="0"/>
    <x v="3"/>
    <m/>
    <m/>
    <m/>
    <m/>
    <m/>
    <s v=""/>
    <m/>
    <x v="2"/>
    <x v="1"/>
    <m/>
  </r>
  <r>
    <x v="158"/>
    <s v="abertura de processo de compra direta por dispensa de licitação para aquisição de materiais gráficos e brindes personalizados"/>
    <d v="2025-09-16T00:00:00"/>
    <x v="155"/>
    <x v="0"/>
    <x v="0"/>
    <m/>
    <m/>
    <m/>
    <m/>
    <m/>
    <s v=""/>
    <m/>
    <x v="2"/>
    <x v="1"/>
    <m/>
  </r>
  <r>
    <x v="159"/>
    <s v="SRP Softwares Autodesk - Aquisição através do Registro de Preço do PE 1037/2023, na modalidade PARTICIPANTE, de Softwares Autodesk BIM Collaborate Pro e Collection Autodesk Architecture para atender as necessidades das unidades da Polícia Científica do Pa"/>
    <d v="2025-10-02T00:00:00"/>
    <x v="156"/>
    <x v="0"/>
    <x v="3"/>
    <m/>
    <m/>
    <m/>
    <m/>
    <m/>
    <s v=""/>
    <m/>
    <x v="2"/>
    <x v="1"/>
    <m/>
  </r>
  <r>
    <x v="160"/>
    <s v="Solicita contratação de serviço de manutenção preventiva, corretiva e qualificação operacional para os equipamentos da marca Agilent Technologies utilizados nas seções de Toxicologia Forense e Química Forense da Polícia Científica do Paraná"/>
    <d v="2025-10-03T00:00:00"/>
    <x v="157"/>
    <x v="0"/>
    <x v="2"/>
    <m/>
    <m/>
    <m/>
    <m/>
    <n v="5"/>
    <s v=""/>
    <m/>
    <x v="2"/>
    <x v="1"/>
    <m/>
  </r>
  <r>
    <x v="161"/>
    <s v="SRP Água Sanitária e Desodorizador de Ambiente - Aquisição através do Registro de Preço do PE 112/2024, na modalidade PARTICIPANTE, de Água Sanitária e Desodorizador de Ambiente para atender as necessidades das unidades da Polícia Científica do Paraná. VA"/>
    <d v="2025-10-07T00:00:00"/>
    <x v="158"/>
    <x v="0"/>
    <x v="3"/>
    <m/>
    <m/>
    <d v="2025-10-17T00:00:00"/>
    <d v="2025-10-21T00:00:00"/>
    <n v="30"/>
    <d v="2025-11-20T00:00:00"/>
    <m/>
    <x v="64"/>
    <x v="0"/>
    <m/>
  </r>
  <r>
    <x v="162"/>
    <s v="SRP Materiais de Limpeza SRP 113/2024 - Aquisição através do Registro de Preço do PE 113/2024, na modalidade PARTICIPANTE, de Materiais de Limpeza para atender as necessidades das unidades da Polícia Científica do Paraná. VALIDADE DA ATA: 06/03/2026"/>
    <d v="2025-10-08T00:00:00"/>
    <x v="159"/>
    <x v="0"/>
    <x v="3"/>
    <m/>
    <m/>
    <d v="2025-10-30T00:00:00"/>
    <d v="2025-11-05T00:00:00"/>
    <n v="30"/>
    <d v="2025-12-05T00:00:00"/>
    <m/>
    <x v="2"/>
    <x v="1"/>
    <s v="Entregue parcial no dia 13/11/2025"/>
  </r>
  <r>
    <x v="163"/>
    <s v="(OPERAÇÃO VERÃO) SRP SENASP - Aquisição através de registro de preço n 104/2024, PE n 17/2024 de Mesa Ginecológica para atendimento da Polícia Científica do Paraná."/>
    <d v="2025-08-21T00:00:00"/>
    <x v="160"/>
    <x v="1"/>
    <x v="5"/>
    <m/>
    <d v="2025-11-14T00:00:00"/>
    <d v="2025-11-26T00:00:00"/>
    <d v="2025-11-14T00:00:00"/>
    <n v="30"/>
    <d v="2025-12-14T00:00:00"/>
    <m/>
    <x v="2"/>
    <x v="1"/>
    <m/>
  </r>
  <r>
    <x v="164"/>
    <s v="SRP Materiais de Expediente - Grupo 2 - Aquisição através do Registro de Preço do PE 1858/2024, na modalidade PARTICIPANTE, de Materiais de Expediente para atender as necessidades das unidades da Polícia Científica do Paraná. VALIDADE DA ATA: 05/10/2026"/>
    <d v="2025-10-09T00:00:00"/>
    <x v="161"/>
    <x v="0"/>
    <x v="3"/>
    <m/>
    <m/>
    <d v="2025-10-23T00:00:00"/>
    <d v="2025-10-24T00:00:00"/>
    <n v="30"/>
    <d v="2025-11-23T00:00:00"/>
    <m/>
    <x v="65"/>
    <x v="0"/>
    <m/>
  </r>
  <r>
    <x v="165"/>
    <s v="Aquisição de 3 unidades de LC/MSMS via SRP. Recurso Lottopar. Vigência: até 30/01/2026."/>
    <d v="2025-10-06T00:00:00"/>
    <x v="162"/>
    <x v="1"/>
    <x v="5"/>
    <m/>
    <m/>
    <m/>
    <m/>
    <n v="120"/>
    <s v=""/>
    <m/>
    <x v="2"/>
    <x v="1"/>
    <m/>
  </r>
  <r>
    <x v="166"/>
    <s v="SRP Caixa Arquivo - Aquisição através do Registro de Preço do PE 27/2023, na modalidade PARTICIPANTE, de Caixa Arquivo para atender as necessidades das unidades da Polícia Científica do Paraná. VALIDADE DA ATA: 26/02/2026"/>
    <d v="2025-10-10T00:00:00"/>
    <x v="163"/>
    <x v="0"/>
    <x v="3"/>
    <m/>
    <m/>
    <d v="2025-10-23T00:00:00"/>
    <d v="2025-10-24T00:00:00"/>
    <n v="30"/>
    <d v="2025-11-23T00:00:00"/>
    <m/>
    <x v="65"/>
    <x v="0"/>
    <m/>
  </r>
  <r>
    <x v="167"/>
    <s v="SRP Detergente - Aquisição através do Registro de Preço do PE 112/2024, na modalidade PARTICIPANTE, de Detergente para atender as necessidades das  unidades da Polícia Científica do Paraná. VALIDADE DA ATA 28/08/2025"/>
    <d v="2025-10-10T00:00:00"/>
    <x v="164"/>
    <x v="0"/>
    <x v="3"/>
    <m/>
    <m/>
    <m/>
    <m/>
    <n v="30"/>
    <s v=""/>
    <m/>
    <x v="2"/>
    <x v="1"/>
    <m/>
  </r>
  <r>
    <x v="168"/>
    <s v="Carrinho plataforma abastecedor para atender a demanda do almoxarifado central"/>
    <d v="2025-10-14T00:00:00"/>
    <x v="126"/>
    <x v="1"/>
    <x v="0"/>
    <m/>
    <m/>
    <d v="2025-11-25T00:00:00"/>
    <d v="2025-11-28T00:00:00"/>
    <n v="60"/>
    <d v="2026-01-27T00:00:00"/>
    <m/>
    <x v="2"/>
    <x v="1"/>
    <m/>
  </r>
  <r>
    <x v="169"/>
    <s v="Dispensa de Inexigibilidade através do [FUNSUSP] para aquisição de Indexador Balístico para a atender a demanda da Seção de Balística Forense da Polícia Científica do Paraná."/>
    <d v="2025-10-15T00:00:00"/>
    <x v="165"/>
    <x v="1"/>
    <x v="2"/>
    <m/>
    <m/>
    <m/>
    <m/>
    <n v="180"/>
    <s v=""/>
    <m/>
    <x v="2"/>
    <x v="1"/>
    <m/>
  </r>
  <r>
    <x v="170"/>
    <s v="SRP ADESÃO - Aquisição através do Registro de Preço do PE 128/2025 -IV da Polícia Civil do Estado de Minas Gerais, na modalidade CARONA de 100 Câmeras Fotográficas para atender as unidades da Polícia Científica do Paraná. VALIDADE DA ATA: 05/06/2026"/>
    <d v="2025-10-15T00:00:00"/>
    <x v="166"/>
    <x v="1"/>
    <x v="4"/>
    <m/>
    <m/>
    <m/>
    <m/>
    <n v="30"/>
    <s v=""/>
    <m/>
    <x v="2"/>
    <x v="1"/>
    <m/>
  </r>
  <r>
    <x v="171"/>
    <s v="SRP CADEIRAS GIRATÓRIA -  PE 90002/2025 de São Paulo, na modalidade CARONA, VALIDADE DA ATA: 05/06/2026 - 335 unidades"/>
    <d v="2025-10-16T00:00:00"/>
    <x v="167"/>
    <x v="1"/>
    <x v="3"/>
    <m/>
    <m/>
    <m/>
    <m/>
    <m/>
    <s v=""/>
    <m/>
    <x v="2"/>
    <x v="1"/>
    <m/>
  </r>
  <r>
    <x v="172"/>
    <s v="Trata-se do pedido de adesão à ATA de Registro de Preço de cadeiras giratorias FOZ N 003 - PE92115/2024 ao Órgão Gerenciador - UNIOESTE."/>
    <d v="2024-10-16T00:00:00"/>
    <x v="168"/>
    <x v="1"/>
    <x v="3"/>
    <m/>
    <m/>
    <m/>
    <m/>
    <m/>
    <s v=""/>
    <m/>
    <x v="2"/>
    <x v="1"/>
    <m/>
  </r>
  <r>
    <x v="173"/>
    <s v="SRP Luva Látex - Aquisição através do Registro de Preço do PE 75/2023, na modalidade PARTICIPANTE, de Luva Látex para atender as necessidades das unidades da Polícia Científica do Paraná. VALIDADE DA ATA 19/10/2026"/>
    <d v="2025-10-20T00:00:00"/>
    <x v="169"/>
    <x v="0"/>
    <x v="3"/>
    <m/>
    <m/>
    <m/>
    <m/>
    <m/>
    <s v=""/>
    <m/>
    <x v="2"/>
    <x v="1"/>
    <m/>
  </r>
  <r>
    <x v="174"/>
    <s v="(Programa Paraná mais Cidades) - SRP Veículo Suv/Minivan - Aquisição através de Registro de Preço n719/2024 na modalidade PARTICIPANTE, de veículo suv/minivan para atender a UETC de Jacarezinho da Polícia Científica do Paraná. VALIDADE DA ATA 25/09/2026"/>
    <d v="2025-10-20T00:00:00"/>
    <x v="170"/>
    <x v="1"/>
    <x v="3"/>
    <m/>
    <m/>
    <m/>
    <m/>
    <m/>
    <s v=""/>
    <m/>
    <x v="2"/>
    <x v="1"/>
    <m/>
  </r>
  <r>
    <x v="175"/>
    <s v="SRP Material de Acondicionamento de Embalagens Grupo III - Aquisição através do Registro de Preço do PE 1028/2023, na modalidade PARTICIPANTE, de Material de Acondicionamento de Embalagens para atender as necessidades das  unidades da Polícia Científica d"/>
    <d v="2025-10-22T00:00:00"/>
    <x v="171"/>
    <x v="0"/>
    <x v="3"/>
    <m/>
    <m/>
    <m/>
    <m/>
    <m/>
    <s v=""/>
    <m/>
    <x v="2"/>
    <x v="1"/>
    <m/>
  </r>
  <r>
    <x v="176"/>
    <s v="SRP VAN E FURGÕES - Aquisição através do Registro de Preço do PE 719/2024, na modalidade PARTICIPANTE, de Van e Furgões para atender as necessidades das unidades da Polícia Científica do Paraná. VALIDADE DA ATA 01/09/2026"/>
    <d v="2025-10-23T00:00:00"/>
    <x v="172"/>
    <x v="1"/>
    <x v="3"/>
    <m/>
    <m/>
    <m/>
    <m/>
    <m/>
    <s v=""/>
    <m/>
    <x v="2"/>
    <x v="1"/>
    <m/>
  </r>
  <r>
    <x v="177"/>
    <s v="Solicitação de Aquisição de Tanques Balísticos"/>
    <d v="2025-10-24T00:00:00"/>
    <x v="173"/>
    <x v="1"/>
    <x v="1"/>
    <m/>
    <m/>
    <m/>
    <m/>
    <m/>
    <s v=""/>
    <m/>
    <x v="2"/>
    <x v="1"/>
    <m/>
  </r>
  <r>
    <x v="178"/>
    <s v="SRP Câmaras Frias - Aquisição através do Registro de Preço do PE 1388/2024, de 04 unidades de Câmaras Frias para atender as necessidades das unidades da Polícia Científica do Paraná (segunda adesão). Para as UETCs Ivaiporã, Apucarana, Guarapuava e Londrin"/>
    <d v="2025-10-24T00:00:00"/>
    <x v="174"/>
    <x v="1"/>
    <x v="3"/>
    <m/>
    <m/>
    <m/>
    <m/>
    <m/>
    <s v=""/>
    <m/>
    <x v="2"/>
    <x v="1"/>
    <m/>
  </r>
  <r>
    <x v="179"/>
    <s v="Aquisição de Estantes pela Ata de Registro de Preços n 45/2025/TRT11."/>
    <d v="2025-10-24T00:00:00"/>
    <x v="175"/>
    <x v="1"/>
    <x v="4"/>
    <m/>
    <m/>
    <m/>
    <m/>
    <m/>
    <s v=""/>
    <m/>
    <x v="2"/>
    <x v="1"/>
    <m/>
  </r>
  <r>
    <x v="180"/>
    <s v="Aquisição de sistema de ultrapurificação de água, por meio da ata SRP 67/2025 do Ministério da Saúde, na modalidade ADESÃO, validade da ata: 24/03/2026."/>
    <d v="2025-10-14T00:00:00"/>
    <x v="176"/>
    <x v="1"/>
    <x v="6"/>
    <m/>
    <m/>
    <m/>
    <m/>
    <m/>
    <s v=""/>
    <m/>
    <x v="2"/>
    <x v="1"/>
    <m/>
  </r>
  <r>
    <x v="181"/>
    <s v="munições intactas nos calibres nominais 9mm Luger, .40S&amp;W, 5,56x45mm NATO, 7,62x51mm e 12 GA via Ata SRP 01/2023 DECON/PR, na modalidade PARTICIPANTE, vigente até 09/04/2026 . Munição"/>
    <d v="2025-10-09T00:00:00"/>
    <x v="177"/>
    <x v="0"/>
    <x v="3"/>
    <m/>
    <m/>
    <m/>
    <m/>
    <m/>
    <s v=""/>
    <m/>
    <x v="2"/>
    <x v="1"/>
    <m/>
  </r>
  <r>
    <x v="182"/>
    <s v="SENTINELA - Aquisição de veículos para deslocamento pericial. Viatura 02 Trailblazer"/>
    <d v="2025-11-04T00:00:00"/>
    <x v="178"/>
    <x v="1"/>
    <x v="5"/>
    <m/>
    <m/>
    <m/>
    <m/>
    <m/>
    <s v=""/>
    <m/>
    <x v="2"/>
    <x v="1"/>
    <m/>
  </r>
  <r>
    <x v="183"/>
    <s v="Trata-se de aquisição de mesas para escritório por meio de CARONA- ATA DE REGISTRO DE PREÇOS No 08/2024. Validade: 29/09/2026"/>
    <d v="2025-11-05T00:00:00"/>
    <x v="179"/>
    <x v="1"/>
    <x v="4"/>
    <m/>
    <m/>
    <m/>
    <m/>
    <m/>
    <s v=""/>
    <m/>
    <x v="2"/>
    <x v="1"/>
    <m/>
  </r>
  <r>
    <x v="184"/>
    <s v="SRP - Aquisição através do Registro de Preço do PE 644/2023, de aquisição de Tela Interativa e Suporte Pedestal para atender as unidades da Polícia Científica do Paraná."/>
    <d v="2024-12-03T00:00:00"/>
    <x v="180"/>
    <x v="1"/>
    <x v="4"/>
    <m/>
    <m/>
    <d v="2025-02-20T00:00:00"/>
    <m/>
    <m/>
    <s v=""/>
    <m/>
    <x v="2"/>
    <x v="1"/>
    <m/>
  </r>
  <r>
    <x v="182"/>
    <s v="SENTINELA - SRP SENASP Aquisição através de registro de preço 18/2025 de Veículo SUV 4x4 para atendimento da Polícia Científica do Paraná."/>
    <d v="2025-11-05T00:00:00"/>
    <x v="178"/>
    <x v="1"/>
    <x v="5"/>
    <m/>
    <m/>
    <m/>
    <m/>
    <m/>
    <s v=""/>
    <m/>
    <x v="2"/>
    <x v="1"/>
    <m/>
  </r>
  <r>
    <x v="185"/>
    <s v="Aquisição de Armários Deslizantes"/>
    <d v="2025-10-24T00:00:00"/>
    <x v="181"/>
    <x v="1"/>
    <x v="5"/>
    <m/>
    <d v="2025-12-10T00:00:00"/>
    <m/>
    <d v="2025-12-10T00:00:00"/>
    <n v="180"/>
    <d v="2026-06-08T00:00:00"/>
    <m/>
    <x v="2"/>
    <x v="1"/>
    <m/>
  </r>
  <r>
    <x v="186"/>
    <s v="Aquisição de micropipetas e repipetadores monocanais, manuais e eletrônicas, via ATA SRP 163/2025 SESA PR, válida até 28/10/2026, na modalidade PARTICIPANTE, para atender a demanda dos laboratórios forenses da Polícia Científica do Paraná."/>
    <d v="2025-11-05T00:00:00"/>
    <x v="182"/>
    <x v="0"/>
    <x v="3"/>
    <m/>
    <d v="2025-12-10T00:00:00"/>
    <m/>
    <d v="2025-12-10T00:00:00"/>
    <n v="60"/>
    <d v="2026-02-08T00:00:00"/>
    <d v="2025-01-25T00:00:00"/>
    <x v="2"/>
    <x v="1"/>
    <m/>
  </r>
  <r>
    <x v="187"/>
    <s v="SRP Drone - Aquisição através do Registro de Preço do PE 1327/2024, na modalidade PARTICIPANTE, de Drone para atender as necessidades das unidades da Polícia Científica do Paraná. VALIDADE DA ATA: 27/04/2026. (CONVÊNIO 936068_2022)"/>
    <d v="2025-11-10T00:00:00"/>
    <x v="183"/>
    <x v="1"/>
    <x v="3"/>
    <m/>
    <m/>
    <m/>
    <m/>
    <m/>
    <s v=""/>
    <m/>
    <x v="2"/>
    <x v="1"/>
    <m/>
  </r>
  <r>
    <x v="188"/>
    <s v="[Projeto Sentinela Forense] - Solicitação de compra por inexigibilidade de 02 Sistemas de Análise de Bebidas para atender demanda de análise de falsificação de bebidas dos laboratórios da Polícia Científica do Paraná"/>
    <d v="2025-11-03T00:00:00"/>
    <x v="184"/>
    <x v="1"/>
    <x v="2"/>
    <m/>
    <m/>
    <m/>
    <m/>
    <m/>
    <s v=""/>
    <m/>
    <x v="2"/>
    <x v="1"/>
    <m/>
  </r>
  <r>
    <x v="189"/>
    <s v="Aquisição de agitador de tubos tipo vórtex e cabine de segurança biológica, via ATA SRP no 425/2023 da SESA, vigente até 17/09/2026, na modalidade ADESÃO, para atender a demanda da Polícia Científica do Paraná."/>
    <d v="2025-11-12T00:00:00"/>
    <x v="185"/>
    <x v="1"/>
    <x v="4"/>
    <m/>
    <m/>
    <m/>
    <m/>
    <m/>
    <s v=""/>
    <m/>
    <x v="2"/>
    <x v="1"/>
    <m/>
  </r>
  <r>
    <x v="190"/>
    <s v="[Programa Sentinela] Aquisição de Sistema Automatizado de Identificação e Comparação Balística EVOFINDER - Seção de Balística Forense de Curitiba"/>
    <d v="2025-11-17T00:00:00"/>
    <x v="186"/>
    <x v="1"/>
    <x v="2"/>
    <m/>
    <m/>
    <m/>
    <m/>
    <m/>
    <s v=""/>
    <m/>
    <x v="2"/>
    <x v="1"/>
    <m/>
  </r>
  <r>
    <x v="191"/>
    <s v="Solicita-se a aquisição de frascos para ARLA."/>
    <d v="2025-11-17T00:00:00"/>
    <x v="187"/>
    <x v="0"/>
    <x v="0"/>
    <m/>
    <m/>
    <m/>
    <m/>
    <m/>
    <s v=""/>
    <m/>
    <x v="2"/>
    <x v="1"/>
    <m/>
  </r>
  <r>
    <x v="192"/>
    <s v="Equipamento Forense para Leitura de Dados de Unidades de Controle Eletrônica de Veículos"/>
    <d v="2025-11-18T00:00:00"/>
    <x v="188"/>
    <x v="1"/>
    <x v="2"/>
    <m/>
    <m/>
    <m/>
    <m/>
    <m/>
    <s v=""/>
    <m/>
    <x v="2"/>
    <x v="1"/>
    <m/>
  </r>
  <r>
    <x v="193"/>
    <s v="SRP Reagentes Químicos (Processo 2) - Aquisição através do Registro de Preço do PE 252/2025, na modalidade PARTICIPANTE, de Reagentes Químicos para atender as necessidades das unidades da Polícia Científica do Paraná. VALIDADE DA ATA 16/10/2026"/>
    <d v="2025-11-19T00:00:00"/>
    <x v="189"/>
    <x v="0"/>
    <x v="3"/>
    <m/>
    <m/>
    <m/>
    <m/>
    <m/>
    <s v=""/>
    <m/>
    <x v="2"/>
    <x v="1"/>
    <m/>
  </r>
  <r>
    <x v="194"/>
    <s v="Aquisição de Ferramenta Avançada de Recuperação - Convênio federal 936068-2022 - Etapa 3 Meta"/>
    <d v="2025-11-17T00:00:00"/>
    <x v="190"/>
    <x v="1"/>
    <x v="2"/>
    <m/>
    <m/>
    <m/>
    <m/>
    <m/>
    <s v=""/>
    <m/>
    <x v="2"/>
    <x v="1"/>
    <m/>
  </r>
  <r>
    <x v="195"/>
    <s v="SRP Café Superior - Aquisição através do Registro de Preço do PE 501/2025, na modalidade PARTICIPANTE, de Café Superior para atender as necessidades das unidades da Polícia Científica do Paraná. VALIDADE DA ATA 25/11/2026"/>
    <d v="2025-11-28T00:00:00"/>
    <x v="191"/>
    <x v="0"/>
    <x v="3"/>
    <m/>
    <m/>
    <m/>
    <m/>
    <m/>
    <s v=""/>
    <m/>
    <x v="2"/>
    <x v="1"/>
    <m/>
  </r>
  <r>
    <x v="196"/>
    <s v="SRP Vidrarias - Aquisição através do Registro de Preço do PE 488/2024, na modalidade CARONA, de Vidrarias para atender a demanda de Seção de Química Forense da Polícia Científica do Paraná. VALIDADE DA ATA: 07/01/2026"/>
    <d v="2025-10-30T00:00:00"/>
    <x v="192"/>
    <x v="0"/>
    <x v="4"/>
    <m/>
    <m/>
    <m/>
    <m/>
    <m/>
    <s v=""/>
    <m/>
    <x v="2"/>
    <x v="2"/>
    <s v="Devolvido a origem"/>
  </r>
  <r>
    <x v="197"/>
    <s v="SRP - Padrões Analíticos Certificados – DROGAS I"/>
    <d v="2025-05-14T00:00:00"/>
    <x v="193"/>
    <x v="0"/>
    <x v="3"/>
    <m/>
    <m/>
    <m/>
    <m/>
    <m/>
    <s v=""/>
    <m/>
    <x v="2"/>
    <x v="1"/>
    <m/>
  </r>
  <r>
    <x v="198"/>
    <s v="SRP - Padrões Analíticos Certificados – OPIÓIDES II"/>
    <d v="2025-05-14T00:00:00"/>
    <x v="194"/>
    <x v="0"/>
    <x v="3"/>
    <m/>
    <m/>
    <m/>
    <m/>
    <m/>
    <s v=""/>
    <m/>
    <x v="2"/>
    <x v="1"/>
    <m/>
  </r>
  <r>
    <x v="199"/>
    <s v="Contratação de empresa especializada para desmontagem e descarte da câmara fria da UETC Paranaguá"/>
    <d v="2025-10-02T00:00:00"/>
    <x v="195"/>
    <x v="0"/>
    <x v="0"/>
    <m/>
    <m/>
    <m/>
    <m/>
    <m/>
    <s v=""/>
    <m/>
    <x v="2"/>
    <x v="1"/>
    <m/>
  </r>
  <r>
    <x v="200"/>
    <s v="Aquisição de água mineral 500 mL, via Ata SRP n 1089/2024/DECON/SEAP, na modalidade PARTICIPANTE, para atender a demanda da Polícia Científica do Paraná._x000a_"/>
    <d v="2025-12-03T00:00:00"/>
    <x v="196"/>
    <x v="0"/>
    <x v="3"/>
    <m/>
    <m/>
    <m/>
    <m/>
    <m/>
    <s v=""/>
    <m/>
    <x v="2"/>
    <x v="1"/>
    <m/>
  </r>
  <r>
    <x v="179"/>
    <s v="SRP Federal - (Adesão) Aquisição de Estantes pela Ata de Registro de Preços n 45/2025/TRT11 para atender a demanda da Polícia Científica do Paraná. VALIDADE DA ATA 13/08/2026."/>
    <d v="2025-12-05T00:00:00"/>
    <x v="175"/>
    <x v="1"/>
    <x v="6"/>
    <m/>
    <m/>
    <m/>
    <m/>
    <m/>
    <s v=""/>
    <m/>
    <x v="2"/>
    <x v="1"/>
    <m/>
  </r>
  <r>
    <x v="201"/>
    <s v="SRP Federal - (Adesão) Aquisição de Centrífugas, através de Ata de Registro de Preço 7/20225, para atender a demanda de Seção de Química Forense da Polícia Científica do Paraná. Validade da Ata 13/01/2026."/>
    <n v="6620361"/>
    <x v="197"/>
    <x v="1"/>
    <x v="6"/>
    <m/>
    <m/>
    <m/>
    <m/>
    <m/>
    <s v=""/>
    <m/>
    <x v="2"/>
    <x v="1"/>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r>
    <x v="202"/>
    <m/>
    <m/>
    <x v="198"/>
    <x v="2"/>
    <x v="7"/>
    <m/>
    <m/>
    <m/>
    <m/>
    <m/>
    <s v=""/>
    <m/>
    <x v="2"/>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Base de Dados 14" cacheId="8" applyNumberFormats="0" applyBorderFormats="0" applyFontFormats="0" applyPatternFormats="0" applyAlignmentFormats="0" applyWidthHeightFormats="0" dataCaption="" updatedVersion="6" rowGrandTotals="0" compact="0" compactData="0">
  <location ref="AN5:AO26"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compact="0" outline="0" multipleItemSelectionAllowed="1" showAll="0">
      <items count="9">
        <item x="0"/>
        <item h="1"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21">
    <i>
      <x v="9"/>
    </i>
    <i>
      <x v="14"/>
    </i>
    <i>
      <x v="30"/>
    </i>
    <i>
      <x v="36"/>
    </i>
    <i>
      <x v="41"/>
    </i>
    <i>
      <x v="45"/>
    </i>
    <i>
      <x v="46"/>
    </i>
    <i>
      <x v="50"/>
    </i>
    <i>
      <x v="56"/>
    </i>
    <i>
      <x v="83"/>
    </i>
    <i>
      <x v="85"/>
    </i>
    <i>
      <x v="87"/>
    </i>
    <i>
      <x v="88"/>
    </i>
    <i>
      <x v="113"/>
    </i>
    <i>
      <x v="128"/>
    </i>
    <i>
      <x v="135"/>
    </i>
    <i>
      <x v="152"/>
    </i>
    <i>
      <x v="159"/>
    </i>
    <i>
      <x v="160"/>
    </i>
    <i>
      <x v="166"/>
    </i>
    <i>
      <x v="198"/>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13000000}" name="Base de Dados 27" cacheId="8" applyNumberFormats="0" applyBorderFormats="0" applyFontFormats="0" applyPatternFormats="0" applyAlignmentFormats="0" applyWidthHeightFormats="0" dataCaption="" updatedVersion="6" rowGrandTotals="0" compact="0" compactData="0">
  <location ref="CA5:CB62" firstHeaderRow="1" firstDataRow="1" firstDataCol="1" rowPageCount="2" colPageCount="1"/>
  <pivotFields count="16">
    <pivotField name="PROCESSO N°" axis="axisRow" dataField="1"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axis="axisPage" compact="0" outline="0" multipleItemSelectionAllowed="1" showAll="0">
      <items count="5">
        <item h="1" x="0"/>
        <item x="1"/>
        <item h="1" x="2"/>
        <item h="1" x="3"/>
        <item t="default"/>
      </items>
    </pivotField>
    <pivotField name="OBSERVAÇÃO" compact="0" outline="0" multipleItemSelectionAllowed="1" showAll="0"/>
  </pivotFields>
  <rowFields count="1">
    <field x="0"/>
  </rowFields>
  <rowItems count="57">
    <i>
      <x/>
    </i>
    <i>
      <x v="1"/>
    </i>
    <i>
      <x v="2"/>
    </i>
    <i>
      <x v="10"/>
    </i>
    <i>
      <x v="12"/>
    </i>
    <i>
      <x v="15"/>
    </i>
    <i>
      <x v="20"/>
    </i>
    <i>
      <x v="26"/>
    </i>
    <i>
      <x v="27"/>
    </i>
    <i>
      <x v="39"/>
    </i>
    <i>
      <x v="62"/>
    </i>
    <i>
      <x v="63"/>
    </i>
    <i>
      <x v="64"/>
    </i>
    <i>
      <x v="67"/>
    </i>
    <i>
      <x v="70"/>
    </i>
    <i>
      <x v="79"/>
    </i>
    <i>
      <x v="80"/>
    </i>
    <i>
      <x v="101"/>
    </i>
    <i>
      <x v="102"/>
    </i>
    <i>
      <x v="103"/>
    </i>
    <i>
      <x v="112"/>
    </i>
    <i>
      <x v="114"/>
    </i>
    <i>
      <x v="116"/>
    </i>
    <i>
      <x v="117"/>
    </i>
    <i>
      <x v="123"/>
    </i>
    <i>
      <x v="125"/>
    </i>
    <i>
      <x v="127"/>
    </i>
    <i>
      <x v="129"/>
    </i>
    <i>
      <x v="139"/>
    </i>
    <i>
      <x v="141"/>
    </i>
    <i>
      <x v="142"/>
    </i>
    <i>
      <x v="148"/>
    </i>
    <i>
      <x v="149"/>
    </i>
    <i>
      <x v="150"/>
    </i>
    <i>
      <x v="156"/>
    </i>
    <i>
      <x v="157"/>
    </i>
    <i>
      <x v="164"/>
    </i>
    <i>
      <x v="168"/>
    </i>
    <i>
      <x v="173"/>
    </i>
    <i>
      <x v="176"/>
    </i>
    <i>
      <x v="177"/>
    </i>
    <i>
      <x v="178"/>
    </i>
    <i>
      <x v="179"/>
    </i>
    <i>
      <x v="180"/>
    </i>
    <i>
      <x v="181"/>
    </i>
    <i>
      <x v="182"/>
    </i>
    <i>
      <x v="183"/>
    </i>
    <i>
      <x v="186"/>
    </i>
    <i>
      <x v="187"/>
    </i>
    <i>
      <x v="188"/>
    </i>
    <i>
      <x v="189"/>
    </i>
    <i>
      <x v="190"/>
    </i>
    <i>
      <x v="191"/>
    </i>
    <i>
      <x v="193"/>
    </i>
    <i>
      <x v="195"/>
    </i>
    <i>
      <x v="196"/>
    </i>
    <i>
      <x v="197"/>
    </i>
  </rowItems>
  <colItems count="1">
    <i/>
  </colItems>
  <pageFields count="2">
    <pageField fld="4" hier="0"/>
    <pageField fld="14" hier="0"/>
  </pageFields>
  <dataFields count="1">
    <dataField name="COUNTA of PROCESSO N°"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1A000000}" name="Base de Dados 9" cacheId="8" applyNumberFormats="0" applyBorderFormats="0" applyFontFormats="0" applyPatternFormats="0" applyAlignmentFormats="0" applyWidthHeightFormats="0" dataCaption="" updatedVersion="6" rowGrandTotals="0" compact="0" compactData="0">
  <location ref="Y5:Z25"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dataField="1" compact="0" outline="0" multipleItemSelectionAllowed="1" showAll="0">
      <items count="9">
        <item h="1" x="0"/>
        <item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20">
    <i>
      <x v="1"/>
    </i>
    <i>
      <x v="2"/>
    </i>
    <i>
      <x v="3"/>
    </i>
    <i>
      <x v="4"/>
    </i>
    <i>
      <x v="5"/>
    </i>
    <i>
      <x v="6"/>
    </i>
    <i>
      <x v="8"/>
    </i>
    <i>
      <x v="10"/>
    </i>
    <i>
      <x v="11"/>
    </i>
    <i>
      <x v="12"/>
    </i>
    <i>
      <x v="15"/>
    </i>
    <i>
      <x v="22"/>
    </i>
    <i>
      <x v="26"/>
    </i>
    <i>
      <x v="27"/>
    </i>
    <i>
      <x v="63"/>
    </i>
    <i>
      <x v="70"/>
    </i>
    <i>
      <x v="101"/>
    </i>
    <i>
      <x v="114"/>
    </i>
    <i>
      <x v="136"/>
    </i>
    <i>
      <x v="164"/>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15000000}" name="Base de Dados 4" cacheId="8" applyNumberFormats="0" applyBorderFormats="0" applyFontFormats="0" applyPatternFormats="0" applyAlignmentFormats="0" applyWidthHeightFormats="0" dataCaption="" updatedVersion="6" rowGrandTotals="0" compact="0" compactData="0">
  <location ref="J4:K120" firstHeaderRow="1" firstDataRow="1" firstDataCol="1" rowPageCount="1"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x="0"/>
        <item h="1"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116">
    <i>
      <x v="7"/>
    </i>
    <i>
      <x v="9"/>
    </i>
    <i>
      <x v="14"/>
    </i>
    <i>
      <x v="21"/>
    </i>
    <i>
      <x v="23"/>
    </i>
    <i>
      <x v="24"/>
    </i>
    <i>
      <x v="25"/>
    </i>
    <i>
      <x v="28"/>
    </i>
    <i>
      <x v="29"/>
    </i>
    <i>
      <x v="30"/>
    </i>
    <i>
      <x v="31"/>
    </i>
    <i>
      <x v="32"/>
    </i>
    <i>
      <x v="33"/>
    </i>
    <i>
      <x v="34"/>
    </i>
    <i>
      <x v="35"/>
    </i>
    <i>
      <x v="36"/>
    </i>
    <i>
      <x v="37"/>
    </i>
    <i>
      <x v="38"/>
    </i>
    <i>
      <x v="40"/>
    </i>
    <i>
      <x v="41"/>
    </i>
    <i>
      <x v="42"/>
    </i>
    <i>
      <x v="43"/>
    </i>
    <i>
      <x v="44"/>
    </i>
    <i>
      <x v="45"/>
    </i>
    <i>
      <x v="46"/>
    </i>
    <i>
      <x v="48"/>
    </i>
    <i>
      <x v="49"/>
    </i>
    <i>
      <x v="50"/>
    </i>
    <i>
      <x v="51"/>
    </i>
    <i>
      <x v="52"/>
    </i>
    <i>
      <x v="53"/>
    </i>
    <i>
      <x v="54"/>
    </i>
    <i>
      <x v="55"/>
    </i>
    <i>
      <x v="56"/>
    </i>
    <i>
      <x v="57"/>
    </i>
    <i>
      <x v="58"/>
    </i>
    <i>
      <x v="59"/>
    </i>
    <i>
      <x v="60"/>
    </i>
    <i>
      <x v="61"/>
    </i>
    <i>
      <x v="65"/>
    </i>
    <i>
      <x v="66"/>
    </i>
    <i>
      <x v="68"/>
    </i>
    <i>
      <x v="69"/>
    </i>
    <i>
      <x v="71"/>
    </i>
    <i>
      <x v="72"/>
    </i>
    <i>
      <x v="73"/>
    </i>
    <i>
      <x v="74"/>
    </i>
    <i>
      <x v="75"/>
    </i>
    <i>
      <x v="76"/>
    </i>
    <i>
      <x v="77"/>
    </i>
    <i>
      <x v="78"/>
    </i>
    <i>
      <x v="83"/>
    </i>
    <i>
      <x v="85"/>
    </i>
    <i>
      <x v="86"/>
    </i>
    <i>
      <x v="87"/>
    </i>
    <i>
      <x v="88"/>
    </i>
    <i>
      <x v="89"/>
    </i>
    <i>
      <x v="90"/>
    </i>
    <i>
      <x v="91"/>
    </i>
    <i>
      <x v="92"/>
    </i>
    <i>
      <x v="93"/>
    </i>
    <i>
      <x v="94"/>
    </i>
    <i>
      <x v="95"/>
    </i>
    <i>
      <x v="96"/>
    </i>
    <i>
      <x v="97"/>
    </i>
    <i>
      <x v="99"/>
    </i>
    <i>
      <x v="100"/>
    </i>
    <i>
      <x v="104"/>
    </i>
    <i>
      <x v="105"/>
    </i>
    <i>
      <x v="107"/>
    </i>
    <i>
      <x v="108"/>
    </i>
    <i>
      <x v="113"/>
    </i>
    <i>
      <x v="115"/>
    </i>
    <i>
      <x v="118"/>
    </i>
    <i>
      <x v="119"/>
    </i>
    <i>
      <x v="120"/>
    </i>
    <i>
      <x v="124"/>
    </i>
    <i>
      <x v="128"/>
    </i>
    <i>
      <x v="130"/>
    </i>
    <i>
      <x v="131"/>
    </i>
    <i>
      <x v="132"/>
    </i>
    <i>
      <x v="133"/>
    </i>
    <i>
      <x v="134"/>
    </i>
    <i>
      <x v="135"/>
    </i>
    <i>
      <x v="138"/>
    </i>
    <i>
      <x v="140"/>
    </i>
    <i>
      <x v="143"/>
    </i>
    <i>
      <x v="144"/>
    </i>
    <i>
      <x v="146"/>
    </i>
    <i>
      <x v="151"/>
    </i>
    <i>
      <x v="152"/>
    </i>
    <i>
      <x v="153"/>
    </i>
    <i>
      <x v="154"/>
    </i>
    <i>
      <x v="155"/>
    </i>
    <i>
      <x v="158"/>
    </i>
    <i>
      <x v="159"/>
    </i>
    <i>
      <x v="160"/>
    </i>
    <i>
      <x v="161"/>
    </i>
    <i>
      <x v="162"/>
    </i>
    <i>
      <x v="165"/>
    </i>
    <i>
      <x v="166"/>
    </i>
    <i>
      <x v="167"/>
    </i>
    <i>
      <x v="169"/>
    </i>
    <i>
      <x v="170"/>
    </i>
    <i>
      <x v="171"/>
    </i>
    <i>
      <x v="172"/>
    </i>
    <i>
      <x v="174"/>
    </i>
    <i>
      <x v="175"/>
    </i>
    <i>
      <x v="184"/>
    </i>
    <i>
      <x v="185"/>
    </i>
    <i>
      <x v="192"/>
    </i>
    <i>
      <x v="194"/>
    </i>
    <i>
      <x v="198"/>
    </i>
    <i>
      <x v="199"/>
    </i>
    <i>
      <x v="200"/>
    </i>
    <i>
      <x v="201"/>
    </i>
  </rowItems>
  <colItems count="1">
    <i/>
  </colItems>
  <pageFields count="1">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E000000}" name="Base de Dados 22" cacheId="8" applyNumberFormats="0" applyBorderFormats="0" applyFontFormats="0" applyPatternFormats="0" applyAlignmentFormats="0" applyWidthHeightFormats="0" dataCaption="" updatedVersion="6" rowGrandTotals="0" compact="0" compactData="0">
  <location ref="BL5:BM85"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compact="0" outline="0" multipleItemSelectionAllowed="1" showAll="0">
      <items count="9">
        <item h="1" x="0"/>
        <item h="1" x="1"/>
        <item h="1" x="2"/>
        <item x="3"/>
        <item x="4"/>
        <item x="5"/>
        <item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80">
    <i>
      <x v="21"/>
    </i>
    <i>
      <x v="23"/>
    </i>
    <i>
      <x v="28"/>
    </i>
    <i>
      <x v="31"/>
    </i>
    <i>
      <x v="32"/>
    </i>
    <i>
      <x v="34"/>
    </i>
    <i>
      <x v="37"/>
    </i>
    <i>
      <x v="38"/>
    </i>
    <i>
      <x v="40"/>
    </i>
    <i>
      <x v="42"/>
    </i>
    <i>
      <x v="43"/>
    </i>
    <i>
      <x v="44"/>
    </i>
    <i>
      <x v="48"/>
    </i>
    <i>
      <x v="49"/>
    </i>
    <i>
      <x v="52"/>
    </i>
    <i>
      <x v="53"/>
    </i>
    <i>
      <x v="55"/>
    </i>
    <i>
      <x v="57"/>
    </i>
    <i>
      <x v="58"/>
    </i>
    <i>
      <x v="59"/>
    </i>
    <i>
      <x v="60"/>
    </i>
    <i>
      <x v="66"/>
    </i>
    <i>
      <x v="68"/>
    </i>
    <i>
      <x v="69"/>
    </i>
    <i>
      <x v="71"/>
    </i>
    <i>
      <x v="74"/>
    </i>
    <i>
      <x v="76"/>
    </i>
    <i>
      <x v="78"/>
    </i>
    <i>
      <x v="86"/>
    </i>
    <i>
      <x v="89"/>
    </i>
    <i>
      <x v="90"/>
    </i>
    <i>
      <x v="91"/>
    </i>
    <i>
      <x v="92"/>
    </i>
    <i>
      <x v="93"/>
    </i>
    <i>
      <x v="94"/>
    </i>
    <i>
      <x v="95"/>
    </i>
    <i>
      <x v="96"/>
    </i>
    <i>
      <x v="97"/>
    </i>
    <i>
      <x v="99"/>
    </i>
    <i>
      <x v="100"/>
    </i>
    <i>
      <x v="104"/>
    </i>
    <i>
      <x v="105"/>
    </i>
    <i>
      <x v="107"/>
    </i>
    <i>
      <x v="108"/>
    </i>
    <i>
      <x v="115"/>
    </i>
    <i>
      <x v="118"/>
    </i>
    <i>
      <x v="119"/>
    </i>
    <i>
      <x v="120"/>
    </i>
    <i>
      <x v="124"/>
    </i>
    <i>
      <x v="130"/>
    </i>
    <i>
      <x v="131"/>
    </i>
    <i>
      <x v="132"/>
    </i>
    <i>
      <x v="133"/>
    </i>
    <i>
      <x v="134"/>
    </i>
    <i>
      <x v="138"/>
    </i>
    <i>
      <x v="140"/>
    </i>
    <i>
      <x v="143"/>
    </i>
    <i>
      <x v="144"/>
    </i>
    <i>
      <x v="146"/>
    </i>
    <i>
      <x v="153"/>
    </i>
    <i>
      <x v="154"/>
    </i>
    <i>
      <x v="155"/>
    </i>
    <i>
      <x v="158"/>
    </i>
    <i>
      <x v="161"/>
    </i>
    <i>
      <x v="162"/>
    </i>
    <i>
      <x v="165"/>
    </i>
    <i>
      <x v="167"/>
    </i>
    <i>
      <x v="169"/>
    </i>
    <i>
      <x v="170"/>
    </i>
    <i>
      <x v="171"/>
    </i>
    <i>
      <x v="172"/>
    </i>
    <i>
      <x v="174"/>
    </i>
    <i>
      <x v="175"/>
    </i>
    <i>
      <x v="184"/>
    </i>
    <i>
      <x v="185"/>
    </i>
    <i>
      <x v="192"/>
    </i>
    <i>
      <x v="194"/>
    </i>
    <i>
      <x v="199"/>
    </i>
    <i>
      <x v="200"/>
    </i>
    <i>
      <x v="201"/>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Base de Dados 19" cacheId="8" applyNumberFormats="0" applyBorderFormats="0" applyFontFormats="0" applyPatternFormats="0" applyAlignmentFormats="0" applyWidthHeightFormats="0" dataCaption="" updatedVersion="6" rowGrandTotals="0" compact="0" compactData="0">
  <location ref="BC5:BD16"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compact="0" outline="0" multipleItemSelectionAllowed="1" showAll="0">
      <items count="9">
        <item h="1" x="0"/>
        <item h="1" x="1"/>
        <item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11">
    <i>
      <x v="13"/>
    </i>
    <i>
      <x v="16"/>
    </i>
    <i>
      <x v="67"/>
    </i>
    <i>
      <x v="79"/>
    </i>
    <i>
      <x v="81"/>
    </i>
    <i>
      <x v="125"/>
    </i>
    <i>
      <x v="142"/>
    </i>
    <i>
      <x v="176"/>
    </i>
    <i>
      <x v="180"/>
    </i>
    <i>
      <x v="183"/>
    </i>
    <i>
      <x v="190"/>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Base de Dados 10" cacheId="8" applyNumberFormats="0" applyBorderFormats="0" applyFontFormats="0" applyPatternFormats="0" applyAlignmentFormats="0" applyWidthHeightFormats="0" dataCaption="" updatedVersion="6" rowGrandTotals="0" compact="0" compactData="0">
  <location ref="AB5:AC12"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compact="0" outline="0" multipleItemSelectionAllowed="1" showAll="0">
      <items count="9">
        <item h="1" x="0"/>
        <item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7">
    <i>
      <x v="7"/>
    </i>
    <i>
      <x v="24"/>
    </i>
    <i>
      <x v="25"/>
    </i>
    <i>
      <x v="29"/>
    </i>
    <i>
      <x v="54"/>
    </i>
    <i>
      <x v="73"/>
    </i>
    <i>
      <x v="77"/>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Base de Dados 15" cacheId="8" applyNumberFormats="0" applyBorderFormats="0" applyFontFormats="0" applyPatternFormats="0" applyAlignmentFormats="0" applyWidthHeightFormats="0" dataCaption="" updatedVersion="6" rowGrandTotals="0" compact="0" compactData="0">
  <location ref="AQ5:AR11"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compact="0" outline="0" multipleItemSelectionAllowed="1" showAll="0">
      <items count="9">
        <item x="0"/>
        <item h="1"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6">
    <i>
      <x v="39"/>
    </i>
    <i>
      <x v="64"/>
    </i>
    <i>
      <x v="121"/>
    </i>
    <i>
      <x v="137"/>
    </i>
    <i>
      <x v="156"/>
    </i>
    <i>
      <x v="177"/>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16000000}" name="Base de Dados 5" cacheId="8" applyNumberFormats="0" applyBorderFormats="0" applyFontFormats="0" applyPatternFormats="0" applyAlignmentFormats="0" applyWidthHeightFormats="0" dataCaption="" updatedVersion="6" rowGrandTotals="0" compact="0" compactData="0">
  <location ref="M4:N90" firstHeaderRow="1" firstDataRow="1" firstDataCol="1" rowPageCount="1"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h="1" x="0"/>
        <item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86">
    <i>
      <x/>
    </i>
    <i>
      <x v="1"/>
    </i>
    <i>
      <x v="2"/>
    </i>
    <i>
      <x v="3"/>
    </i>
    <i>
      <x v="4"/>
    </i>
    <i>
      <x v="5"/>
    </i>
    <i>
      <x v="6"/>
    </i>
    <i>
      <x v="8"/>
    </i>
    <i>
      <x v="10"/>
    </i>
    <i>
      <x v="11"/>
    </i>
    <i>
      <x v="12"/>
    </i>
    <i>
      <x v="13"/>
    </i>
    <i>
      <x v="15"/>
    </i>
    <i>
      <x v="16"/>
    </i>
    <i>
      <x v="17"/>
    </i>
    <i>
      <x v="18"/>
    </i>
    <i>
      <x v="19"/>
    </i>
    <i>
      <x v="20"/>
    </i>
    <i>
      <x v="22"/>
    </i>
    <i>
      <x v="26"/>
    </i>
    <i>
      <x v="27"/>
    </i>
    <i>
      <x v="39"/>
    </i>
    <i>
      <x v="47"/>
    </i>
    <i>
      <x v="62"/>
    </i>
    <i>
      <x v="63"/>
    </i>
    <i>
      <x v="64"/>
    </i>
    <i>
      <x v="67"/>
    </i>
    <i>
      <x v="70"/>
    </i>
    <i>
      <x v="79"/>
    </i>
    <i>
      <x v="80"/>
    </i>
    <i>
      <x v="81"/>
    </i>
    <i>
      <x v="82"/>
    </i>
    <i>
      <x v="84"/>
    </i>
    <i>
      <x v="98"/>
    </i>
    <i>
      <x v="101"/>
    </i>
    <i>
      <x v="102"/>
    </i>
    <i>
      <x v="103"/>
    </i>
    <i>
      <x v="106"/>
    </i>
    <i>
      <x v="109"/>
    </i>
    <i>
      <x v="110"/>
    </i>
    <i>
      <x v="111"/>
    </i>
    <i>
      <x v="112"/>
    </i>
    <i>
      <x v="114"/>
    </i>
    <i>
      <x v="116"/>
    </i>
    <i>
      <x v="117"/>
    </i>
    <i>
      <x v="121"/>
    </i>
    <i>
      <x v="122"/>
    </i>
    <i>
      <x v="123"/>
    </i>
    <i>
      <x v="125"/>
    </i>
    <i>
      <x v="126"/>
    </i>
    <i>
      <x v="127"/>
    </i>
    <i>
      <x v="129"/>
    </i>
    <i>
      <x v="136"/>
    </i>
    <i>
      <x v="137"/>
    </i>
    <i>
      <x v="139"/>
    </i>
    <i>
      <x v="141"/>
    </i>
    <i>
      <x v="142"/>
    </i>
    <i>
      <x v="145"/>
    </i>
    <i>
      <x v="147"/>
    </i>
    <i>
      <x v="148"/>
    </i>
    <i>
      <x v="149"/>
    </i>
    <i>
      <x v="150"/>
    </i>
    <i>
      <x v="156"/>
    </i>
    <i>
      <x v="157"/>
    </i>
    <i>
      <x v="163"/>
    </i>
    <i>
      <x v="164"/>
    </i>
    <i>
      <x v="168"/>
    </i>
    <i>
      <x v="173"/>
    </i>
    <i>
      <x v="176"/>
    </i>
    <i>
      <x v="177"/>
    </i>
    <i>
      <x v="178"/>
    </i>
    <i>
      <x v="179"/>
    </i>
    <i>
      <x v="180"/>
    </i>
    <i>
      <x v="181"/>
    </i>
    <i>
      <x v="182"/>
    </i>
    <i>
      <x v="183"/>
    </i>
    <i>
      <x v="186"/>
    </i>
    <i>
      <x v="187"/>
    </i>
    <i>
      <x v="188"/>
    </i>
    <i>
      <x v="189"/>
    </i>
    <i>
      <x v="190"/>
    </i>
    <i>
      <x v="191"/>
    </i>
    <i>
      <x v="193"/>
    </i>
    <i>
      <x v="195"/>
    </i>
    <i>
      <x v="196"/>
    </i>
    <i>
      <x v="197"/>
    </i>
  </rowItems>
  <colItems count="1">
    <i/>
  </colItems>
  <pageFields count="1">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F000000}" name="Base de Dados 23" cacheId="8" applyNumberFormats="0" applyBorderFormats="0" applyFontFormats="0" applyPatternFormats="0" applyAlignmentFormats="0" applyWidthHeightFormats="0" dataCaption="" updatedVersion="6" rowGrandTotals="0" compact="0" compactData="0">
  <location ref="BO5:BP54"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compact="0" outline="0" multipleItemSelectionAllowed="1" showAll="0">
      <items count="9">
        <item h="1" x="0"/>
        <item h="1" x="1"/>
        <item h="1" x="2"/>
        <item x="3"/>
        <item x="4"/>
        <item x="5"/>
        <item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49">
    <i>
      <x/>
    </i>
    <i>
      <x v="17"/>
    </i>
    <i>
      <x v="18"/>
    </i>
    <i>
      <x v="19"/>
    </i>
    <i>
      <x v="20"/>
    </i>
    <i>
      <x v="47"/>
    </i>
    <i>
      <x v="62"/>
    </i>
    <i>
      <x v="80"/>
    </i>
    <i>
      <x v="82"/>
    </i>
    <i>
      <x v="84"/>
    </i>
    <i>
      <x v="98"/>
    </i>
    <i>
      <x v="102"/>
    </i>
    <i>
      <x v="103"/>
    </i>
    <i>
      <x v="106"/>
    </i>
    <i>
      <x v="109"/>
    </i>
    <i>
      <x v="110"/>
    </i>
    <i>
      <x v="111"/>
    </i>
    <i>
      <x v="112"/>
    </i>
    <i>
      <x v="116"/>
    </i>
    <i>
      <x v="117"/>
    </i>
    <i>
      <x v="122"/>
    </i>
    <i>
      <x v="123"/>
    </i>
    <i>
      <x v="126"/>
    </i>
    <i>
      <x v="127"/>
    </i>
    <i>
      <x v="129"/>
    </i>
    <i>
      <x v="139"/>
    </i>
    <i>
      <x v="141"/>
    </i>
    <i>
      <x v="145"/>
    </i>
    <i>
      <x v="147"/>
    </i>
    <i>
      <x v="148"/>
    </i>
    <i>
      <x v="149"/>
    </i>
    <i>
      <x v="150"/>
    </i>
    <i>
      <x v="157"/>
    </i>
    <i>
      <x v="163"/>
    </i>
    <i>
      <x v="168"/>
    </i>
    <i>
      <x v="173"/>
    </i>
    <i>
      <x v="178"/>
    </i>
    <i>
      <x v="179"/>
    </i>
    <i>
      <x v="181"/>
    </i>
    <i>
      <x v="182"/>
    </i>
    <i>
      <x v="186"/>
    </i>
    <i>
      <x v="187"/>
    </i>
    <i>
      <x v="188"/>
    </i>
    <i>
      <x v="189"/>
    </i>
    <i>
      <x v="191"/>
    </i>
    <i>
      <x v="193"/>
    </i>
    <i>
      <x v="195"/>
    </i>
    <i>
      <x v="196"/>
    </i>
    <i>
      <x v="197"/>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Base de Dados 11" cacheId="8" applyNumberFormats="0" applyBorderFormats="0" applyFontFormats="0" applyPatternFormats="0" applyAlignmentFormats="0" applyWidthHeightFormats="0" dataCaption="" updatedVersion="6" rowGrandTotals="0" compact="0" compactData="0">
  <location ref="AE5:AF25"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compact="0" outline="0" multipleItemSelectionAllowed="1" showAll="0">
      <items count="9">
        <item h="1" x="0"/>
        <item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20">
    <i>
      <x v="1"/>
    </i>
    <i>
      <x v="2"/>
    </i>
    <i>
      <x v="3"/>
    </i>
    <i>
      <x v="4"/>
    </i>
    <i>
      <x v="5"/>
    </i>
    <i>
      <x v="6"/>
    </i>
    <i>
      <x v="8"/>
    </i>
    <i>
      <x v="10"/>
    </i>
    <i>
      <x v="11"/>
    </i>
    <i>
      <x v="12"/>
    </i>
    <i>
      <x v="15"/>
    </i>
    <i>
      <x v="22"/>
    </i>
    <i>
      <x v="26"/>
    </i>
    <i>
      <x v="27"/>
    </i>
    <i>
      <x v="63"/>
    </i>
    <i>
      <x v="70"/>
    </i>
    <i>
      <x v="101"/>
    </i>
    <i>
      <x v="114"/>
    </i>
    <i>
      <x v="136"/>
    </i>
    <i>
      <x v="164"/>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700-000017000000}" name="Base de Dados 6" cacheId="8" applyNumberFormats="0" applyBorderFormats="0" applyFontFormats="0" applyPatternFormats="0" applyAlignmentFormats="0" applyWidthHeightFormats="0" dataCaption="" updatedVersion="6" rowGrandTotals="0" createdVersion="6" compact="0" compactData="0">
  <location ref="P5:Q121"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axis="axisPage" dataField="1" compact="0" numFmtId="14" outline="0" multipleItemSelectionAllowed="1"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ITUAÇÃO" compact="0" outline="0" multipleItemSelectionAllowed="1" showAll="0"/>
    <pivotField name="OBSERVAÇÃO" compact="0" outline="0" multipleItemSelectionAllowed="1" showAll="0"/>
  </pivotFields>
  <rowFields count="1">
    <field x="0"/>
  </rowFields>
  <rowItems count="116">
    <i>
      <x v="7"/>
    </i>
    <i>
      <x v="9"/>
    </i>
    <i>
      <x v="14"/>
    </i>
    <i>
      <x v="21"/>
    </i>
    <i>
      <x v="23"/>
    </i>
    <i>
      <x v="24"/>
    </i>
    <i>
      <x v="25"/>
    </i>
    <i>
      <x v="28"/>
    </i>
    <i>
      <x v="29"/>
    </i>
    <i>
      <x v="30"/>
    </i>
    <i>
      <x v="31"/>
    </i>
    <i>
      <x v="32"/>
    </i>
    <i>
      <x v="33"/>
    </i>
    <i>
      <x v="34"/>
    </i>
    <i>
      <x v="35"/>
    </i>
    <i>
      <x v="36"/>
    </i>
    <i>
      <x v="37"/>
    </i>
    <i>
      <x v="38"/>
    </i>
    <i>
      <x v="40"/>
    </i>
    <i>
      <x v="41"/>
    </i>
    <i>
      <x v="42"/>
    </i>
    <i>
      <x v="43"/>
    </i>
    <i>
      <x v="44"/>
    </i>
    <i>
      <x v="45"/>
    </i>
    <i>
      <x v="46"/>
    </i>
    <i>
      <x v="48"/>
    </i>
    <i>
      <x v="49"/>
    </i>
    <i>
      <x v="50"/>
    </i>
    <i>
      <x v="51"/>
    </i>
    <i>
      <x v="52"/>
    </i>
    <i>
      <x v="53"/>
    </i>
    <i>
      <x v="54"/>
    </i>
    <i>
      <x v="55"/>
    </i>
    <i>
      <x v="56"/>
    </i>
    <i>
      <x v="57"/>
    </i>
    <i>
      <x v="58"/>
    </i>
    <i>
      <x v="59"/>
    </i>
    <i>
      <x v="60"/>
    </i>
    <i>
      <x v="61"/>
    </i>
    <i>
      <x v="65"/>
    </i>
    <i>
      <x v="66"/>
    </i>
    <i>
      <x v="68"/>
    </i>
    <i>
      <x v="69"/>
    </i>
    <i>
      <x v="71"/>
    </i>
    <i>
      <x v="72"/>
    </i>
    <i>
      <x v="73"/>
    </i>
    <i>
      <x v="74"/>
    </i>
    <i>
      <x v="75"/>
    </i>
    <i>
      <x v="76"/>
    </i>
    <i>
      <x v="77"/>
    </i>
    <i>
      <x v="78"/>
    </i>
    <i>
      <x v="83"/>
    </i>
    <i>
      <x v="85"/>
    </i>
    <i>
      <x v="86"/>
    </i>
    <i>
      <x v="87"/>
    </i>
    <i>
      <x v="88"/>
    </i>
    <i>
      <x v="89"/>
    </i>
    <i>
      <x v="90"/>
    </i>
    <i>
      <x v="91"/>
    </i>
    <i>
      <x v="92"/>
    </i>
    <i>
      <x v="93"/>
    </i>
    <i>
      <x v="94"/>
    </i>
    <i>
      <x v="95"/>
    </i>
    <i>
      <x v="96"/>
    </i>
    <i>
      <x v="97"/>
    </i>
    <i>
      <x v="99"/>
    </i>
    <i>
      <x v="100"/>
    </i>
    <i>
      <x v="104"/>
    </i>
    <i>
      <x v="105"/>
    </i>
    <i>
      <x v="107"/>
    </i>
    <i>
      <x v="108"/>
    </i>
    <i>
      <x v="113"/>
    </i>
    <i>
      <x v="115"/>
    </i>
    <i>
      <x v="118"/>
    </i>
    <i>
      <x v="119"/>
    </i>
    <i>
      <x v="120"/>
    </i>
    <i>
      <x v="124"/>
    </i>
    <i>
      <x v="128"/>
    </i>
    <i>
      <x v="130"/>
    </i>
    <i>
      <x v="131"/>
    </i>
    <i>
      <x v="132"/>
    </i>
    <i>
      <x v="133"/>
    </i>
    <i>
      <x v="134"/>
    </i>
    <i>
      <x v="135"/>
    </i>
    <i>
      <x v="138"/>
    </i>
    <i>
      <x v="140"/>
    </i>
    <i>
      <x v="143"/>
    </i>
    <i>
      <x v="144"/>
    </i>
    <i>
      <x v="146"/>
    </i>
    <i>
      <x v="151"/>
    </i>
    <i>
      <x v="152"/>
    </i>
    <i>
      <x v="153"/>
    </i>
    <i>
      <x v="154"/>
    </i>
    <i>
      <x v="155"/>
    </i>
    <i>
      <x v="158"/>
    </i>
    <i>
      <x v="159"/>
    </i>
    <i>
      <x v="160"/>
    </i>
    <i>
      <x v="161"/>
    </i>
    <i>
      <x v="162"/>
    </i>
    <i>
      <x v="165"/>
    </i>
    <i>
      <x v="166"/>
    </i>
    <i>
      <x v="167"/>
    </i>
    <i>
      <x v="169"/>
    </i>
    <i>
      <x v="170"/>
    </i>
    <i>
      <x v="171"/>
    </i>
    <i>
      <x v="172"/>
    </i>
    <i>
      <x v="174"/>
    </i>
    <i>
      <x v="175"/>
    </i>
    <i>
      <x v="184"/>
    </i>
    <i>
      <x v="185"/>
    </i>
    <i>
      <x v="192"/>
    </i>
    <i>
      <x v="194"/>
    </i>
    <i>
      <x v="198"/>
    </i>
    <i>
      <x v="199"/>
    </i>
    <i>
      <x v="200"/>
    </i>
    <i>
      <x v="201"/>
    </i>
  </rowItems>
  <colItems count="1">
    <i/>
  </colItems>
  <pageFields count="2">
    <pageField fld="4" hier="0"/>
    <pageField fld="13" hier="0"/>
  </pageFields>
  <dataFields count="1">
    <dataField name="COUNTA of MATERIAL ENTREGUE (DATA)"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Base de Dados" cacheId="8" applyNumberFormats="0" applyBorderFormats="0" applyFontFormats="0" applyPatternFormats="0" applyAlignmentFormats="0" applyWidthHeightFormats="0" dataCaption="" updatedVersion="6" rowGrandTotals="0" compact="0" compactData="0">
  <location ref="A4:B120" firstHeaderRow="1" firstDataRow="1" firstDataCol="1" rowPageCount="1" colPageCount="1"/>
  <pivotFields count="16">
    <pivotField name="PROCESSO N°" axis="axisRow" dataField="1"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116">
    <i>
      <x v="7"/>
    </i>
    <i>
      <x v="9"/>
    </i>
    <i>
      <x v="14"/>
    </i>
    <i>
      <x v="21"/>
    </i>
    <i>
      <x v="23"/>
    </i>
    <i>
      <x v="24"/>
    </i>
    <i>
      <x v="25"/>
    </i>
    <i>
      <x v="28"/>
    </i>
    <i>
      <x v="29"/>
    </i>
    <i>
      <x v="30"/>
    </i>
    <i>
      <x v="31"/>
    </i>
    <i>
      <x v="32"/>
    </i>
    <i>
      <x v="33"/>
    </i>
    <i>
      <x v="34"/>
    </i>
    <i>
      <x v="35"/>
    </i>
    <i>
      <x v="36"/>
    </i>
    <i>
      <x v="37"/>
    </i>
    <i>
      <x v="38"/>
    </i>
    <i>
      <x v="40"/>
    </i>
    <i>
      <x v="41"/>
    </i>
    <i>
      <x v="42"/>
    </i>
    <i>
      <x v="43"/>
    </i>
    <i>
      <x v="44"/>
    </i>
    <i>
      <x v="45"/>
    </i>
    <i>
      <x v="46"/>
    </i>
    <i>
      <x v="48"/>
    </i>
    <i>
      <x v="49"/>
    </i>
    <i>
      <x v="50"/>
    </i>
    <i>
      <x v="51"/>
    </i>
    <i>
      <x v="52"/>
    </i>
    <i>
      <x v="53"/>
    </i>
    <i>
      <x v="54"/>
    </i>
    <i>
      <x v="55"/>
    </i>
    <i>
      <x v="56"/>
    </i>
    <i>
      <x v="57"/>
    </i>
    <i>
      <x v="58"/>
    </i>
    <i>
      <x v="59"/>
    </i>
    <i>
      <x v="60"/>
    </i>
    <i>
      <x v="61"/>
    </i>
    <i>
      <x v="65"/>
    </i>
    <i>
      <x v="66"/>
    </i>
    <i>
      <x v="68"/>
    </i>
    <i>
      <x v="69"/>
    </i>
    <i>
      <x v="71"/>
    </i>
    <i>
      <x v="72"/>
    </i>
    <i>
      <x v="73"/>
    </i>
    <i>
      <x v="74"/>
    </i>
    <i>
      <x v="75"/>
    </i>
    <i>
      <x v="76"/>
    </i>
    <i>
      <x v="77"/>
    </i>
    <i>
      <x v="78"/>
    </i>
    <i>
      <x v="83"/>
    </i>
    <i>
      <x v="85"/>
    </i>
    <i>
      <x v="86"/>
    </i>
    <i>
      <x v="87"/>
    </i>
    <i>
      <x v="88"/>
    </i>
    <i>
      <x v="89"/>
    </i>
    <i>
      <x v="90"/>
    </i>
    <i>
      <x v="91"/>
    </i>
    <i>
      <x v="92"/>
    </i>
    <i>
      <x v="93"/>
    </i>
    <i>
      <x v="94"/>
    </i>
    <i>
      <x v="95"/>
    </i>
    <i>
      <x v="96"/>
    </i>
    <i>
      <x v="97"/>
    </i>
    <i>
      <x v="99"/>
    </i>
    <i>
      <x v="100"/>
    </i>
    <i>
      <x v="104"/>
    </i>
    <i>
      <x v="105"/>
    </i>
    <i>
      <x v="107"/>
    </i>
    <i>
      <x v="108"/>
    </i>
    <i>
      <x v="113"/>
    </i>
    <i>
      <x v="115"/>
    </i>
    <i>
      <x v="118"/>
    </i>
    <i>
      <x v="119"/>
    </i>
    <i>
      <x v="120"/>
    </i>
    <i>
      <x v="124"/>
    </i>
    <i>
      <x v="128"/>
    </i>
    <i>
      <x v="130"/>
    </i>
    <i>
      <x v="131"/>
    </i>
    <i>
      <x v="132"/>
    </i>
    <i>
      <x v="133"/>
    </i>
    <i>
      <x v="134"/>
    </i>
    <i>
      <x v="135"/>
    </i>
    <i>
      <x v="138"/>
    </i>
    <i>
      <x v="140"/>
    </i>
    <i>
      <x v="143"/>
    </i>
    <i>
      <x v="144"/>
    </i>
    <i>
      <x v="146"/>
    </i>
    <i>
      <x v="151"/>
    </i>
    <i>
      <x v="152"/>
    </i>
    <i>
      <x v="153"/>
    </i>
    <i>
      <x v="154"/>
    </i>
    <i>
      <x v="155"/>
    </i>
    <i>
      <x v="158"/>
    </i>
    <i>
      <x v="159"/>
    </i>
    <i>
      <x v="160"/>
    </i>
    <i>
      <x v="161"/>
    </i>
    <i>
      <x v="162"/>
    </i>
    <i>
      <x v="165"/>
    </i>
    <i>
      <x v="166"/>
    </i>
    <i>
      <x v="167"/>
    </i>
    <i>
      <x v="169"/>
    </i>
    <i>
      <x v="170"/>
    </i>
    <i>
      <x v="171"/>
    </i>
    <i>
      <x v="172"/>
    </i>
    <i>
      <x v="174"/>
    </i>
    <i>
      <x v="175"/>
    </i>
    <i>
      <x v="184"/>
    </i>
    <i>
      <x v="185"/>
    </i>
    <i>
      <x v="192"/>
    </i>
    <i>
      <x v="194"/>
    </i>
    <i>
      <x v="198"/>
    </i>
    <i>
      <x v="199"/>
    </i>
    <i>
      <x v="200"/>
    </i>
    <i>
      <x v="201"/>
    </i>
  </rowItems>
  <colItems count="1">
    <i/>
  </colItems>
  <pageFields count="1">
    <pageField fld="4" hier="0"/>
  </pageFields>
  <dataFields count="1">
    <dataField name="COUNTA of PROCESSO N°"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700-000010000000}" name="Base de Dados 24" cacheId="8" applyNumberFormats="0" applyBorderFormats="0" applyFontFormats="0" applyPatternFormats="0" applyAlignmentFormats="0" applyWidthHeightFormats="0" dataCaption="" updatedVersion="6" rowGrandTotals="0" compact="0" compactData="0">
  <location ref="BR5:BS15" firstHeaderRow="1" firstDataRow="1" firstDataCol="1" rowPageCount="2" colPageCount="1"/>
  <pivotFields count="16">
    <pivotField name="PROCESSO N°" axis="axisRow" dataField="1"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axis="axisPage" compact="0" outline="0" multipleItemSelectionAllowed="1" showAll="0">
      <items count="5">
        <item h="1" x="0"/>
        <item h="1" x="1"/>
        <item x="2"/>
        <item h="1" x="3"/>
        <item t="default"/>
      </items>
    </pivotField>
    <pivotField name="OBSERVAÇÃO" compact="0" outline="0" multipleItemSelectionAllowed="1" showAll="0"/>
  </pivotFields>
  <rowFields count="1">
    <field x="0"/>
  </rowFields>
  <rowItems count="10">
    <i>
      <x v="28"/>
    </i>
    <i>
      <x v="30"/>
    </i>
    <i>
      <x v="41"/>
    </i>
    <i>
      <x v="71"/>
    </i>
    <i>
      <x v="74"/>
    </i>
    <i>
      <x v="76"/>
    </i>
    <i>
      <x v="87"/>
    </i>
    <i>
      <x v="104"/>
    </i>
    <i>
      <x v="130"/>
    </i>
    <i>
      <x v="192"/>
    </i>
  </rowItems>
  <colItems count="1">
    <i/>
  </colItems>
  <pageFields count="2">
    <pageField fld="4" hier="0"/>
    <pageField fld="14" hier="0"/>
  </pageFields>
  <dataFields count="1">
    <dataField name="COUNTA of PROCESSO N°"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700-000007000000}" name="Base de Dados 16" cacheId="8" applyNumberFormats="0" applyBorderFormats="0" applyFontFormats="0" applyPatternFormats="0" applyAlignmentFormats="0" applyWidthHeightFormats="0" dataCaption="" updatedVersion="6" rowGrandTotals="0" compact="0" compactData="0">
  <location ref="AT5:AU13"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dataField="1" compact="0" outline="0" multipleItemSelectionAllowed="1" showAll="0">
      <items count="9">
        <item h="1" x="0"/>
        <item h="1" x="1"/>
        <item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8">
    <i>
      <x v="33"/>
    </i>
    <i>
      <x v="35"/>
    </i>
    <i>
      <x v="51"/>
    </i>
    <i>
      <x v="61"/>
    </i>
    <i>
      <x v="65"/>
    </i>
    <i>
      <x v="72"/>
    </i>
    <i>
      <x v="75"/>
    </i>
    <i>
      <x v="151"/>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700-00000B000000}" name="Base de Dados 2" cacheId="8" applyNumberFormats="0" applyBorderFormats="0" applyFontFormats="0" applyPatternFormats="0" applyAlignmentFormats="0" applyWidthHeightFormats="0" dataCaption="" updatedVersion="6" rowGrandTotals="0" compact="0" compactData="0">
  <location ref="D4:E90" firstHeaderRow="1" firstDataRow="1" firstDataCol="1" rowPageCount="1" colPageCount="1"/>
  <pivotFields count="16">
    <pivotField name="PROCESSO N°" axis="axisRow" dataField="1"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86">
    <i>
      <x/>
    </i>
    <i>
      <x v="1"/>
    </i>
    <i>
      <x v="2"/>
    </i>
    <i>
      <x v="3"/>
    </i>
    <i>
      <x v="4"/>
    </i>
    <i>
      <x v="5"/>
    </i>
    <i>
      <x v="6"/>
    </i>
    <i>
      <x v="8"/>
    </i>
    <i>
      <x v="10"/>
    </i>
    <i>
      <x v="11"/>
    </i>
    <i>
      <x v="12"/>
    </i>
    <i>
      <x v="13"/>
    </i>
    <i>
      <x v="15"/>
    </i>
    <i>
      <x v="16"/>
    </i>
    <i>
      <x v="17"/>
    </i>
    <i>
      <x v="18"/>
    </i>
    <i>
      <x v="19"/>
    </i>
    <i>
      <x v="20"/>
    </i>
    <i>
      <x v="22"/>
    </i>
    <i>
      <x v="26"/>
    </i>
    <i>
      <x v="27"/>
    </i>
    <i>
      <x v="39"/>
    </i>
    <i>
      <x v="47"/>
    </i>
    <i>
      <x v="62"/>
    </i>
    <i>
      <x v="63"/>
    </i>
    <i>
      <x v="64"/>
    </i>
    <i>
      <x v="67"/>
    </i>
    <i>
      <x v="70"/>
    </i>
    <i>
      <x v="79"/>
    </i>
    <i>
      <x v="80"/>
    </i>
    <i>
      <x v="81"/>
    </i>
    <i>
      <x v="82"/>
    </i>
    <i>
      <x v="84"/>
    </i>
    <i>
      <x v="98"/>
    </i>
    <i>
      <x v="101"/>
    </i>
    <i>
      <x v="102"/>
    </i>
    <i>
      <x v="103"/>
    </i>
    <i>
      <x v="106"/>
    </i>
    <i>
      <x v="109"/>
    </i>
    <i>
      <x v="110"/>
    </i>
    <i>
      <x v="111"/>
    </i>
    <i>
      <x v="112"/>
    </i>
    <i>
      <x v="114"/>
    </i>
    <i>
      <x v="116"/>
    </i>
    <i>
      <x v="117"/>
    </i>
    <i>
      <x v="121"/>
    </i>
    <i>
      <x v="122"/>
    </i>
    <i>
      <x v="123"/>
    </i>
    <i>
      <x v="125"/>
    </i>
    <i>
      <x v="126"/>
    </i>
    <i>
      <x v="127"/>
    </i>
    <i>
      <x v="129"/>
    </i>
    <i>
      <x v="136"/>
    </i>
    <i>
      <x v="137"/>
    </i>
    <i>
      <x v="139"/>
    </i>
    <i>
      <x v="141"/>
    </i>
    <i>
      <x v="142"/>
    </i>
    <i>
      <x v="145"/>
    </i>
    <i>
      <x v="147"/>
    </i>
    <i>
      <x v="148"/>
    </i>
    <i>
      <x v="149"/>
    </i>
    <i>
      <x v="150"/>
    </i>
    <i>
      <x v="156"/>
    </i>
    <i>
      <x v="157"/>
    </i>
    <i>
      <x v="163"/>
    </i>
    <i>
      <x v="164"/>
    </i>
    <i>
      <x v="168"/>
    </i>
    <i>
      <x v="173"/>
    </i>
    <i>
      <x v="176"/>
    </i>
    <i>
      <x v="177"/>
    </i>
    <i>
      <x v="178"/>
    </i>
    <i>
      <x v="179"/>
    </i>
    <i>
      <x v="180"/>
    </i>
    <i>
      <x v="181"/>
    </i>
    <i>
      <x v="182"/>
    </i>
    <i>
      <x v="183"/>
    </i>
    <i>
      <x v="186"/>
    </i>
    <i>
      <x v="187"/>
    </i>
    <i>
      <x v="188"/>
    </i>
    <i>
      <x v="189"/>
    </i>
    <i>
      <x v="190"/>
    </i>
    <i>
      <x v="191"/>
    </i>
    <i>
      <x v="193"/>
    </i>
    <i>
      <x v="195"/>
    </i>
    <i>
      <x v="196"/>
    </i>
    <i>
      <x v="197"/>
    </i>
  </rowItems>
  <colItems count="1">
    <i/>
  </colItems>
  <pageFields count="1">
    <pageField fld="4" hier="0"/>
  </pageFields>
  <dataFields count="1">
    <dataField name="COUNTA of PROCESSO N°"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Base de Dados 20" cacheId="8" applyNumberFormats="0" applyBorderFormats="0" applyFontFormats="0" applyPatternFormats="0" applyAlignmentFormats="0" applyWidthHeightFormats="0" dataCaption="" updatedVersion="6" rowGrandTotals="0" compact="0" compactData="0">
  <location ref="BF5:BG85"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dataField="1" compact="0" outline="0" multipleItemSelectionAllowed="1" showAll="0">
      <items count="9">
        <item h="1" x="0"/>
        <item h="1" x="1"/>
        <item h="1" x="2"/>
        <item x="3"/>
        <item x="4"/>
        <item x="5"/>
        <item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80">
    <i>
      <x v="21"/>
    </i>
    <i>
      <x v="23"/>
    </i>
    <i>
      <x v="28"/>
    </i>
    <i>
      <x v="31"/>
    </i>
    <i>
      <x v="32"/>
    </i>
    <i>
      <x v="34"/>
    </i>
    <i>
      <x v="37"/>
    </i>
    <i>
      <x v="38"/>
    </i>
    <i>
      <x v="40"/>
    </i>
    <i>
      <x v="42"/>
    </i>
    <i>
      <x v="43"/>
    </i>
    <i>
      <x v="44"/>
    </i>
    <i>
      <x v="48"/>
    </i>
    <i>
      <x v="49"/>
    </i>
    <i>
      <x v="52"/>
    </i>
    <i>
      <x v="53"/>
    </i>
    <i>
      <x v="55"/>
    </i>
    <i>
      <x v="57"/>
    </i>
    <i>
      <x v="58"/>
    </i>
    <i>
      <x v="59"/>
    </i>
    <i>
      <x v="60"/>
    </i>
    <i>
      <x v="66"/>
    </i>
    <i>
      <x v="68"/>
    </i>
    <i>
      <x v="69"/>
    </i>
    <i>
      <x v="71"/>
    </i>
    <i>
      <x v="74"/>
    </i>
    <i>
      <x v="76"/>
    </i>
    <i>
      <x v="78"/>
    </i>
    <i>
      <x v="86"/>
    </i>
    <i>
      <x v="89"/>
    </i>
    <i>
      <x v="90"/>
    </i>
    <i>
      <x v="91"/>
    </i>
    <i>
      <x v="92"/>
    </i>
    <i>
      <x v="93"/>
    </i>
    <i>
      <x v="94"/>
    </i>
    <i>
      <x v="95"/>
    </i>
    <i>
      <x v="96"/>
    </i>
    <i>
      <x v="97"/>
    </i>
    <i>
      <x v="99"/>
    </i>
    <i>
      <x v="100"/>
    </i>
    <i>
      <x v="104"/>
    </i>
    <i>
      <x v="105"/>
    </i>
    <i>
      <x v="107"/>
    </i>
    <i>
      <x v="108"/>
    </i>
    <i>
      <x v="115"/>
    </i>
    <i>
      <x v="118"/>
    </i>
    <i>
      <x v="119"/>
    </i>
    <i>
      <x v="120"/>
    </i>
    <i>
      <x v="124"/>
    </i>
    <i>
      <x v="130"/>
    </i>
    <i>
      <x v="131"/>
    </i>
    <i>
      <x v="132"/>
    </i>
    <i>
      <x v="133"/>
    </i>
    <i>
      <x v="134"/>
    </i>
    <i>
      <x v="138"/>
    </i>
    <i>
      <x v="140"/>
    </i>
    <i>
      <x v="143"/>
    </i>
    <i>
      <x v="144"/>
    </i>
    <i>
      <x v="146"/>
    </i>
    <i>
      <x v="153"/>
    </i>
    <i>
      <x v="154"/>
    </i>
    <i>
      <x v="155"/>
    </i>
    <i>
      <x v="158"/>
    </i>
    <i>
      <x v="161"/>
    </i>
    <i>
      <x v="162"/>
    </i>
    <i>
      <x v="165"/>
    </i>
    <i>
      <x v="167"/>
    </i>
    <i>
      <x v="169"/>
    </i>
    <i>
      <x v="170"/>
    </i>
    <i>
      <x v="171"/>
    </i>
    <i>
      <x v="172"/>
    </i>
    <i>
      <x v="174"/>
    </i>
    <i>
      <x v="175"/>
    </i>
    <i>
      <x v="184"/>
    </i>
    <i>
      <x v="185"/>
    </i>
    <i>
      <x v="192"/>
    </i>
    <i>
      <x v="194"/>
    </i>
    <i>
      <x v="199"/>
    </i>
    <i>
      <x v="200"/>
    </i>
    <i>
      <x v="201"/>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700-000008000000}" name="Base de Dados 17" cacheId="8" applyNumberFormats="0" applyBorderFormats="0" applyFontFormats="0" applyPatternFormats="0" applyAlignmentFormats="0" applyWidthHeightFormats="0" dataCaption="" updatedVersion="6" rowGrandTotals="0" compact="0" compactData="0">
  <location ref="AW5:AX16"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dataField="1" compact="0" outline="0" multipleItemSelectionAllowed="1" showAll="0">
      <items count="9">
        <item h="1" x="0"/>
        <item h="1" x="1"/>
        <item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11">
    <i>
      <x v="13"/>
    </i>
    <i>
      <x v="16"/>
    </i>
    <i>
      <x v="67"/>
    </i>
    <i>
      <x v="79"/>
    </i>
    <i>
      <x v="81"/>
    </i>
    <i>
      <x v="125"/>
    </i>
    <i>
      <x v="142"/>
    </i>
    <i>
      <x v="176"/>
    </i>
    <i>
      <x v="180"/>
    </i>
    <i>
      <x v="183"/>
    </i>
    <i>
      <x v="190"/>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Base de Dados 12" cacheId="8" applyNumberFormats="0" applyBorderFormats="0" applyFontFormats="0" applyPatternFormats="0" applyAlignmentFormats="0" applyWidthHeightFormats="0" dataCaption="" updatedVersion="6" rowGrandTotals="0" compact="0" compactData="0">
  <location ref="AH5:AI26"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dataField="1" compact="0" outline="0" multipleItemSelectionAllowed="1" showAll="0">
      <items count="9">
        <item x="0"/>
        <item h="1"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21">
    <i>
      <x v="9"/>
    </i>
    <i>
      <x v="14"/>
    </i>
    <i>
      <x v="30"/>
    </i>
    <i>
      <x v="36"/>
    </i>
    <i>
      <x v="41"/>
    </i>
    <i>
      <x v="45"/>
    </i>
    <i>
      <x v="46"/>
    </i>
    <i>
      <x v="50"/>
    </i>
    <i>
      <x v="56"/>
    </i>
    <i>
      <x v="83"/>
    </i>
    <i>
      <x v="85"/>
    </i>
    <i>
      <x v="87"/>
    </i>
    <i>
      <x v="88"/>
    </i>
    <i>
      <x v="113"/>
    </i>
    <i>
      <x v="128"/>
    </i>
    <i>
      <x v="135"/>
    </i>
    <i>
      <x v="152"/>
    </i>
    <i>
      <x v="159"/>
    </i>
    <i>
      <x v="160"/>
    </i>
    <i>
      <x v="166"/>
    </i>
    <i>
      <x v="198"/>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700-000018000000}" name="Base de Dados 7" cacheId="8" applyNumberFormats="0" applyBorderFormats="0" applyFontFormats="0" applyPatternFormats="0" applyAlignmentFormats="0" applyWidthHeightFormats="0" dataCaption="" updatedVersion="6" rowGrandTotals="0" createdVersion="6" compact="0" compactData="0">
  <location ref="S5:T91"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axis="axisPage" dataField="1" compact="0" numFmtId="14" outline="0" multipleItemSelectionAllowed="1"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name="SITUAÇÃO" compact="0" outline="0" multipleItemSelectionAllowed="1" showAll="0"/>
    <pivotField name="OBSERVAÇÃO" compact="0" outline="0" multipleItemSelectionAllowed="1" showAll="0"/>
  </pivotFields>
  <rowFields count="1">
    <field x="0"/>
  </rowFields>
  <rowItems count="86">
    <i>
      <x/>
    </i>
    <i>
      <x v="1"/>
    </i>
    <i>
      <x v="2"/>
    </i>
    <i>
      <x v="3"/>
    </i>
    <i>
      <x v="4"/>
    </i>
    <i>
      <x v="5"/>
    </i>
    <i>
      <x v="6"/>
    </i>
    <i>
      <x v="8"/>
    </i>
    <i>
      <x v="10"/>
    </i>
    <i>
      <x v="11"/>
    </i>
    <i>
      <x v="12"/>
    </i>
    <i>
      <x v="13"/>
    </i>
    <i>
      <x v="15"/>
    </i>
    <i>
      <x v="16"/>
    </i>
    <i>
      <x v="17"/>
    </i>
    <i>
      <x v="18"/>
    </i>
    <i>
      <x v="19"/>
    </i>
    <i>
      <x v="20"/>
    </i>
    <i>
      <x v="22"/>
    </i>
    <i>
      <x v="26"/>
    </i>
    <i>
      <x v="27"/>
    </i>
    <i>
      <x v="39"/>
    </i>
    <i>
      <x v="47"/>
    </i>
    <i>
      <x v="62"/>
    </i>
    <i>
      <x v="63"/>
    </i>
    <i>
      <x v="64"/>
    </i>
    <i>
      <x v="67"/>
    </i>
    <i>
      <x v="70"/>
    </i>
    <i>
      <x v="79"/>
    </i>
    <i>
      <x v="80"/>
    </i>
    <i>
      <x v="81"/>
    </i>
    <i>
      <x v="82"/>
    </i>
    <i>
      <x v="84"/>
    </i>
    <i>
      <x v="98"/>
    </i>
    <i>
      <x v="101"/>
    </i>
    <i>
      <x v="102"/>
    </i>
    <i>
      <x v="103"/>
    </i>
    <i>
      <x v="106"/>
    </i>
    <i>
      <x v="109"/>
    </i>
    <i>
      <x v="110"/>
    </i>
    <i>
      <x v="111"/>
    </i>
    <i>
      <x v="112"/>
    </i>
    <i>
      <x v="114"/>
    </i>
    <i>
      <x v="116"/>
    </i>
    <i>
      <x v="117"/>
    </i>
    <i>
      <x v="121"/>
    </i>
    <i>
      <x v="122"/>
    </i>
    <i>
      <x v="123"/>
    </i>
    <i>
      <x v="125"/>
    </i>
    <i>
      <x v="126"/>
    </i>
    <i>
      <x v="127"/>
    </i>
    <i>
      <x v="129"/>
    </i>
    <i>
      <x v="136"/>
    </i>
    <i>
      <x v="137"/>
    </i>
    <i>
      <x v="139"/>
    </i>
    <i>
      <x v="141"/>
    </i>
    <i>
      <x v="142"/>
    </i>
    <i>
      <x v="145"/>
    </i>
    <i>
      <x v="147"/>
    </i>
    <i>
      <x v="148"/>
    </i>
    <i>
      <x v="149"/>
    </i>
    <i>
      <x v="150"/>
    </i>
    <i>
      <x v="156"/>
    </i>
    <i>
      <x v="157"/>
    </i>
    <i>
      <x v="163"/>
    </i>
    <i>
      <x v="164"/>
    </i>
    <i>
      <x v="168"/>
    </i>
    <i>
      <x v="173"/>
    </i>
    <i>
      <x v="176"/>
    </i>
    <i>
      <x v="177"/>
    </i>
    <i>
      <x v="178"/>
    </i>
    <i>
      <x v="179"/>
    </i>
    <i>
      <x v="180"/>
    </i>
    <i>
      <x v="181"/>
    </i>
    <i>
      <x v="182"/>
    </i>
    <i>
      <x v="183"/>
    </i>
    <i>
      <x v="186"/>
    </i>
    <i>
      <x v="187"/>
    </i>
    <i>
      <x v="188"/>
    </i>
    <i>
      <x v="189"/>
    </i>
    <i>
      <x v="190"/>
    </i>
    <i>
      <x v="191"/>
    </i>
    <i>
      <x v="193"/>
    </i>
    <i>
      <x v="195"/>
    </i>
    <i>
      <x v="196"/>
    </i>
    <i>
      <x v="197"/>
    </i>
  </rowItems>
  <colItems count="1">
    <i/>
  </colItems>
  <pageFields count="2">
    <pageField fld="4" hier="0"/>
    <pageField fld="13" hier="0"/>
  </pageFields>
  <dataFields count="1">
    <dataField name="COUNTA of MATERIAL ENTREGUE (DATA)" fld="13"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700-000011000000}" name="Base de Dados 25" cacheId="8" applyNumberFormats="0" applyBorderFormats="0" applyFontFormats="0" applyPatternFormats="0" applyAlignmentFormats="0" applyWidthHeightFormats="0" dataCaption="" updatedVersion="6" rowGrandTotals="0" compact="0" compactData="0">
  <location ref="BU5:BV15" firstHeaderRow="1" firstDataRow="1" firstDataCol="1" rowPageCount="2" colPageCount="1"/>
  <pivotFields count="16">
    <pivotField name="PROCESSO N°" axis="axisRow" dataField="1"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axis="axisPage" compact="0" outline="0" multipleItemSelectionAllowed="1" showAll="0">
      <items count="5">
        <item h="1" x="0"/>
        <item h="1" x="1"/>
        <item x="2"/>
        <item h="1" x="3"/>
        <item t="default"/>
      </items>
    </pivotField>
    <pivotField name="OBSERVAÇÃO" compact="0" outline="0" multipleItemSelectionAllowed="1" showAll="0"/>
  </pivotFields>
  <rowFields count="1">
    <field x="0"/>
  </rowFields>
  <rowItems count="10">
    <i>
      <x v="22"/>
    </i>
    <i>
      <x v="82"/>
    </i>
    <i>
      <x v="106"/>
    </i>
    <i>
      <x v="122"/>
    </i>
    <i>
      <x v="126"/>
    </i>
    <i>
      <x v="136"/>
    </i>
    <i>
      <x v="137"/>
    </i>
    <i>
      <x v="145"/>
    </i>
    <i>
      <x v="147"/>
    </i>
    <i>
      <x v="163"/>
    </i>
  </rowItems>
  <colItems count="1">
    <i/>
  </colItems>
  <pageFields count="2">
    <pageField fld="4" hier="0"/>
    <pageField fld="14" hier="0"/>
  </pageFields>
  <dataFields count="1">
    <dataField name="COUNTA of PROCESSO N°"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700-000014000000}" name="Base de Dados 3" cacheId="8" applyNumberFormats="0" applyBorderFormats="0" applyFontFormats="0" applyPatternFormats="0" applyAlignmentFormats="0" applyWidthHeightFormats="0" dataCaption="" updatedVersion="6" createdVersion="6" compact="0" compactData="0">
  <location ref="G4:H208" firstHeaderRow="1" firstDataRow="1" firstDataCol="1" rowPageCount="1"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axis="axisPage" dataField="1" compact="0" numFmtId="164" outline="0" multipleItemSelectionAllowed="1" showAll="0">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pivotField>
    <pivotField name="FONTE DE RECURSO" compact="0" outline="0" multipleItemSelectionAllowed="1" showAll="0"/>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20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t="grand">
      <x/>
    </i>
  </rowItems>
  <colItems count="1">
    <i/>
  </colItems>
  <pageFields count="1">
    <pageField fld="3" hier="0"/>
  </pageFields>
  <dataFields count="1">
    <dataField name="SUM of VALOR PREVISTO" fld="3" baseField="0"/>
  </dataFields>
  <pivotTableStyleInfo showRowHeaders="1" showColHeaders="1" showRowStripes="0" showColStripes="0" showLastColumn="1"/>
  <filters count="1">
    <filter fld="3" type="captionBetween" evalOrder="-1" id="1" stringValue1="0" stringValue2="100000000000">
      <autoFilter ref="A1">
        <filterColumn colId="0">
          <customFilters and="1">
            <customFilter operator="greaterThanOrEqual" val="0"/>
            <customFilter operator="lessThanOrEqual" val="100000000000"/>
          </customFilters>
        </filterColumn>
      </autoFilter>
    </filter>
  </filters>
  <extLs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700-00000D000000}" name="Base de Dados 21" cacheId="8" applyNumberFormats="0" applyBorderFormats="0" applyFontFormats="0" applyPatternFormats="0" applyAlignmentFormats="0" applyWidthHeightFormats="0" dataCaption="" updatedVersion="6" rowGrandTotals="0" compact="0" compactData="0">
  <location ref="BI5:BJ54"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dataField="1" compact="0" outline="0" multipleItemSelectionAllowed="1" showAll="0">
      <items count="9">
        <item h="1" x="0"/>
        <item h="1" x="1"/>
        <item h="1" x="2"/>
        <item x="3"/>
        <item x="4"/>
        <item x="5"/>
        <item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49">
    <i>
      <x/>
    </i>
    <i>
      <x v="17"/>
    </i>
    <i>
      <x v="18"/>
    </i>
    <i>
      <x v="19"/>
    </i>
    <i>
      <x v="20"/>
    </i>
    <i>
      <x v="47"/>
    </i>
    <i>
      <x v="62"/>
    </i>
    <i>
      <x v="80"/>
    </i>
    <i>
      <x v="82"/>
    </i>
    <i>
      <x v="84"/>
    </i>
    <i>
      <x v="98"/>
    </i>
    <i>
      <x v="102"/>
    </i>
    <i>
      <x v="103"/>
    </i>
    <i>
      <x v="106"/>
    </i>
    <i>
      <x v="109"/>
    </i>
    <i>
      <x v="110"/>
    </i>
    <i>
      <x v="111"/>
    </i>
    <i>
      <x v="112"/>
    </i>
    <i>
      <x v="116"/>
    </i>
    <i>
      <x v="117"/>
    </i>
    <i>
      <x v="122"/>
    </i>
    <i>
      <x v="123"/>
    </i>
    <i>
      <x v="126"/>
    </i>
    <i>
      <x v="127"/>
    </i>
    <i>
      <x v="129"/>
    </i>
    <i>
      <x v="139"/>
    </i>
    <i>
      <x v="141"/>
    </i>
    <i>
      <x v="145"/>
    </i>
    <i>
      <x v="147"/>
    </i>
    <i>
      <x v="148"/>
    </i>
    <i>
      <x v="149"/>
    </i>
    <i>
      <x v="150"/>
    </i>
    <i>
      <x v="157"/>
    </i>
    <i>
      <x v="163"/>
    </i>
    <i>
      <x v="168"/>
    </i>
    <i>
      <x v="173"/>
    </i>
    <i>
      <x v="178"/>
    </i>
    <i>
      <x v="179"/>
    </i>
    <i>
      <x v="181"/>
    </i>
    <i>
      <x v="182"/>
    </i>
    <i>
      <x v="186"/>
    </i>
    <i>
      <x v="187"/>
    </i>
    <i>
      <x v="188"/>
    </i>
    <i>
      <x v="189"/>
    </i>
    <i>
      <x v="191"/>
    </i>
    <i>
      <x v="193"/>
    </i>
    <i>
      <x v="195"/>
    </i>
    <i>
      <x v="196"/>
    </i>
    <i>
      <x v="197"/>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Base de Dados 18" cacheId="8" applyNumberFormats="0" applyBorderFormats="0" applyFontFormats="0" applyPatternFormats="0" applyAlignmentFormats="0" applyWidthHeightFormats="0" dataCaption="" updatedVersion="6" rowGrandTotals="0" compact="0" compactData="0">
  <location ref="AZ5:BA13"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dataField="1"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compact="0" outline="0" multipleItemSelectionAllowed="1" showAll="0">
      <items count="9">
        <item h="1" x="0"/>
        <item h="1" x="1"/>
        <item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8">
    <i>
      <x v="33"/>
    </i>
    <i>
      <x v="35"/>
    </i>
    <i>
      <x v="51"/>
    </i>
    <i>
      <x v="61"/>
    </i>
    <i>
      <x v="65"/>
    </i>
    <i>
      <x v="72"/>
    </i>
    <i>
      <x v="75"/>
    </i>
    <i>
      <x v="151"/>
    </i>
  </rowItems>
  <colItems count="1">
    <i/>
  </colItems>
  <pageFields count="2">
    <pageField fld="5" hier="0"/>
    <pageField fld="4" hier="0"/>
  </pageFields>
  <dataFields count="1">
    <dataField name="SUM of VALOR PREVISTO" fld="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Base de Dados 13" cacheId="8" applyNumberFormats="0" applyBorderFormats="0" applyFontFormats="0" applyPatternFormats="0" applyAlignmentFormats="0" applyWidthHeightFormats="0" dataCaption="" updatedVersion="6" rowGrandTotals="0" compact="0" compactData="0">
  <location ref="AK5:AL11"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h="1" x="0"/>
        <item x="1"/>
        <item h="1" x="2"/>
        <item t="default"/>
      </items>
    </pivotField>
    <pivotField name="MODALIDADE" axis="axisPage" dataField="1" compact="0" outline="0" multipleItemSelectionAllowed="1" showAll="0">
      <items count="9">
        <item x="0"/>
        <item h="1"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6">
    <i>
      <x v="39"/>
    </i>
    <i>
      <x v="64"/>
    </i>
    <i>
      <x v="121"/>
    </i>
    <i>
      <x v="137"/>
    </i>
    <i>
      <x v="156"/>
    </i>
    <i>
      <x v="177"/>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700-000019000000}" name="Base de Dados 8" cacheId="8" applyNumberFormats="0" applyBorderFormats="0" applyFontFormats="0" applyPatternFormats="0" applyAlignmentFormats="0" applyWidthHeightFormats="0" dataCaption="" updatedVersion="6" rowGrandTotals="0" compact="0" compactData="0">
  <location ref="V5:W12" firstHeaderRow="1" firstDataRow="1" firstDataCol="1" rowPageCount="2" colPageCount="1"/>
  <pivotFields count="16">
    <pivotField name="PROCESSO N°" axis="axisRow"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axis="axisPage" dataField="1" compact="0" outline="0" multipleItemSelectionAllowed="1" showAll="0">
      <items count="9">
        <item h="1" x="0"/>
        <item x="1"/>
        <item h="1" x="2"/>
        <item h="1" x="3"/>
        <item h="1" x="4"/>
        <item h="1" x="5"/>
        <item h="1" x="6"/>
        <item h="1" x="7"/>
        <item t="default"/>
      </items>
    </pivotField>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compact="0" outline="0" multipleItemSelectionAllowed="1" showAll="0"/>
    <pivotField name="OBSERVAÇÃO" compact="0" outline="0" multipleItemSelectionAllowed="1" showAll="0"/>
  </pivotFields>
  <rowFields count="1">
    <field x="0"/>
  </rowFields>
  <rowItems count="7">
    <i>
      <x v="7"/>
    </i>
    <i>
      <x v="24"/>
    </i>
    <i>
      <x v="25"/>
    </i>
    <i>
      <x v="29"/>
    </i>
    <i>
      <x v="54"/>
    </i>
    <i>
      <x v="73"/>
    </i>
    <i>
      <x v="77"/>
    </i>
  </rowItems>
  <colItems count="1">
    <i/>
  </colItems>
  <pageFields count="2">
    <pageField fld="5" hier="0"/>
    <pageField fld="4" hier="0"/>
  </pageFields>
  <dataFields count="1">
    <dataField name="COUNTA of MODALIDADE" fld="5"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700-000012000000}" name="Base de Dados 26" cacheId="8" applyNumberFormats="0" applyBorderFormats="0" applyFontFormats="0" applyPatternFormats="0" applyAlignmentFormats="0" applyWidthHeightFormats="0" dataCaption="" updatedVersion="6" rowGrandTotals="0" compact="0" compactData="0">
  <location ref="BX5:BY52" firstHeaderRow="1" firstDataRow="1" firstDataCol="1" rowPageCount="2" colPageCount="1"/>
  <pivotFields count="16">
    <pivotField name="PROCESSO N°" axis="axisRow" dataField="1" compact="0" outline="0" multipleItemSelectionAllowed="1" showAll="0" sortType="ascending">
      <items count="204">
        <item x="38"/>
        <item x="132"/>
        <item x="99"/>
        <item x="55"/>
        <item x="54"/>
        <item x="88"/>
        <item x="84"/>
        <item x="87"/>
        <item x="81"/>
        <item x="59"/>
        <item x="77"/>
        <item x="79"/>
        <item x="89"/>
        <item x="86"/>
        <item x="78"/>
        <item x="71"/>
        <item x="101"/>
        <item x="73"/>
        <item x="129"/>
        <item x="128"/>
        <item x="184"/>
        <item x="111"/>
        <item x="66"/>
        <item x="31"/>
        <item x="52"/>
        <item x="4"/>
        <item x="5"/>
        <item x="51"/>
        <item x="10"/>
        <item x="43"/>
        <item x="48"/>
        <item x="9"/>
        <item x="11"/>
        <item x="2"/>
        <item x="34"/>
        <item x="21"/>
        <item x="37"/>
        <item x="36"/>
        <item x="32"/>
        <item x="49"/>
        <item x="42"/>
        <item x="50"/>
        <item x="24"/>
        <item x="35"/>
        <item x="33"/>
        <item x="18"/>
        <item x="0"/>
        <item x="13"/>
        <item x="25"/>
        <item x="12"/>
        <item x="19"/>
        <item x="39"/>
        <item x="53"/>
        <item x="30"/>
        <item x="1"/>
        <item x="26"/>
        <item x="20"/>
        <item x="29"/>
        <item x="28"/>
        <item x="82"/>
        <item x="27"/>
        <item x="23"/>
        <item x="67"/>
        <item x="6"/>
        <item x="3"/>
        <item x="22"/>
        <item x="14"/>
        <item x="8"/>
        <item x="17"/>
        <item x="83"/>
        <item x="76"/>
        <item x="15"/>
        <item x="41"/>
        <item x="7"/>
        <item x="46"/>
        <item x="56"/>
        <item x="68"/>
        <item x="40"/>
        <item x="16"/>
        <item x="95"/>
        <item x="47"/>
        <item x="65"/>
        <item x="57"/>
        <item x="107"/>
        <item x="58"/>
        <item x="44"/>
        <item x="45"/>
        <item x="61"/>
        <item x="60"/>
        <item x="197"/>
        <item x="121"/>
        <item x="122"/>
        <item x="120"/>
        <item x="198"/>
        <item x="125"/>
        <item x="126"/>
        <item x="123"/>
        <item x="124"/>
        <item x="62"/>
        <item x="63"/>
        <item x="64"/>
        <item x="109"/>
        <item x="74"/>
        <item x="69"/>
        <item x="70"/>
        <item x="72"/>
        <item x="91"/>
        <item x="146"/>
        <item x="156"/>
        <item x="75"/>
        <item x="80"/>
        <item x="85"/>
        <item x="106"/>
        <item x="108"/>
        <item x="90"/>
        <item x="92"/>
        <item x="100"/>
        <item x="93"/>
        <item x="94"/>
        <item x="96"/>
        <item x="97"/>
        <item x="98"/>
        <item x="103"/>
        <item x="102"/>
        <item x="105"/>
        <item x="169"/>
        <item x="104"/>
        <item x="110"/>
        <item x="113"/>
        <item x="112"/>
        <item x="114"/>
        <item x="115"/>
        <item x="116"/>
        <item x="117"/>
        <item x="118"/>
        <item x="119"/>
        <item x="136"/>
        <item x="127"/>
        <item x="133"/>
        <item x="130"/>
        <item x="131"/>
        <item x="141"/>
        <item x="144"/>
        <item x="134"/>
        <item x="135"/>
        <item x="138"/>
        <item x="137"/>
        <item x="139"/>
        <item x="142"/>
        <item x="140"/>
        <item x="163"/>
        <item x="160"/>
        <item x="143"/>
        <item x="145"/>
        <item x="147"/>
        <item x="148"/>
        <item x="149"/>
        <item x="150"/>
        <item x="151"/>
        <item x="158"/>
        <item x="155"/>
        <item x="152"/>
        <item x="153"/>
        <item x="154"/>
        <item x="177"/>
        <item x="157"/>
        <item x="199"/>
        <item x="159"/>
        <item x="165"/>
        <item x="161"/>
        <item x="162"/>
        <item x="164"/>
        <item x="181"/>
        <item x="170"/>
        <item x="166"/>
        <item x="167"/>
        <item x="194"/>
        <item x="168"/>
        <item x="171"/>
        <item x="180"/>
        <item x="190"/>
        <item x="172"/>
        <item x="174"/>
        <item x="188"/>
        <item x="173"/>
        <item x="175"/>
        <item x="178"/>
        <item x="179"/>
        <item x="176"/>
        <item x="185"/>
        <item x="192"/>
        <item x="182"/>
        <item x="196"/>
        <item x="183"/>
        <item x="186"/>
        <item x="187"/>
        <item x="201"/>
        <item x="189"/>
        <item x="191"/>
        <item x="193"/>
        <item x="195"/>
        <item x="200"/>
        <item x="202"/>
        <item t="default"/>
      </items>
    </pivotField>
    <pivotField name="DESCRIÇÃO" compact="0" outline="0" multipleItemSelectionAllowed="1" showAll="0"/>
    <pivotField name="DATA DE CRIAÇÃO" compact="0" outline="0" multipleItemSelectionAllowed="1" showAll="0"/>
    <pivotField name="VALOR PREVISTO" compact="0" numFmtId="164" outline="0" multipleItemSelectionAllowed="1" showAll="0"/>
    <pivotField name="FONTE DE RECURSO" axis="axisPage" compact="0" outline="0" multipleItemSelectionAllowed="1" showAll="0">
      <items count="4">
        <item x="0"/>
        <item h="1" x="1"/>
        <item h="1" x="2"/>
        <item t="default"/>
      </items>
    </pivotField>
    <pivotField name="MODALIDADE" compact="0" outline="0" multipleItemSelectionAllowed="1" showAll="0"/>
    <pivotField name="DATA DO PREGÃO" compact="0" outline="0" multipleItemSelectionAllowed="1" showAll="0"/>
    <pivotField name="CONTRATO ASSINADO" compact="0" numFmtId="14" outline="0" multipleItemSelectionAllowed="1" showAll="0"/>
    <pivotField name="EMPENHO ASSINADO" compact="0" numFmtId="14" outline="0" multipleItemSelectionAllowed="1" showAll="0"/>
    <pivotField name="EMPENHO E CONTRATO ENVIADO AO FORNECEDOR (DATA)" compact="0" numFmtId="14" outline="0" multipleItemSelectionAllowed="1" showAll="0"/>
    <pivotField name="PRAZO DE ENTREGA (DIAS)" compact="0" outline="0" multipleItemSelectionAllowed="1" showAll="0"/>
    <pivotField name="DATA PREV. DE ENTREGA" compact="0" outline="0" multipleItemSelectionAllowed="1" showAll="0"/>
    <pivotField name="COBRADO ENTREGA NO DIA" compact="0" outline="0" multipleItemSelectionAllowed="1" showAll="0"/>
    <pivotField name="MATERIAL ENTREGUE (DATA)" compact="0" numFmtId="14" outline="0" multipleItemSelectionAllowed="1" showAll="0"/>
    <pivotField name="SITUAÇÃO" axis="axisPage" compact="0" outline="0" multipleItemSelectionAllowed="1" showAll="0">
      <items count="5">
        <item h="1" x="0"/>
        <item x="1"/>
        <item h="1" x="2"/>
        <item h="1" x="3"/>
        <item t="default"/>
      </items>
    </pivotField>
    <pivotField name="OBSERVAÇÃO" compact="0" outline="0" multipleItemSelectionAllowed="1" showAll="0"/>
  </pivotFields>
  <rowFields count="1">
    <field x="0"/>
  </rowFields>
  <rowItems count="47">
    <i>
      <x v="24"/>
    </i>
    <i>
      <x v="29"/>
    </i>
    <i>
      <x v="33"/>
    </i>
    <i>
      <x v="35"/>
    </i>
    <i>
      <x v="59"/>
    </i>
    <i>
      <x v="61"/>
    </i>
    <i>
      <x v="65"/>
    </i>
    <i>
      <x v="72"/>
    </i>
    <i>
      <x v="73"/>
    </i>
    <i>
      <x v="75"/>
    </i>
    <i>
      <x v="77"/>
    </i>
    <i>
      <x v="89"/>
    </i>
    <i>
      <x v="90"/>
    </i>
    <i>
      <x v="91"/>
    </i>
    <i>
      <x v="92"/>
    </i>
    <i>
      <x v="93"/>
    </i>
    <i>
      <x v="94"/>
    </i>
    <i>
      <x v="95"/>
    </i>
    <i>
      <x v="96"/>
    </i>
    <i>
      <x v="97"/>
    </i>
    <i>
      <x v="107"/>
    </i>
    <i>
      <x v="108"/>
    </i>
    <i>
      <x v="124"/>
    </i>
    <i>
      <x v="134"/>
    </i>
    <i>
      <x v="135"/>
    </i>
    <i>
      <x v="138"/>
    </i>
    <i>
      <x v="151"/>
    </i>
    <i>
      <x v="152"/>
    </i>
    <i>
      <x v="153"/>
    </i>
    <i>
      <x v="154"/>
    </i>
    <i>
      <x v="159"/>
    </i>
    <i>
      <x v="160"/>
    </i>
    <i>
      <x v="161"/>
    </i>
    <i>
      <x v="162"/>
    </i>
    <i>
      <x v="165"/>
    </i>
    <i>
      <x v="166"/>
    </i>
    <i>
      <x v="167"/>
    </i>
    <i>
      <x v="170"/>
    </i>
    <i>
      <x v="172"/>
    </i>
    <i>
      <x v="175"/>
    </i>
    <i>
      <x v="184"/>
    </i>
    <i>
      <x v="185"/>
    </i>
    <i>
      <x v="194"/>
    </i>
    <i>
      <x v="198"/>
    </i>
    <i>
      <x v="199"/>
    </i>
    <i>
      <x v="200"/>
    </i>
    <i>
      <x v="201"/>
    </i>
  </rowItems>
  <colItems count="1">
    <i/>
  </colItems>
  <pageFields count="2">
    <pageField fld="4" hier="0"/>
    <pageField fld="14" hier="0"/>
  </pageFields>
  <dataFields count="1">
    <dataField name="COUNTA of PROCESSO N°" fld="0" subtotal="count"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999"/>
  <sheetViews>
    <sheetView tabSelected="1" workbookViewId="0">
      <selection activeCell="F111" sqref="F111"/>
    </sheetView>
  </sheetViews>
  <sheetFormatPr defaultColWidth="12.5703125" defaultRowHeight="15.75" customHeight="1"/>
  <cols>
    <col min="1" max="1" width="18.42578125" customWidth="1"/>
    <col min="2" max="2" width="51.42578125" customWidth="1"/>
    <col min="3" max="3" width="12" style="350" customWidth="1"/>
    <col min="4" max="4" width="18.85546875" style="345" bestFit="1" customWidth="1"/>
    <col min="5" max="5" width="14.7109375" customWidth="1"/>
    <col min="6" max="6" width="18.85546875" style="336" customWidth="1"/>
    <col min="8" max="8" width="15" customWidth="1"/>
    <col min="10" max="10" width="18.85546875" customWidth="1"/>
    <col min="15" max="15" width="19" customWidth="1"/>
    <col min="16" max="16" width="16.42578125" customWidth="1"/>
  </cols>
  <sheetData>
    <row r="1" spans="1:21" ht="15">
      <c r="A1" s="1">
        <f>SUBTOTAL(3,A3:A1095)</f>
        <v>204</v>
      </c>
      <c r="B1" s="341"/>
      <c r="C1" s="346"/>
      <c r="D1" s="351">
        <f>SUBTOTAL(9,D3:D896)</f>
        <v>174190352.20999998</v>
      </c>
      <c r="E1" s="3"/>
      <c r="F1" s="375"/>
      <c r="G1" s="3"/>
      <c r="H1" s="3"/>
      <c r="I1" s="5">
        <f t="shared" ref="I1:J1" si="0">SUBTOTAL(3,I3:I500)</f>
        <v>118</v>
      </c>
      <c r="J1" s="5">
        <f t="shared" si="0"/>
        <v>121</v>
      </c>
      <c r="K1" s="3"/>
      <c r="L1" s="3"/>
      <c r="M1" s="3"/>
      <c r="N1" s="5">
        <f>SUBTOTAL(3,N3:N896)</f>
        <v>82</v>
      </c>
      <c r="O1" s="5">
        <f>COUNTIF(O3:O301,"FINALIZADO")</f>
        <v>82</v>
      </c>
      <c r="P1" s="6"/>
      <c r="Q1" s="7"/>
      <c r="R1" s="7"/>
      <c r="S1" s="7"/>
      <c r="T1" s="8"/>
      <c r="U1" s="8"/>
    </row>
    <row r="2" spans="1:21" ht="75">
      <c r="A2" s="337" t="s">
        <v>0</v>
      </c>
      <c r="B2" s="342" t="s">
        <v>1</v>
      </c>
      <c r="C2" s="360" t="s">
        <v>2</v>
      </c>
      <c r="D2" s="361" t="s">
        <v>3</v>
      </c>
      <c r="E2" s="362" t="s">
        <v>4</v>
      </c>
      <c r="F2" s="337" t="s">
        <v>5</v>
      </c>
      <c r="G2" s="337" t="s">
        <v>6</v>
      </c>
      <c r="H2" s="337" t="s">
        <v>7</v>
      </c>
      <c r="I2" s="337" t="s">
        <v>8</v>
      </c>
      <c r="J2" s="337" t="s">
        <v>9</v>
      </c>
      <c r="K2" s="337" t="s">
        <v>10</v>
      </c>
      <c r="L2" s="337" t="s">
        <v>11</v>
      </c>
      <c r="M2" s="337" t="s">
        <v>12</v>
      </c>
      <c r="N2" s="337" t="s">
        <v>13</v>
      </c>
      <c r="O2" s="337" t="s">
        <v>14</v>
      </c>
      <c r="P2" s="9" t="s">
        <v>15</v>
      </c>
      <c r="Q2" s="7"/>
      <c r="R2" s="7"/>
      <c r="S2" s="7"/>
      <c r="T2" s="7"/>
      <c r="U2" s="7"/>
    </row>
    <row r="3" spans="1:21" ht="25.5">
      <c r="A3" s="358" t="s">
        <v>16</v>
      </c>
      <c r="B3" s="358" t="s">
        <v>17</v>
      </c>
      <c r="C3" s="355">
        <v>45715</v>
      </c>
      <c r="D3" s="354">
        <v>10560</v>
      </c>
      <c r="E3" s="366" t="s">
        <v>18</v>
      </c>
      <c r="F3" s="371" t="s">
        <v>19</v>
      </c>
      <c r="G3" s="357"/>
      <c r="H3" s="355">
        <v>45839</v>
      </c>
      <c r="I3" s="355">
        <v>45848</v>
      </c>
      <c r="J3" s="355">
        <v>45852</v>
      </c>
      <c r="K3" s="356">
        <v>30</v>
      </c>
      <c r="L3" s="372">
        <f t="shared" ref="L3:L301" si="1">IF(ISBLANK(J3), "", SUM(J3, K3))</f>
        <v>45882</v>
      </c>
      <c r="M3" s="340"/>
      <c r="N3" s="338">
        <v>45839</v>
      </c>
      <c r="O3" s="373" t="s">
        <v>20</v>
      </c>
      <c r="P3" s="15"/>
      <c r="Q3" s="7"/>
      <c r="R3" s="7"/>
      <c r="S3" s="7"/>
      <c r="T3" s="8"/>
      <c r="U3" s="8"/>
    </row>
    <row r="4" spans="1:21" ht="25.5">
      <c r="A4" s="358" t="s">
        <v>21</v>
      </c>
      <c r="B4" s="339" t="s">
        <v>22</v>
      </c>
      <c r="C4" s="355">
        <v>45714</v>
      </c>
      <c r="D4" s="354">
        <v>1778400</v>
      </c>
      <c r="E4" s="366" t="s">
        <v>18</v>
      </c>
      <c r="F4" s="371" t="s">
        <v>23</v>
      </c>
      <c r="G4" s="355">
        <v>45875</v>
      </c>
      <c r="H4" s="355">
        <v>45932</v>
      </c>
      <c r="I4" s="355">
        <v>45951</v>
      </c>
      <c r="J4" s="355">
        <v>45951</v>
      </c>
      <c r="K4" s="356">
        <v>30</v>
      </c>
      <c r="L4" s="372">
        <f t="shared" si="1"/>
        <v>45981</v>
      </c>
      <c r="M4" s="340"/>
      <c r="N4" s="338">
        <v>45981</v>
      </c>
      <c r="O4" s="373" t="s">
        <v>20</v>
      </c>
      <c r="P4" s="15"/>
      <c r="Q4" s="7"/>
      <c r="R4" s="7"/>
      <c r="S4" s="7"/>
      <c r="T4" s="8"/>
      <c r="U4" s="8"/>
    </row>
    <row r="5" spans="1:21" ht="25.5">
      <c r="A5" s="358" t="s">
        <v>24</v>
      </c>
      <c r="B5" s="339" t="s">
        <v>25</v>
      </c>
      <c r="C5" s="355">
        <v>45734</v>
      </c>
      <c r="D5" s="354">
        <v>531310</v>
      </c>
      <c r="E5" s="366" t="s">
        <v>18</v>
      </c>
      <c r="F5" s="371" t="s">
        <v>26</v>
      </c>
      <c r="G5" s="357"/>
      <c r="H5" s="357"/>
      <c r="I5" s="357"/>
      <c r="J5" s="357"/>
      <c r="K5" s="356">
        <v>30</v>
      </c>
      <c r="L5" s="372" t="str">
        <f t="shared" si="1"/>
        <v/>
      </c>
      <c r="M5" s="340"/>
      <c r="N5" s="340"/>
      <c r="O5" s="373" t="s">
        <v>47</v>
      </c>
      <c r="P5" s="15"/>
      <c r="Q5" s="7"/>
      <c r="R5" s="7"/>
      <c r="S5" s="7"/>
      <c r="T5" s="8"/>
      <c r="U5" s="8"/>
    </row>
    <row r="6" spans="1:21" ht="51">
      <c r="A6" s="358" t="s">
        <v>28</v>
      </c>
      <c r="B6" s="339" t="s">
        <v>29</v>
      </c>
      <c r="C6" s="355">
        <v>45750</v>
      </c>
      <c r="D6" s="354">
        <v>106123</v>
      </c>
      <c r="E6" s="366" t="s">
        <v>30</v>
      </c>
      <c r="F6" s="371" t="s">
        <v>19</v>
      </c>
      <c r="G6" s="357"/>
      <c r="H6" s="355">
        <v>45903</v>
      </c>
      <c r="I6" s="355">
        <v>45922</v>
      </c>
      <c r="J6" s="355">
        <v>45923</v>
      </c>
      <c r="K6" s="356">
        <v>90</v>
      </c>
      <c r="L6" s="372">
        <f t="shared" si="1"/>
        <v>46013</v>
      </c>
      <c r="M6" s="338">
        <v>45992</v>
      </c>
      <c r="N6" s="340"/>
      <c r="O6" s="373" t="s">
        <v>27</v>
      </c>
      <c r="P6" s="15"/>
      <c r="Q6" s="7"/>
      <c r="R6" s="7"/>
      <c r="S6" s="7"/>
      <c r="T6" s="8"/>
      <c r="U6" s="8"/>
    </row>
    <row r="7" spans="1:21" ht="38.25">
      <c r="A7" s="358" t="s">
        <v>31</v>
      </c>
      <c r="B7" s="339" t="s">
        <v>32</v>
      </c>
      <c r="C7" s="355">
        <v>45674</v>
      </c>
      <c r="D7" s="354">
        <v>171111.52</v>
      </c>
      <c r="E7" s="366" t="s">
        <v>18</v>
      </c>
      <c r="F7" s="371" t="s">
        <v>23</v>
      </c>
      <c r="G7" s="357"/>
      <c r="H7" s="355">
        <v>45917</v>
      </c>
      <c r="I7" s="355">
        <v>45937</v>
      </c>
      <c r="J7" s="355">
        <v>45936</v>
      </c>
      <c r="K7" s="356">
        <v>15</v>
      </c>
      <c r="L7" s="372">
        <f t="shared" si="1"/>
        <v>45951</v>
      </c>
      <c r="M7" s="340"/>
      <c r="N7" s="338">
        <v>45951</v>
      </c>
      <c r="O7" s="373" t="s">
        <v>20</v>
      </c>
      <c r="P7" s="15"/>
      <c r="Q7" s="7"/>
      <c r="R7" s="7"/>
      <c r="S7" s="7"/>
      <c r="T7" s="8"/>
      <c r="U7" s="8"/>
    </row>
    <row r="8" spans="1:21" ht="38.25">
      <c r="A8" s="358" t="s">
        <v>33</v>
      </c>
      <c r="B8" s="339" t="s">
        <v>34</v>
      </c>
      <c r="C8" s="355">
        <v>45678</v>
      </c>
      <c r="D8" s="354">
        <v>193026.4</v>
      </c>
      <c r="E8" s="366" t="s">
        <v>30</v>
      </c>
      <c r="F8" s="371" t="s">
        <v>23</v>
      </c>
      <c r="G8" s="357"/>
      <c r="H8" s="357"/>
      <c r="I8" s="357"/>
      <c r="J8" s="357"/>
      <c r="K8" s="356">
        <v>30</v>
      </c>
      <c r="L8" s="372" t="str">
        <f t="shared" si="1"/>
        <v/>
      </c>
      <c r="M8" s="340"/>
      <c r="N8" s="340"/>
      <c r="O8" s="373" t="s">
        <v>27</v>
      </c>
      <c r="P8" s="15"/>
      <c r="Q8" s="7"/>
      <c r="R8" s="7"/>
      <c r="S8" s="7"/>
      <c r="T8" s="8"/>
      <c r="U8" s="8"/>
    </row>
    <row r="9" spans="1:21" ht="38.25">
      <c r="A9" s="358" t="s">
        <v>35</v>
      </c>
      <c r="B9" s="339" t="s">
        <v>36</v>
      </c>
      <c r="C9" s="355">
        <v>45751</v>
      </c>
      <c r="D9" s="354">
        <v>85981.41</v>
      </c>
      <c r="E9" s="366" t="s">
        <v>30</v>
      </c>
      <c r="F9" s="371" t="s">
        <v>23</v>
      </c>
      <c r="G9" s="357"/>
      <c r="H9" s="357"/>
      <c r="I9" s="357"/>
      <c r="J9" s="357"/>
      <c r="K9" s="356">
        <v>30</v>
      </c>
      <c r="L9" s="372" t="str">
        <f t="shared" si="1"/>
        <v/>
      </c>
      <c r="M9" s="340"/>
      <c r="N9" s="340"/>
      <c r="O9" s="373" t="s">
        <v>27</v>
      </c>
      <c r="P9" s="15"/>
      <c r="Q9" s="7"/>
      <c r="R9" s="7"/>
      <c r="S9" s="7"/>
      <c r="T9" s="8"/>
      <c r="U9" s="8"/>
    </row>
    <row r="10" spans="1:21" ht="51">
      <c r="A10" s="358" t="s">
        <v>37</v>
      </c>
      <c r="B10" s="339" t="s">
        <v>38</v>
      </c>
      <c r="C10" s="355">
        <v>45763</v>
      </c>
      <c r="D10" s="354">
        <v>33480720</v>
      </c>
      <c r="E10" s="366" t="s">
        <v>18</v>
      </c>
      <c r="F10" s="371" t="s">
        <v>23</v>
      </c>
      <c r="G10" s="355">
        <v>45702</v>
      </c>
      <c r="H10" s="355">
        <v>45820</v>
      </c>
      <c r="I10" s="355">
        <v>45868</v>
      </c>
      <c r="J10" s="355">
        <v>45821</v>
      </c>
      <c r="K10" s="356">
        <v>60</v>
      </c>
      <c r="L10" s="372">
        <f t="shared" si="1"/>
        <v>45881</v>
      </c>
      <c r="M10" s="340"/>
      <c r="N10" s="340"/>
      <c r="O10" s="373" t="s">
        <v>27</v>
      </c>
      <c r="P10" s="15"/>
      <c r="Q10" s="7"/>
      <c r="R10" s="7"/>
      <c r="S10" s="7"/>
      <c r="T10" s="8"/>
      <c r="U10" s="8"/>
    </row>
    <row r="11" spans="1:21" ht="25.5">
      <c r="A11" s="358" t="s">
        <v>39</v>
      </c>
      <c r="B11" s="368" t="s">
        <v>40</v>
      </c>
      <c r="C11" s="355">
        <v>45747</v>
      </c>
      <c r="D11" s="354">
        <v>990000</v>
      </c>
      <c r="E11" s="366" t="s">
        <v>30</v>
      </c>
      <c r="F11" s="371" t="s">
        <v>26</v>
      </c>
      <c r="G11" s="357"/>
      <c r="H11" s="355">
        <v>45999</v>
      </c>
      <c r="I11" s="355">
        <v>46003</v>
      </c>
      <c r="J11" s="355">
        <v>46003</v>
      </c>
      <c r="K11" s="356">
        <v>30</v>
      </c>
      <c r="L11" s="372">
        <f t="shared" si="1"/>
        <v>46033</v>
      </c>
      <c r="M11" s="340"/>
      <c r="N11" s="340"/>
      <c r="O11" s="373" t="s">
        <v>27</v>
      </c>
      <c r="P11" s="15"/>
      <c r="Q11" s="7"/>
      <c r="R11" s="7"/>
      <c r="S11" s="7"/>
      <c r="T11" s="8"/>
      <c r="U11" s="8"/>
    </row>
    <row r="12" spans="1:21" ht="76.5">
      <c r="A12" s="358" t="s">
        <v>42</v>
      </c>
      <c r="B12" s="339" t="s">
        <v>43</v>
      </c>
      <c r="C12" s="355">
        <v>45686</v>
      </c>
      <c r="D12" s="354">
        <v>50000</v>
      </c>
      <c r="E12" s="366" t="s">
        <v>18</v>
      </c>
      <c r="F12" s="371" t="s">
        <v>44</v>
      </c>
      <c r="G12" s="355">
        <v>45946</v>
      </c>
      <c r="H12" s="355">
        <v>45733</v>
      </c>
      <c r="I12" s="355">
        <v>45748</v>
      </c>
      <c r="J12" s="355">
        <v>45756</v>
      </c>
      <c r="K12" s="356">
        <v>360</v>
      </c>
      <c r="L12" s="372">
        <f t="shared" si="1"/>
        <v>46116</v>
      </c>
      <c r="M12" s="340"/>
      <c r="N12" s="338">
        <v>45751</v>
      </c>
      <c r="O12" s="373" t="s">
        <v>20</v>
      </c>
      <c r="P12" s="15"/>
      <c r="Q12" s="7"/>
      <c r="R12" s="7"/>
      <c r="S12" s="7"/>
      <c r="T12" s="8"/>
      <c r="U12" s="8"/>
    </row>
    <row r="13" spans="1:21" ht="76.5">
      <c r="A13" s="358" t="s">
        <v>45</v>
      </c>
      <c r="B13" s="339" t="s">
        <v>46</v>
      </c>
      <c r="C13" s="355">
        <v>45688</v>
      </c>
      <c r="D13" s="354">
        <v>233.25</v>
      </c>
      <c r="E13" s="366" t="s">
        <v>18</v>
      </c>
      <c r="F13" s="371" t="s">
        <v>44</v>
      </c>
      <c r="G13" s="357"/>
      <c r="H13" s="357"/>
      <c r="I13" s="357"/>
      <c r="J13" s="357"/>
      <c r="K13" s="340"/>
      <c r="L13" s="372" t="str">
        <f t="shared" si="1"/>
        <v/>
      </c>
      <c r="M13" s="340"/>
      <c r="N13" s="340"/>
      <c r="O13" s="373" t="s">
        <v>47</v>
      </c>
      <c r="P13" s="15"/>
      <c r="Q13" s="7"/>
      <c r="R13" s="7"/>
      <c r="S13" s="7"/>
      <c r="T13" s="8"/>
      <c r="U13" s="8"/>
    </row>
    <row r="14" spans="1:21" ht="63.75">
      <c r="A14" s="358" t="s">
        <v>48</v>
      </c>
      <c r="B14" s="339" t="s">
        <v>49</v>
      </c>
      <c r="C14" s="355">
        <v>45698</v>
      </c>
      <c r="D14" s="354">
        <v>17473</v>
      </c>
      <c r="E14" s="366" t="s">
        <v>18</v>
      </c>
      <c r="F14" s="371" t="s">
        <v>44</v>
      </c>
      <c r="G14" s="355">
        <v>46044</v>
      </c>
      <c r="H14" s="357"/>
      <c r="I14" s="355">
        <v>45702</v>
      </c>
      <c r="J14" s="355">
        <v>45786</v>
      </c>
      <c r="K14" s="356">
        <v>30</v>
      </c>
      <c r="L14" s="372">
        <f t="shared" si="1"/>
        <v>45816</v>
      </c>
      <c r="M14" s="338">
        <v>45805</v>
      </c>
      <c r="N14" s="338">
        <v>45833</v>
      </c>
      <c r="O14" s="373" t="s">
        <v>20</v>
      </c>
      <c r="P14" s="15"/>
      <c r="Q14" s="7"/>
      <c r="R14" s="7"/>
      <c r="S14" s="7"/>
      <c r="T14" s="8"/>
      <c r="U14" s="8"/>
    </row>
    <row r="15" spans="1:21" ht="63.75">
      <c r="A15" s="358" t="s">
        <v>50</v>
      </c>
      <c r="B15" s="339" t="s">
        <v>51</v>
      </c>
      <c r="C15" s="355">
        <v>45712</v>
      </c>
      <c r="D15" s="354">
        <v>68276.399999999994</v>
      </c>
      <c r="E15" s="366" t="s">
        <v>18</v>
      </c>
      <c r="F15" s="371" t="s">
        <v>44</v>
      </c>
      <c r="G15" s="357"/>
      <c r="H15" s="357"/>
      <c r="I15" s="355">
        <v>45806</v>
      </c>
      <c r="J15" s="355">
        <v>45812</v>
      </c>
      <c r="K15" s="356">
        <v>15</v>
      </c>
      <c r="L15" s="372">
        <f t="shared" si="1"/>
        <v>45827</v>
      </c>
      <c r="M15" s="338">
        <v>45910</v>
      </c>
      <c r="N15" s="338">
        <v>45915</v>
      </c>
      <c r="O15" s="373" t="s">
        <v>20</v>
      </c>
      <c r="P15" s="15"/>
      <c r="Q15" s="7"/>
      <c r="R15" s="7"/>
      <c r="S15" s="7"/>
      <c r="T15" s="8"/>
      <c r="U15" s="8"/>
    </row>
    <row r="16" spans="1:21" ht="38.25">
      <c r="A16" s="358" t="s">
        <v>52</v>
      </c>
      <c r="B16" s="339" t="s">
        <v>53</v>
      </c>
      <c r="C16" s="355">
        <v>45735</v>
      </c>
      <c r="D16" s="354">
        <v>292600</v>
      </c>
      <c r="E16" s="366" t="s">
        <v>30</v>
      </c>
      <c r="F16" s="371" t="s">
        <v>44</v>
      </c>
      <c r="G16" s="357"/>
      <c r="H16" s="357"/>
      <c r="I16" s="355">
        <v>45800</v>
      </c>
      <c r="J16" s="355">
        <v>45792</v>
      </c>
      <c r="K16" s="356">
        <v>45</v>
      </c>
      <c r="L16" s="372">
        <f t="shared" si="1"/>
        <v>45837</v>
      </c>
      <c r="M16" s="338">
        <v>45862</v>
      </c>
      <c r="N16" s="338">
        <v>45867</v>
      </c>
      <c r="O16" s="373" t="s">
        <v>20</v>
      </c>
      <c r="P16" s="15"/>
      <c r="Q16" s="7"/>
      <c r="R16" s="7"/>
      <c r="S16" s="7"/>
      <c r="T16" s="8"/>
      <c r="U16" s="8"/>
    </row>
    <row r="17" spans="1:21" ht="51">
      <c r="A17" s="358" t="s">
        <v>55</v>
      </c>
      <c r="B17" s="339" t="s">
        <v>56</v>
      </c>
      <c r="C17" s="355">
        <v>45743</v>
      </c>
      <c r="D17" s="354">
        <v>19470</v>
      </c>
      <c r="E17" s="366" t="s">
        <v>18</v>
      </c>
      <c r="F17" s="371" t="s">
        <v>44</v>
      </c>
      <c r="G17" s="357"/>
      <c r="H17" s="357"/>
      <c r="I17" s="355">
        <v>45775</v>
      </c>
      <c r="J17" s="355">
        <v>45826</v>
      </c>
      <c r="K17" s="356">
        <v>30</v>
      </c>
      <c r="L17" s="372">
        <f t="shared" si="1"/>
        <v>45856</v>
      </c>
      <c r="M17" s="340"/>
      <c r="N17" s="338">
        <v>45846</v>
      </c>
      <c r="O17" s="373" t="s">
        <v>20</v>
      </c>
      <c r="P17" s="15"/>
      <c r="Q17" s="7"/>
      <c r="R17" s="7"/>
      <c r="S17" s="7"/>
      <c r="T17" s="8"/>
      <c r="U17" s="8"/>
    </row>
    <row r="18" spans="1:21" ht="63.75">
      <c r="A18" s="358" t="s">
        <v>57</v>
      </c>
      <c r="B18" s="339" t="s">
        <v>58</v>
      </c>
      <c r="C18" s="355">
        <v>45762</v>
      </c>
      <c r="D18" s="354">
        <v>57317.760000000002</v>
      </c>
      <c r="E18" s="366" t="s">
        <v>18</v>
      </c>
      <c r="F18" s="371" t="s">
        <v>44</v>
      </c>
      <c r="G18" s="357"/>
      <c r="H18" s="357"/>
      <c r="I18" s="357"/>
      <c r="J18" s="357"/>
      <c r="K18" s="340"/>
      <c r="L18" s="372" t="str">
        <f t="shared" si="1"/>
        <v/>
      </c>
      <c r="M18" s="340"/>
      <c r="N18" s="340"/>
      <c r="O18" s="373" t="s">
        <v>47</v>
      </c>
      <c r="P18" s="15"/>
      <c r="Q18" s="7"/>
      <c r="R18" s="7"/>
      <c r="S18" s="7"/>
      <c r="T18" s="8"/>
      <c r="U18" s="8"/>
    </row>
    <row r="19" spans="1:21" ht="63.75">
      <c r="A19" s="358" t="s">
        <v>59</v>
      </c>
      <c r="B19" s="339" t="s">
        <v>60</v>
      </c>
      <c r="C19" s="355">
        <v>45763</v>
      </c>
      <c r="D19" s="354">
        <v>89853.91</v>
      </c>
      <c r="E19" s="366" t="s">
        <v>18</v>
      </c>
      <c r="F19" s="371" t="s">
        <v>44</v>
      </c>
      <c r="G19" s="357"/>
      <c r="H19" s="357"/>
      <c r="I19" s="355">
        <v>45840</v>
      </c>
      <c r="J19" s="355">
        <v>45852</v>
      </c>
      <c r="K19" s="356">
        <v>10</v>
      </c>
      <c r="L19" s="372">
        <f t="shared" si="1"/>
        <v>45862</v>
      </c>
      <c r="M19" s="340"/>
      <c r="N19" s="338">
        <v>45862</v>
      </c>
      <c r="O19" s="373" t="s">
        <v>20</v>
      </c>
      <c r="P19" s="15"/>
      <c r="Q19" s="7"/>
      <c r="R19" s="7"/>
      <c r="S19" s="7"/>
      <c r="T19" s="8"/>
      <c r="U19" s="8"/>
    </row>
    <row r="20" spans="1:21" ht="38.25">
      <c r="A20" s="358" t="s">
        <v>61</v>
      </c>
      <c r="B20" s="339" t="s">
        <v>62</v>
      </c>
      <c r="C20" s="355">
        <v>45755</v>
      </c>
      <c r="D20" s="354">
        <v>2375</v>
      </c>
      <c r="E20" s="366" t="s">
        <v>18</v>
      </c>
      <c r="F20" s="371" t="s">
        <v>63</v>
      </c>
      <c r="G20" s="357"/>
      <c r="H20" s="355">
        <v>45852</v>
      </c>
      <c r="I20" s="355">
        <v>45883</v>
      </c>
      <c r="J20" s="355">
        <v>45852</v>
      </c>
      <c r="K20" s="356">
        <v>60</v>
      </c>
      <c r="L20" s="372">
        <f t="shared" si="1"/>
        <v>45912</v>
      </c>
      <c r="M20" s="338">
        <v>45890</v>
      </c>
      <c r="N20" s="338">
        <v>45887</v>
      </c>
      <c r="O20" s="373" t="s">
        <v>20</v>
      </c>
      <c r="P20" s="15"/>
      <c r="Q20" s="7"/>
      <c r="R20" s="7"/>
      <c r="S20" s="7"/>
      <c r="T20" s="8"/>
      <c r="U20" s="8"/>
    </row>
    <row r="21" spans="1:21" ht="25.5">
      <c r="A21" s="358" t="s">
        <v>64</v>
      </c>
      <c r="B21" s="339" t="s">
        <v>65</v>
      </c>
      <c r="C21" s="355">
        <v>45713</v>
      </c>
      <c r="D21" s="354">
        <v>53179.5</v>
      </c>
      <c r="E21" s="366" t="s">
        <v>18</v>
      </c>
      <c r="F21" s="371" t="s">
        <v>19</v>
      </c>
      <c r="G21" s="357"/>
      <c r="H21" s="357"/>
      <c r="I21" s="355">
        <v>45777</v>
      </c>
      <c r="J21" s="355">
        <v>45784</v>
      </c>
      <c r="K21" s="356">
        <v>30</v>
      </c>
      <c r="L21" s="372">
        <f t="shared" si="1"/>
        <v>45814</v>
      </c>
      <c r="M21" s="340"/>
      <c r="N21" s="338">
        <v>45799</v>
      </c>
      <c r="O21" s="373" t="s">
        <v>20</v>
      </c>
      <c r="P21" s="15"/>
      <c r="Q21" s="7"/>
      <c r="R21" s="7"/>
      <c r="S21" s="7"/>
      <c r="T21" s="8"/>
      <c r="U21" s="8"/>
    </row>
    <row r="22" spans="1:21" ht="51">
      <c r="A22" s="358" t="s">
        <v>66</v>
      </c>
      <c r="B22" s="339" t="s">
        <v>67</v>
      </c>
      <c r="C22" s="355">
        <v>45715</v>
      </c>
      <c r="D22" s="354">
        <v>51776</v>
      </c>
      <c r="E22" s="366" t="s">
        <v>18</v>
      </c>
      <c r="F22" s="371" t="s">
        <v>19</v>
      </c>
      <c r="G22" s="357"/>
      <c r="H22" s="357"/>
      <c r="I22" s="355">
        <v>45792</v>
      </c>
      <c r="J22" s="355">
        <v>45796</v>
      </c>
      <c r="K22" s="356">
        <v>30</v>
      </c>
      <c r="L22" s="372">
        <f t="shared" si="1"/>
        <v>45826</v>
      </c>
      <c r="M22" s="340"/>
      <c r="N22" s="338">
        <v>45824</v>
      </c>
      <c r="O22" s="373" t="s">
        <v>20</v>
      </c>
      <c r="P22" s="15"/>
      <c r="Q22" s="7"/>
      <c r="R22" s="7"/>
      <c r="S22" s="7"/>
      <c r="T22" s="8"/>
      <c r="U22" s="8"/>
    </row>
    <row r="23" spans="1:21" ht="25.5">
      <c r="A23" s="358" t="s">
        <v>68</v>
      </c>
      <c r="B23" s="339" t="s">
        <v>69</v>
      </c>
      <c r="C23" s="355">
        <v>45722</v>
      </c>
      <c r="D23" s="354">
        <v>16271.44</v>
      </c>
      <c r="E23" s="366" t="s">
        <v>18</v>
      </c>
      <c r="F23" s="371" t="s">
        <v>19</v>
      </c>
      <c r="G23" s="357"/>
      <c r="H23" s="357"/>
      <c r="I23" s="355">
        <v>45786</v>
      </c>
      <c r="J23" s="355">
        <v>45792</v>
      </c>
      <c r="K23" s="356">
        <v>30</v>
      </c>
      <c r="L23" s="372">
        <f t="shared" si="1"/>
        <v>45822</v>
      </c>
      <c r="M23" s="340"/>
      <c r="N23" s="338">
        <v>45804</v>
      </c>
      <c r="O23" s="373" t="s">
        <v>20</v>
      </c>
      <c r="P23" s="15"/>
      <c r="Q23" s="7"/>
      <c r="R23" s="7"/>
      <c r="S23" s="7"/>
      <c r="T23" s="8"/>
      <c r="U23" s="8"/>
    </row>
    <row r="24" spans="1:21" ht="25.5">
      <c r="A24" s="358" t="s">
        <v>70</v>
      </c>
      <c r="B24" s="339" t="s">
        <v>71</v>
      </c>
      <c r="C24" s="355">
        <v>45692</v>
      </c>
      <c r="D24" s="354">
        <v>360551.24</v>
      </c>
      <c r="E24" s="366" t="s">
        <v>18</v>
      </c>
      <c r="F24" s="371" t="s">
        <v>26</v>
      </c>
      <c r="G24" s="357"/>
      <c r="H24" s="357"/>
      <c r="I24" s="357"/>
      <c r="J24" s="357"/>
      <c r="K24" s="340"/>
      <c r="L24" s="372" t="str">
        <f t="shared" si="1"/>
        <v/>
      </c>
      <c r="M24" s="340"/>
      <c r="N24" s="340"/>
      <c r="O24" s="373" t="s">
        <v>47</v>
      </c>
      <c r="P24" s="15"/>
      <c r="Q24" s="7"/>
      <c r="R24" s="7"/>
      <c r="S24" s="7"/>
      <c r="T24" s="8"/>
      <c r="U24" s="8"/>
    </row>
    <row r="25" spans="1:21" ht="25.5">
      <c r="A25" s="358" t="s">
        <v>72</v>
      </c>
      <c r="B25" s="339" t="s">
        <v>73</v>
      </c>
      <c r="C25" s="355">
        <v>45741</v>
      </c>
      <c r="D25" s="354">
        <v>1538000</v>
      </c>
      <c r="E25" s="366" t="s">
        <v>18</v>
      </c>
      <c r="F25" s="371" t="s">
        <v>26</v>
      </c>
      <c r="G25" s="357"/>
      <c r="H25" s="357"/>
      <c r="I25" s="357"/>
      <c r="J25" s="357"/>
      <c r="K25" s="356">
        <v>90</v>
      </c>
      <c r="L25" s="372" t="str">
        <f t="shared" si="1"/>
        <v/>
      </c>
      <c r="M25" s="340"/>
      <c r="N25" s="340"/>
      <c r="O25" s="373" t="s">
        <v>47</v>
      </c>
      <c r="P25" s="15"/>
      <c r="Q25" s="7"/>
      <c r="R25" s="7"/>
      <c r="S25" s="7"/>
      <c r="T25" s="8"/>
      <c r="U25" s="8"/>
    </row>
    <row r="26" spans="1:21" ht="25.5">
      <c r="A26" s="358" t="s">
        <v>74</v>
      </c>
      <c r="B26" s="339" t="s">
        <v>75</v>
      </c>
      <c r="C26" s="355">
        <v>45734</v>
      </c>
      <c r="D26" s="354">
        <v>434305.84</v>
      </c>
      <c r="E26" s="366" t="s">
        <v>18</v>
      </c>
      <c r="F26" s="371" t="s">
        <v>26</v>
      </c>
      <c r="G26" s="357"/>
      <c r="H26" s="357"/>
      <c r="I26" s="357"/>
      <c r="J26" s="357"/>
      <c r="K26" s="356">
        <v>90</v>
      </c>
      <c r="L26" s="372" t="str">
        <f t="shared" si="1"/>
        <v/>
      </c>
      <c r="M26" s="340"/>
      <c r="N26" s="340"/>
      <c r="O26" s="373" t="s">
        <v>47</v>
      </c>
      <c r="P26" s="15"/>
      <c r="Q26" s="7"/>
      <c r="R26" s="7"/>
      <c r="S26" s="7"/>
      <c r="T26" s="8"/>
      <c r="U26" s="8"/>
    </row>
    <row r="27" spans="1:21" ht="51">
      <c r="A27" s="358" t="s">
        <v>76</v>
      </c>
      <c r="B27" s="339" t="s">
        <v>77</v>
      </c>
      <c r="C27" s="355">
        <v>45702</v>
      </c>
      <c r="D27" s="354">
        <v>6480</v>
      </c>
      <c r="E27" s="366" t="s">
        <v>18</v>
      </c>
      <c r="F27" s="371" t="s">
        <v>44</v>
      </c>
      <c r="G27" s="355">
        <v>46003</v>
      </c>
      <c r="H27" s="357"/>
      <c r="I27" s="355">
        <v>45709</v>
      </c>
      <c r="J27" s="355">
        <v>45715</v>
      </c>
      <c r="K27" s="356">
        <v>30</v>
      </c>
      <c r="L27" s="372">
        <f t="shared" si="1"/>
        <v>45745</v>
      </c>
      <c r="M27" s="340"/>
      <c r="N27" s="338">
        <v>45761</v>
      </c>
      <c r="O27" s="373" t="s">
        <v>20</v>
      </c>
      <c r="P27" s="15"/>
      <c r="Q27" s="7"/>
      <c r="R27" s="7"/>
      <c r="S27" s="7"/>
      <c r="T27" s="8"/>
      <c r="U27" s="8"/>
    </row>
    <row r="28" spans="1:21" ht="63.75">
      <c r="A28" s="358" t="s">
        <v>78</v>
      </c>
      <c r="B28" s="339" t="s">
        <v>79</v>
      </c>
      <c r="C28" s="355">
        <v>45712</v>
      </c>
      <c r="D28" s="354">
        <v>25816.46</v>
      </c>
      <c r="E28" s="366" t="s">
        <v>18</v>
      </c>
      <c r="F28" s="371" t="s">
        <v>44</v>
      </c>
      <c r="G28" s="357"/>
      <c r="H28" s="357"/>
      <c r="I28" s="355">
        <v>45721</v>
      </c>
      <c r="J28" s="355">
        <v>45733</v>
      </c>
      <c r="K28" s="356">
        <v>30</v>
      </c>
      <c r="L28" s="372">
        <f t="shared" si="1"/>
        <v>45763</v>
      </c>
      <c r="M28" s="338">
        <v>45861</v>
      </c>
      <c r="N28" s="338">
        <v>45910</v>
      </c>
      <c r="O28" s="373" t="s">
        <v>20</v>
      </c>
      <c r="P28" s="15"/>
      <c r="Q28" s="7"/>
      <c r="R28" s="7"/>
      <c r="S28" s="7"/>
      <c r="T28" s="8"/>
      <c r="U28" s="8"/>
    </row>
    <row r="29" spans="1:21" ht="51">
      <c r="A29" s="358" t="s">
        <v>80</v>
      </c>
      <c r="B29" s="339" t="s">
        <v>81</v>
      </c>
      <c r="C29" s="355">
        <v>45717</v>
      </c>
      <c r="D29" s="354">
        <v>4666</v>
      </c>
      <c r="E29" s="366" t="s">
        <v>18</v>
      </c>
      <c r="F29" s="371" t="s">
        <v>44</v>
      </c>
      <c r="G29" s="355">
        <v>46066</v>
      </c>
      <c r="H29" s="357"/>
      <c r="I29" s="355">
        <v>45729</v>
      </c>
      <c r="J29" s="355">
        <v>45733</v>
      </c>
      <c r="K29" s="356">
        <v>30</v>
      </c>
      <c r="L29" s="372">
        <f t="shared" si="1"/>
        <v>45763</v>
      </c>
      <c r="M29" s="340"/>
      <c r="N29" s="338">
        <v>45744</v>
      </c>
      <c r="O29" s="373" t="s">
        <v>20</v>
      </c>
      <c r="P29" s="15"/>
      <c r="Q29" s="7"/>
      <c r="R29" s="7"/>
      <c r="S29" s="7"/>
      <c r="T29" s="8"/>
      <c r="U29" s="8"/>
    </row>
    <row r="30" spans="1:21" ht="63.75">
      <c r="A30" s="358" t="s">
        <v>82</v>
      </c>
      <c r="B30" s="339" t="s">
        <v>83</v>
      </c>
      <c r="C30" s="355">
        <v>45733</v>
      </c>
      <c r="D30" s="354">
        <v>192</v>
      </c>
      <c r="E30" s="366" t="s">
        <v>18</v>
      </c>
      <c r="F30" s="371" t="s">
        <v>44</v>
      </c>
      <c r="G30" s="355">
        <v>46007</v>
      </c>
      <c r="H30" s="357"/>
      <c r="I30" s="355">
        <v>45737</v>
      </c>
      <c r="J30" s="355">
        <v>45740</v>
      </c>
      <c r="K30" s="356">
        <v>30</v>
      </c>
      <c r="L30" s="372">
        <f t="shared" si="1"/>
        <v>45770</v>
      </c>
      <c r="M30" s="340"/>
      <c r="N30" s="338">
        <v>45775</v>
      </c>
      <c r="O30" s="373" t="s">
        <v>20</v>
      </c>
      <c r="P30" s="15"/>
      <c r="Q30" s="7"/>
      <c r="R30" s="7"/>
      <c r="S30" s="7"/>
      <c r="T30" s="8"/>
      <c r="U30" s="8"/>
    </row>
    <row r="31" spans="1:21" ht="51">
      <c r="A31" s="358" t="s">
        <v>84</v>
      </c>
      <c r="B31" s="339" t="s">
        <v>85</v>
      </c>
      <c r="C31" s="355">
        <v>45729</v>
      </c>
      <c r="D31" s="354">
        <v>976.92</v>
      </c>
      <c r="E31" s="366" t="s">
        <v>18</v>
      </c>
      <c r="F31" s="371" t="s">
        <v>44</v>
      </c>
      <c r="G31" s="357"/>
      <c r="H31" s="357"/>
      <c r="I31" s="355">
        <v>45736</v>
      </c>
      <c r="J31" s="355">
        <v>45740</v>
      </c>
      <c r="K31" s="356">
        <v>30</v>
      </c>
      <c r="L31" s="372">
        <f t="shared" si="1"/>
        <v>45770</v>
      </c>
      <c r="M31" s="340"/>
      <c r="N31" s="338">
        <v>45772</v>
      </c>
      <c r="O31" s="373" t="s">
        <v>20</v>
      </c>
      <c r="P31" s="15"/>
      <c r="Q31" s="7"/>
      <c r="R31" s="7"/>
      <c r="S31" s="7"/>
      <c r="T31" s="8"/>
      <c r="U31" s="8"/>
    </row>
    <row r="32" spans="1:21" ht="51">
      <c r="A32" s="358" t="s">
        <v>86</v>
      </c>
      <c r="B32" s="339" t="s">
        <v>87</v>
      </c>
      <c r="C32" s="355">
        <v>45728</v>
      </c>
      <c r="D32" s="354">
        <v>1631.75</v>
      </c>
      <c r="E32" s="366" t="s">
        <v>18</v>
      </c>
      <c r="F32" s="371" t="s">
        <v>44</v>
      </c>
      <c r="G32" s="357"/>
      <c r="H32" s="357"/>
      <c r="I32" s="355">
        <v>45740</v>
      </c>
      <c r="J32" s="355">
        <v>45748</v>
      </c>
      <c r="K32" s="356">
        <v>30</v>
      </c>
      <c r="L32" s="372">
        <f t="shared" si="1"/>
        <v>45778</v>
      </c>
      <c r="M32" s="340"/>
      <c r="N32" s="338">
        <v>45803</v>
      </c>
      <c r="O32" s="373" t="s">
        <v>20</v>
      </c>
      <c r="P32" s="15"/>
      <c r="Q32" s="7"/>
      <c r="R32" s="7"/>
      <c r="S32" s="7"/>
      <c r="T32" s="8"/>
      <c r="U32" s="8"/>
    </row>
    <row r="33" spans="1:21" ht="63.75">
      <c r="A33" s="358" t="s">
        <v>88</v>
      </c>
      <c r="B33" s="339" t="s">
        <v>89</v>
      </c>
      <c r="C33" s="355">
        <v>45716</v>
      </c>
      <c r="D33" s="354">
        <v>11757.8</v>
      </c>
      <c r="E33" s="366" t="s">
        <v>18</v>
      </c>
      <c r="F33" s="371" t="s">
        <v>44</v>
      </c>
      <c r="G33" s="357"/>
      <c r="H33" s="357"/>
      <c r="I33" s="355">
        <v>45729</v>
      </c>
      <c r="J33" s="355">
        <v>45770</v>
      </c>
      <c r="K33" s="356">
        <v>30</v>
      </c>
      <c r="L33" s="372">
        <f t="shared" si="1"/>
        <v>45800</v>
      </c>
      <c r="M33" s="338">
        <v>45834</v>
      </c>
      <c r="N33" s="338">
        <v>45839</v>
      </c>
      <c r="O33" s="373" t="s">
        <v>20</v>
      </c>
      <c r="P33" s="15"/>
      <c r="Q33" s="7"/>
      <c r="R33" s="7"/>
      <c r="S33" s="7"/>
      <c r="T33" s="8"/>
      <c r="U33" s="8"/>
    </row>
    <row r="34" spans="1:21" ht="38.25">
      <c r="A34" s="358" t="s">
        <v>90</v>
      </c>
      <c r="B34" s="339" t="s">
        <v>91</v>
      </c>
      <c r="C34" s="355">
        <v>45673</v>
      </c>
      <c r="D34" s="354">
        <v>7000</v>
      </c>
      <c r="E34" s="366" t="s">
        <v>18</v>
      </c>
      <c r="F34" s="371" t="s">
        <v>63</v>
      </c>
      <c r="G34" s="355">
        <v>46006</v>
      </c>
      <c r="H34" s="357"/>
      <c r="I34" s="355">
        <v>45686</v>
      </c>
      <c r="J34" s="355">
        <v>45692</v>
      </c>
      <c r="K34" s="356">
        <v>30</v>
      </c>
      <c r="L34" s="372">
        <f t="shared" si="1"/>
        <v>45722</v>
      </c>
      <c r="M34" s="340"/>
      <c r="N34" s="338">
        <v>45701</v>
      </c>
      <c r="O34" s="373" t="s">
        <v>20</v>
      </c>
      <c r="P34" s="15"/>
      <c r="Q34" s="7"/>
      <c r="R34" s="7"/>
      <c r="S34" s="7"/>
      <c r="T34" s="8"/>
      <c r="U34" s="8"/>
    </row>
    <row r="35" spans="1:21" ht="76.5">
      <c r="A35" s="358" t="s">
        <v>92</v>
      </c>
      <c r="B35" s="339" t="s">
        <v>93</v>
      </c>
      <c r="C35" s="355">
        <v>45698</v>
      </c>
      <c r="D35" s="354">
        <v>3078.15</v>
      </c>
      <c r="E35" s="366" t="s">
        <v>18</v>
      </c>
      <c r="F35" s="371" t="s">
        <v>44</v>
      </c>
      <c r="G35" s="355">
        <v>46055</v>
      </c>
      <c r="H35" s="357"/>
      <c r="I35" s="355">
        <v>45702</v>
      </c>
      <c r="J35" s="355">
        <v>45722</v>
      </c>
      <c r="K35" s="356">
        <v>30</v>
      </c>
      <c r="L35" s="372">
        <f t="shared" si="1"/>
        <v>45752</v>
      </c>
      <c r="M35" s="340"/>
      <c r="N35" s="338">
        <v>45730</v>
      </c>
      <c r="O35" s="373" t="s">
        <v>20</v>
      </c>
      <c r="P35" s="15"/>
      <c r="Q35" s="7"/>
      <c r="R35" s="7"/>
      <c r="S35" s="7"/>
      <c r="T35" s="8"/>
      <c r="U35" s="8"/>
    </row>
    <row r="36" spans="1:21" ht="51">
      <c r="A36" s="358" t="s">
        <v>94</v>
      </c>
      <c r="B36" s="339" t="s">
        <v>95</v>
      </c>
      <c r="C36" s="355">
        <v>45705</v>
      </c>
      <c r="D36" s="354">
        <v>1301.9100000000001</v>
      </c>
      <c r="E36" s="366" t="s">
        <v>18</v>
      </c>
      <c r="F36" s="371" t="s">
        <v>44</v>
      </c>
      <c r="G36" s="355">
        <v>45939</v>
      </c>
      <c r="H36" s="357"/>
      <c r="I36" s="355">
        <v>45707</v>
      </c>
      <c r="J36" s="355">
        <v>45723</v>
      </c>
      <c r="K36" s="356">
        <v>30</v>
      </c>
      <c r="L36" s="372">
        <f t="shared" si="1"/>
        <v>45753</v>
      </c>
      <c r="M36" s="340"/>
      <c r="N36" s="338">
        <v>45737</v>
      </c>
      <c r="O36" s="373" t="s">
        <v>20</v>
      </c>
      <c r="P36" s="15"/>
      <c r="Q36" s="7"/>
      <c r="R36" s="7"/>
      <c r="S36" s="7"/>
      <c r="T36" s="8"/>
      <c r="U36" s="8"/>
    </row>
    <row r="37" spans="1:21" ht="63.75">
      <c r="A37" s="358" t="s">
        <v>96</v>
      </c>
      <c r="B37" s="339" t="s">
        <v>97</v>
      </c>
      <c r="C37" s="355">
        <v>45692</v>
      </c>
      <c r="D37" s="354">
        <v>2862</v>
      </c>
      <c r="E37" s="366" t="s">
        <v>18</v>
      </c>
      <c r="F37" s="371" t="s">
        <v>44</v>
      </c>
      <c r="G37" s="355">
        <v>45715</v>
      </c>
      <c r="H37" s="357"/>
      <c r="I37" s="355">
        <v>45700</v>
      </c>
      <c r="J37" s="355">
        <v>45708</v>
      </c>
      <c r="K37" s="356">
        <v>30</v>
      </c>
      <c r="L37" s="372">
        <f t="shared" si="1"/>
        <v>45738</v>
      </c>
      <c r="M37" s="340"/>
      <c r="N37" s="338">
        <v>45728</v>
      </c>
      <c r="O37" s="373" t="s">
        <v>20</v>
      </c>
      <c r="P37" s="15"/>
      <c r="Q37" s="7"/>
      <c r="R37" s="7"/>
      <c r="S37" s="7"/>
      <c r="T37" s="8"/>
      <c r="U37" s="8"/>
    </row>
    <row r="38" spans="1:21" ht="63.75">
      <c r="A38" s="358" t="s">
        <v>98</v>
      </c>
      <c r="B38" s="339" t="s">
        <v>99</v>
      </c>
      <c r="C38" s="355">
        <v>45705</v>
      </c>
      <c r="D38" s="354">
        <v>2847.5</v>
      </c>
      <c r="E38" s="366" t="s">
        <v>18</v>
      </c>
      <c r="F38" s="371" t="s">
        <v>44</v>
      </c>
      <c r="G38" s="355">
        <v>45901</v>
      </c>
      <c r="H38" s="357"/>
      <c r="I38" s="355">
        <v>45716</v>
      </c>
      <c r="J38" s="355">
        <v>45722</v>
      </c>
      <c r="K38" s="356">
        <v>30</v>
      </c>
      <c r="L38" s="372">
        <f t="shared" si="1"/>
        <v>45752</v>
      </c>
      <c r="M38" s="340"/>
      <c r="N38" s="338">
        <v>45737</v>
      </c>
      <c r="O38" s="373" t="s">
        <v>20</v>
      </c>
      <c r="P38" s="15"/>
      <c r="Q38" s="7"/>
      <c r="R38" s="7"/>
      <c r="S38" s="7"/>
      <c r="T38" s="8"/>
      <c r="U38" s="8"/>
    </row>
    <row r="39" spans="1:21" ht="63.75">
      <c r="A39" s="358" t="s">
        <v>100</v>
      </c>
      <c r="B39" s="339" t="s">
        <v>101</v>
      </c>
      <c r="C39" s="355">
        <v>45695</v>
      </c>
      <c r="D39" s="354">
        <v>99500.4</v>
      </c>
      <c r="E39" s="366" t="s">
        <v>18</v>
      </c>
      <c r="F39" s="371" t="s">
        <v>44</v>
      </c>
      <c r="G39" s="355">
        <v>45776</v>
      </c>
      <c r="H39" s="357"/>
      <c r="I39" s="355">
        <v>45701</v>
      </c>
      <c r="J39" s="355">
        <v>45729</v>
      </c>
      <c r="K39" s="356">
        <v>30</v>
      </c>
      <c r="L39" s="372">
        <f t="shared" si="1"/>
        <v>45759</v>
      </c>
      <c r="M39" s="340"/>
      <c r="N39" s="338">
        <v>45742</v>
      </c>
      <c r="O39" s="373" t="s">
        <v>20</v>
      </c>
      <c r="P39" s="15"/>
      <c r="Q39" s="7"/>
      <c r="R39" s="7"/>
      <c r="S39" s="7"/>
      <c r="T39" s="8"/>
      <c r="U39" s="8"/>
    </row>
    <row r="40" spans="1:21" ht="25.5">
      <c r="A40" s="358" t="s">
        <v>102</v>
      </c>
      <c r="B40" s="339" t="s">
        <v>103</v>
      </c>
      <c r="C40" s="355">
        <v>45735</v>
      </c>
      <c r="D40" s="354">
        <v>2600</v>
      </c>
      <c r="E40" s="366" t="s">
        <v>18</v>
      </c>
      <c r="F40" s="371" t="s">
        <v>19</v>
      </c>
      <c r="G40" s="357"/>
      <c r="H40" s="357"/>
      <c r="I40" s="355">
        <v>45818</v>
      </c>
      <c r="J40" s="355">
        <v>45824</v>
      </c>
      <c r="K40" s="356">
        <v>30</v>
      </c>
      <c r="L40" s="372">
        <f t="shared" si="1"/>
        <v>45854</v>
      </c>
      <c r="M40" s="340"/>
      <c r="N40" s="338">
        <v>45847</v>
      </c>
      <c r="O40" s="373" t="s">
        <v>20</v>
      </c>
      <c r="P40" s="15"/>
      <c r="Q40" s="7"/>
      <c r="R40" s="7"/>
      <c r="S40" s="7"/>
      <c r="T40" s="8"/>
      <c r="U40" s="8"/>
    </row>
    <row r="41" spans="1:21" ht="25.5">
      <c r="A41" s="358" t="s">
        <v>104</v>
      </c>
      <c r="B41" s="339" t="s">
        <v>105</v>
      </c>
      <c r="C41" s="355">
        <v>45687</v>
      </c>
      <c r="D41" s="354">
        <v>0</v>
      </c>
      <c r="E41" s="366" t="s">
        <v>30</v>
      </c>
      <c r="F41" s="371" t="s">
        <v>44</v>
      </c>
      <c r="G41" s="357"/>
      <c r="H41" s="357"/>
      <c r="I41" s="357"/>
      <c r="J41" s="357"/>
      <c r="K41" s="340"/>
      <c r="L41" s="372" t="str">
        <f t="shared" si="1"/>
        <v/>
      </c>
      <c r="M41" s="340"/>
      <c r="N41" s="340"/>
      <c r="O41" s="373" t="s">
        <v>27</v>
      </c>
      <c r="P41" s="15"/>
      <c r="Q41" s="7"/>
      <c r="R41" s="7"/>
      <c r="S41" s="7"/>
      <c r="T41" s="8"/>
      <c r="U41" s="8"/>
    </row>
    <row r="42" spans="1:21" ht="25.5">
      <c r="A42" s="358" t="s">
        <v>106</v>
      </c>
      <c r="B42" s="339" t="s">
        <v>107</v>
      </c>
      <c r="C42" s="355">
        <v>45727</v>
      </c>
      <c r="D42" s="354">
        <v>110000</v>
      </c>
      <c r="E42" s="366" t="s">
        <v>18</v>
      </c>
      <c r="F42" s="371" t="s">
        <v>26</v>
      </c>
      <c r="G42" s="357"/>
      <c r="H42" s="355">
        <v>45868</v>
      </c>
      <c r="I42" s="355">
        <v>45877</v>
      </c>
      <c r="J42" s="355">
        <v>45869</v>
      </c>
      <c r="K42" s="356">
        <v>30</v>
      </c>
      <c r="L42" s="372">
        <f t="shared" si="1"/>
        <v>45899</v>
      </c>
      <c r="M42" s="340"/>
      <c r="N42" s="338">
        <v>45870</v>
      </c>
      <c r="O42" s="373" t="s">
        <v>20</v>
      </c>
      <c r="P42" s="15"/>
      <c r="Q42" s="7"/>
      <c r="R42" s="7"/>
      <c r="S42" s="7"/>
      <c r="T42" s="8"/>
      <c r="U42" s="8"/>
    </row>
    <row r="43" spans="1:21" ht="51">
      <c r="A43" s="358" t="s">
        <v>108</v>
      </c>
      <c r="B43" s="339" t="s">
        <v>109</v>
      </c>
      <c r="C43" s="355">
        <v>45763</v>
      </c>
      <c r="D43" s="354">
        <v>144046.09</v>
      </c>
      <c r="E43" s="366" t="s">
        <v>18</v>
      </c>
      <c r="F43" s="371" t="s">
        <v>23</v>
      </c>
      <c r="G43" s="357"/>
      <c r="H43" s="357"/>
      <c r="I43" s="357"/>
      <c r="J43" s="357"/>
      <c r="K43" s="340"/>
      <c r="L43" s="372" t="str">
        <f t="shared" si="1"/>
        <v/>
      </c>
      <c r="M43" s="340"/>
      <c r="N43" s="340"/>
      <c r="O43" s="373" t="s">
        <v>47</v>
      </c>
      <c r="P43" s="15"/>
      <c r="Q43" s="7"/>
      <c r="R43" s="7"/>
      <c r="S43" s="7"/>
      <c r="T43" s="8"/>
      <c r="U43" s="8"/>
    </row>
    <row r="44" spans="1:21" ht="89.25">
      <c r="A44" s="358" t="s">
        <v>110</v>
      </c>
      <c r="B44" s="339" t="s">
        <v>111</v>
      </c>
      <c r="C44" s="355">
        <v>45771</v>
      </c>
      <c r="D44" s="354">
        <v>113526</v>
      </c>
      <c r="E44" s="366" t="s">
        <v>18</v>
      </c>
      <c r="F44" s="371" t="s">
        <v>26</v>
      </c>
      <c r="G44" s="357"/>
      <c r="H44" s="355">
        <v>45917</v>
      </c>
      <c r="I44" s="355">
        <v>45938</v>
      </c>
      <c r="J44" s="355">
        <v>45938</v>
      </c>
      <c r="K44" s="356">
        <v>30</v>
      </c>
      <c r="L44" s="372">
        <f t="shared" si="1"/>
        <v>45968</v>
      </c>
      <c r="M44" s="340"/>
      <c r="N44" s="355">
        <v>45968</v>
      </c>
      <c r="O44" s="373" t="s">
        <v>20</v>
      </c>
      <c r="P44" s="15"/>
      <c r="Q44" s="7"/>
      <c r="R44" s="7"/>
      <c r="S44" s="7"/>
      <c r="T44" s="8"/>
      <c r="U44" s="8"/>
    </row>
    <row r="45" spans="1:21" ht="76.5">
      <c r="A45" s="358" t="s">
        <v>112</v>
      </c>
      <c r="B45" s="339" t="s">
        <v>113</v>
      </c>
      <c r="C45" s="355">
        <v>45701</v>
      </c>
      <c r="D45" s="354">
        <v>16234</v>
      </c>
      <c r="E45" s="366" t="s">
        <v>18</v>
      </c>
      <c r="F45" s="371" t="s">
        <v>63</v>
      </c>
      <c r="G45" s="357"/>
      <c r="H45" s="357"/>
      <c r="I45" s="355">
        <v>45791</v>
      </c>
      <c r="J45" s="355">
        <v>45777</v>
      </c>
      <c r="K45" s="356">
        <v>30</v>
      </c>
      <c r="L45" s="372">
        <f t="shared" si="1"/>
        <v>45807</v>
      </c>
      <c r="M45" s="340"/>
      <c r="N45" s="338">
        <v>45805</v>
      </c>
      <c r="O45" s="373" t="s">
        <v>20</v>
      </c>
      <c r="P45" s="15"/>
      <c r="Q45" s="7"/>
      <c r="R45" s="7"/>
      <c r="S45" s="7"/>
      <c r="T45" s="8"/>
      <c r="U45" s="8"/>
    </row>
    <row r="46" spans="1:21" ht="51">
      <c r="A46" s="358" t="s">
        <v>114</v>
      </c>
      <c r="B46" s="339" t="s">
        <v>115</v>
      </c>
      <c r="C46" s="355">
        <v>45691</v>
      </c>
      <c r="D46" s="354">
        <v>838189.8</v>
      </c>
      <c r="E46" s="366" t="s">
        <v>18</v>
      </c>
      <c r="F46" s="371" t="s">
        <v>23</v>
      </c>
      <c r="G46" s="355">
        <v>45826</v>
      </c>
      <c r="H46" s="355">
        <v>45922</v>
      </c>
      <c r="I46" s="355">
        <v>45937</v>
      </c>
      <c r="J46" s="355">
        <v>45938</v>
      </c>
      <c r="K46" s="356">
        <v>60</v>
      </c>
      <c r="L46" s="372">
        <f t="shared" si="1"/>
        <v>45998</v>
      </c>
      <c r="M46" s="338">
        <v>45987</v>
      </c>
      <c r="N46" s="340"/>
      <c r="O46" s="373" t="s">
        <v>27</v>
      </c>
      <c r="P46" s="15"/>
      <c r="Q46" s="7"/>
      <c r="R46" s="7"/>
      <c r="S46" s="7"/>
      <c r="T46" s="8"/>
      <c r="U46" s="8"/>
    </row>
    <row r="47" spans="1:21" ht="25.5">
      <c r="A47" s="358" t="s">
        <v>117</v>
      </c>
      <c r="B47" s="339" t="s">
        <v>118</v>
      </c>
      <c r="C47" s="355">
        <v>45782</v>
      </c>
      <c r="D47" s="354">
        <v>7960</v>
      </c>
      <c r="E47" s="366" t="s">
        <v>18</v>
      </c>
      <c r="F47" s="371" t="s">
        <v>19</v>
      </c>
      <c r="G47" s="355">
        <v>45819</v>
      </c>
      <c r="H47" s="357"/>
      <c r="I47" s="355">
        <v>45861</v>
      </c>
      <c r="J47" s="355">
        <v>45862</v>
      </c>
      <c r="K47" s="356">
        <v>30</v>
      </c>
      <c r="L47" s="372">
        <f t="shared" si="1"/>
        <v>45892</v>
      </c>
      <c r="M47" s="338">
        <v>45904</v>
      </c>
      <c r="N47" s="338">
        <v>45905</v>
      </c>
      <c r="O47" s="373" t="s">
        <v>20</v>
      </c>
      <c r="P47" s="15"/>
      <c r="Q47" s="7"/>
      <c r="R47" s="7"/>
      <c r="S47" s="7"/>
      <c r="T47" s="8"/>
      <c r="U47" s="8"/>
    </row>
    <row r="48" spans="1:21" ht="63.75">
      <c r="A48" s="358" t="s">
        <v>119</v>
      </c>
      <c r="B48" s="339" t="s">
        <v>120</v>
      </c>
      <c r="C48" s="355">
        <v>45785</v>
      </c>
      <c r="D48" s="354">
        <v>11407</v>
      </c>
      <c r="E48" s="366" t="s">
        <v>18</v>
      </c>
      <c r="F48" s="371" t="s">
        <v>63</v>
      </c>
      <c r="G48" s="355">
        <v>45966</v>
      </c>
      <c r="H48" s="357"/>
      <c r="I48" s="355">
        <v>45826</v>
      </c>
      <c r="J48" s="355">
        <v>45832</v>
      </c>
      <c r="K48" s="356">
        <v>30</v>
      </c>
      <c r="L48" s="372">
        <f t="shared" si="1"/>
        <v>45862</v>
      </c>
      <c r="M48" s="340"/>
      <c r="N48" s="338">
        <v>45835</v>
      </c>
      <c r="O48" s="373" t="s">
        <v>20</v>
      </c>
      <c r="P48" s="15"/>
      <c r="Q48" s="7"/>
      <c r="R48" s="7"/>
      <c r="S48" s="7"/>
      <c r="T48" s="8"/>
      <c r="U48" s="8"/>
    </row>
    <row r="49" spans="1:21" ht="51">
      <c r="A49" s="358" t="s">
        <v>121</v>
      </c>
      <c r="B49" s="339" t="s">
        <v>122</v>
      </c>
      <c r="C49" s="355">
        <v>45758</v>
      </c>
      <c r="D49" s="354">
        <v>196096.08</v>
      </c>
      <c r="E49" s="366" t="s">
        <v>18</v>
      </c>
      <c r="F49" s="371" t="s">
        <v>123</v>
      </c>
      <c r="G49" s="357"/>
      <c r="H49" s="357"/>
      <c r="I49" s="357"/>
      <c r="J49" s="357"/>
      <c r="K49" s="340"/>
      <c r="L49" s="372" t="str">
        <f t="shared" si="1"/>
        <v/>
      </c>
      <c r="M49" s="340"/>
      <c r="N49" s="340"/>
      <c r="O49" s="373" t="s">
        <v>47</v>
      </c>
      <c r="P49" s="15"/>
      <c r="Q49" s="7"/>
      <c r="R49" s="7"/>
      <c r="S49" s="7"/>
      <c r="T49" s="8"/>
      <c r="U49" s="8"/>
    </row>
    <row r="50" spans="1:21" ht="25.5">
      <c r="A50" s="358" t="s">
        <v>124</v>
      </c>
      <c r="B50" s="339" t="s">
        <v>125</v>
      </c>
      <c r="C50" s="355">
        <v>45777</v>
      </c>
      <c r="D50" s="354">
        <v>835200</v>
      </c>
      <c r="E50" s="366" t="s">
        <v>30</v>
      </c>
      <c r="F50" s="371" t="s">
        <v>123</v>
      </c>
      <c r="G50" s="357"/>
      <c r="H50" s="355">
        <v>45883</v>
      </c>
      <c r="I50" s="355">
        <v>45902</v>
      </c>
      <c r="J50" s="355">
        <v>45902</v>
      </c>
      <c r="K50" s="356">
        <v>180</v>
      </c>
      <c r="L50" s="372">
        <f t="shared" si="1"/>
        <v>46082</v>
      </c>
      <c r="M50" s="338">
        <v>46050</v>
      </c>
      <c r="N50" s="340"/>
      <c r="O50" s="373" t="s">
        <v>27</v>
      </c>
      <c r="P50" s="15"/>
      <c r="Q50" s="7"/>
      <c r="R50" s="7"/>
      <c r="S50" s="7"/>
      <c r="T50" s="8"/>
      <c r="U50" s="8"/>
    </row>
    <row r="51" spans="1:21" ht="38.25">
      <c r="A51" s="358" t="s">
        <v>126</v>
      </c>
      <c r="B51" s="339" t="s">
        <v>127</v>
      </c>
      <c r="C51" s="355">
        <v>45685</v>
      </c>
      <c r="D51" s="354">
        <v>4504</v>
      </c>
      <c r="E51" s="366" t="s">
        <v>18</v>
      </c>
      <c r="F51" s="371" t="s">
        <v>19</v>
      </c>
      <c r="G51" s="357"/>
      <c r="H51" s="357"/>
      <c r="I51" s="357"/>
      <c r="J51" s="357"/>
      <c r="K51" s="340"/>
      <c r="L51" s="372" t="str">
        <f t="shared" si="1"/>
        <v/>
      </c>
      <c r="M51" s="340"/>
      <c r="N51" s="340"/>
      <c r="O51" s="373" t="s">
        <v>47</v>
      </c>
      <c r="P51" s="15"/>
      <c r="Q51" s="7"/>
      <c r="R51" s="7"/>
      <c r="S51" s="7"/>
      <c r="T51" s="8"/>
      <c r="U51" s="8"/>
    </row>
    <row r="52" spans="1:21" ht="25.5">
      <c r="A52" s="358" t="s">
        <v>128</v>
      </c>
      <c r="B52" s="368" t="s">
        <v>129</v>
      </c>
      <c r="C52" s="355">
        <v>45756</v>
      </c>
      <c r="D52" s="354">
        <v>9904.2000000000007</v>
      </c>
      <c r="E52" s="366" t="s">
        <v>30</v>
      </c>
      <c r="F52" s="371" t="s">
        <v>19</v>
      </c>
      <c r="G52" s="357"/>
      <c r="H52" s="357"/>
      <c r="I52" s="355">
        <v>45869</v>
      </c>
      <c r="J52" s="357"/>
      <c r="K52" s="356">
        <v>30</v>
      </c>
      <c r="L52" s="372" t="str">
        <f t="shared" si="1"/>
        <v/>
      </c>
      <c r="M52" s="340"/>
      <c r="N52" s="340"/>
      <c r="O52" s="373" t="s">
        <v>27</v>
      </c>
      <c r="P52" s="15"/>
      <c r="Q52" s="7"/>
      <c r="R52" s="7"/>
      <c r="S52" s="7"/>
      <c r="T52" s="8"/>
      <c r="U52" s="8"/>
    </row>
    <row r="53" spans="1:21" ht="38.25">
      <c r="A53" s="358" t="s">
        <v>131</v>
      </c>
      <c r="B53" s="339" t="s">
        <v>132</v>
      </c>
      <c r="C53" s="355">
        <v>45701</v>
      </c>
      <c r="D53" s="354">
        <v>11160</v>
      </c>
      <c r="E53" s="366" t="s">
        <v>18</v>
      </c>
      <c r="F53" s="371" t="s">
        <v>19</v>
      </c>
      <c r="G53" s="357"/>
      <c r="H53" s="357"/>
      <c r="I53" s="357"/>
      <c r="J53" s="357"/>
      <c r="K53" s="340"/>
      <c r="L53" s="372" t="str">
        <f t="shared" si="1"/>
        <v/>
      </c>
      <c r="M53" s="340"/>
      <c r="N53" s="340"/>
      <c r="O53" s="373" t="s">
        <v>47</v>
      </c>
      <c r="P53" s="15"/>
      <c r="Q53" s="7"/>
      <c r="R53" s="7"/>
      <c r="S53" s="7"/>
      <c r="T53" s="8"/>
      <c r="U53" s="8"/>
    </row>
    <row r="54" spans="1:21" ht="12.75">
      <c r="A54" s="358" t="s">
        <v>133</v>
      </c>
      <c r="B54" s="339" t="s">
        <v>2961</v>
      </c>
      <c r="C54" s="355">
        <v>45777</v>
      </c>
      <c r="D54" s="354">
        <v>152155.20000000001</v>
      </c>
      <c r="E54" s="366" t="s">
        <v>30</v>
      </c>
      <c r="F54" s="371" t="s">
        <v>23</v>
      </c>
      <c r="G54" s="355">
        <v>45888</v>
      </c>
      <c r="H54" s="355">
        <v>46003</v>
      </c>
      <c r="I54" s="355">
        <v>46008</v>
      </c>
      <c r="J54" s="355">
        <v>46008</v>
      </c>
      <c r="K54" s="356">
        <v>60</v>
      </c>
      <c r="L54" s="372">
        <f t="shared" si="1"/>
        <v>46068</v>
      </c>
      <c r="M54" s="340"/>
      <c r="N54" s="340"/>
      <c r="O54" s="373" t="s">
        <v>27</v>
      </c>
      <c r="P54" s="15"/>
      <c r="Q54" s="7"/>
      <c r="R54" s="7"/>
      <c r="S54" s="7"/>
      <c r="T54" s="8"/>
      <c r="U54" s="8"/>
    </row>
    <row r="55" spans="1:21" ht="38.25">
      <c r="A55" s="358" t="s">
        <v>135</v>
      </c>
      <c r="B55" s="339" t="s">
        <v>136</v>
      </c>
      <c r="C55" s="355">
        <v>45673</v>
      </c>
      <c r="D55" s="354">
        <v>98295.8</v>
      </c>
      <c r="E55" s="366" t="s">
        <v>18</v>
      </c>
      <c r="F55" s="371" t="s">
        <v>23</v>
      </c>
      <c r="G55" s="355">
        <v>45926</v>
      </c>
      <c r="H55" s="355">
        <v>45993</v>
      </c>
      <c r="I55" s="355">
        <v>45996</v>
      </c>
      <c r="J55" s="355">
        <v>46000</v>
      </c>
      <c r="K55" s="356">
        <v>60</v>
      </c>
      <c r="L55" s="372">
        <f t="shared" si="1"/>
        <v>46060</v>
      </c>
      <c r="M55" s="340"/>
      <c r="N55" s="340"/>
      <c r="O55" s="373" t="s">
        <v>27</v>
      </c>
      <c r="P55" s="15"/>
      <c r="Q55" s="7"/>
      <c r="R55" s="7"/>
      <c r="S55" s="7"/>
      <c r="T55" s="8"/>
      <c r="U55" s="8"/>
    </row>
    <row r="56" spans="1:21" ht="63.75">
      <c r="A56" s="358" t="s">
        <v>137</v>
      </c>
      <c r="B56" s="339" t="s">
        <v>138</v>
      </c>
      <c r="C56" s="355">
        <v>45715</v>
      </c>
      <c r="D56" s="354">
        <v>22453.8</v>
      </c>
      <c r="E56" s="366" t="s">
        <v>18</v>
      </c>
      <c r="F56" s="371" t="s">
        <v>44</v>
      </c>
      <c r="G56" s="355">
        <v>45866</v>
      </c>
      <c r="H56" s="357"/>
      <c r="I56" s="355">
        <v>45757</v>
      </c>
      <c r="J56" s="355">
        <v>45762</v>
      </c>
      <c r="K56" s="356">
        <v>30</v>
      </c>
      <c r="L56" s="372">
        <f t="shared" si="1"/>
        <v>45792</v>
      </c>
      <c r="M56" s="340"/>
      <c r="N56" s="338">
        <v>45838</v>
      </c>
      <c r="O56" s="373" t="s">
        <v>20</v>
      </c>
      <c r="P56" s="15"/>
      <c r="Q56" s="7"/>
      <c r="R56" s="7"/>
      <c r="S56" s="7"/>
      <c r="T56" s="8"/>
      <c r="U56" s="8"/>
    </row>
    <row r="57" spans="1:21" ht="38.25">
      <c r="A57" s="358" t="s">
        <v>139</v>
      </c>
      <c r="B57" s="339" t="s">
        <v>140</v>
      </c>
      <c r="C57" s="355">
        <v>45440</v>
      </c>
      <c r="D57" s="354">
        <v>75039.399999999994</v>
      </c>
      <c r="E57" s="366" t="s">
        <v>30</v>
      </c>
      <c r="F57" s="371" t="s">
        <v>23</v>
      </c>
      <c r="G57" s="355">
        <v>45623</v>
      </c>
      <c r="H57" s="355">
        <v>45692</v>
      </c>
      <c r="I57" s="355">
        <v>45706</v>
      </c>
      <c r="J57" s="355">
        <v>45709</v>
      </c>
      <c r="K57" s="356">
        <v>45</v>
      </c>
      <c r="L57" s="372">
        <f t="shared" si="1"/>
        <v>45754</v>
      </c>
      <c r="M57" s="340"/>
      <c r="N57" s="338">
        <v>45736</v>
      </c>
      <c r="O57" s="373" t="s">
        <v>20</v>
      </c>
      <c r="P57" s="15"/>
      <c r="Q57" s="7"/>
      <c r="R57" s="7"/>
      <c r="S57" s="7"/>
      <c r="T57" s="8"/>
      <c r="U57" s="8"/>
    </row>
    <row r="58" spans="1:21" ht="114.75">
      <c r="A58" s="358" t="s">
        <v>141</v>
      </c>
      <c r="B58" s="339" t="s">
        <v>142</v>
      </c>
      <c r="C58" s="355">
        <v>45357</v>
      </c>
      <c r="D58" s="354">
        <v>642413</v>
      </c>
      <c r="E58" s="366" t="s">
        <v>30</v>
      </c>
      <c r="F58" s="371" t="s">
        <v>23</v>
      </c>
      <c r="G58" s="355">
        <v>45603</v>
      </c>
      <c r="H58" s="355">
        <v>45670</v>
      </c>
      <c r="I58" s="355">
        <v>45680</v>
      </c>
      <c r="J58" s="355">
        <v>45692</v>
      </c>
      <c r="K58" s="356">
        <v>60</v>
      </c>
      <c r="L58" s="372">
        <f t="shared" si="1"/>
        <v>45752</v>
      </c>
      <c r="M58" s="340"/>
      <c r="N58" s="338">
        <v>45757</v>
      </c>
      <c r="O58" s="373" t="s">
        <v>20</v>
      </c>
      <c r="P58" s="15"/>
      <c r="Q58" s="7"/>
      <c r="R58" s="7"/>
      <c r="S58" s="7"/>
      <c r="T58" s="8"/>
      <c r="U58" s="8"/>
    </row>
    <row r="59" spans="1:21" ht="63.75">
      <c r="A59" s="358" t="s">
        <v>143</v>
      </c>
      <c r="B59" s="339" t="s">
        <v>144</v>
      </c>
      <c r="C59" s="355">
        <v>45776</v>
      </c>
      <c r="D59" s="354">
        <v>147814.9</v>
      </c>
      <c r="E59" s="366" t="s">
        <v>18</v>
      </c>
      <c r="F59" s="371" t="s">
        <v>26</v>
      </c>
      <c r="G59" s="357"/>
      <c r="H59" s="357"/>
      <c r="I59" s="357"/>
      <c r="J59" s="357"/>
      <c r="K59" s="340"/>
      <c r="L59" s="372" t="str">
        <f t="shared" si="1"/>
        <v/>
      </c>
      <c r="M59" s="340"/>
      <c r="N59" s="340"/>
      <c r="O59" s="373" t="s">
        <v>47</v>
      </c>
      <c r="P59" s="15"/>
      <c r="Q59" s="7"/>
      <c r="R59" s="7"/>
      <c r="S59" s="7"/>
      <c r="T59" s="8"/>
      <c r="U59" s="8"/>
    </row>
    <row r="60" spans="1:21" ht="63.75">
      <c r="A60" s="358" t="s">
        <v>145</v>
      </c>
      <c r="B60" s="339" t="s">
        <v>146</v>
      </c>
      <c r="C60" s="355">
        <v>45777</v>
      </c>
      <c r="D60" s="354">
        <v>18161.650000000001</v>
      </c>
      <c r="E60" s="366" t="s">
        <v>30</v>
      </c>
      <c r="F60" s="371" t="s">
        <v>63</v>
      </c>
      <c r="G60" s="357"/>
      <c r="H60" s="357"/>
      <c r="I60" s="357"/>
      <c r="J60" s="357"/>
      <c r="K60" s="340"/>
      <c r="L60" s="372" t="str">
        <f t="shared" si="1"/>
        <v/>
      </c>
      <c r="M60" s="340"/>
      <c r="N60" s="340"/>
      <c r="O60" s="373" t="s">
        <v>47</v>
      </c>
      <c r="P60" s="15"/>
      <c r="Q60" s="7"/>
      <c r="R60" s="7"/>
      <c r="S60" s="7"/>
      <c r="T60" s="8"/>
      <c r="U60" s="8"/>
    </row>
    <row r="61" spans="1:21" ht="63.75">
      <c r="A61" s="358" t="s">
        <v>148</v>
      </c>
      <c r="B61" s="339" t="s">
        <v>149</v>
      </c>
      <c r="C61" s="355">
        <v>45783</v>
      </c>
      <c r="D61" s="354">
        <v>274500</v>
      </c>
      <c r="E61" s="366" t="s">
        <v>30</v>
      </c>
      <c r="F61" s="371" t="s">
        <v>63</v>
      </c>
      <c r="G61" s="357"/>
      <c r="H61" s="357"/>
      <c r="I61" s="355">
        <v>45859</v>
      </c>
      <c r="J61" s="355">
        <v>45866</v>
      </c>
      <c r="K61" s="356">
        <v>60</v>
      </c>
      <c r="L61" s="372">
        <f t="shared" si="1"/>
        <v>45926</v>
      </c>
      <c r="M61" s="338">
        <v>45896</v>
      </c>
      <c r="N61" s="338">
        <v>45901</v>
      </c>
      <c r="O61" s="373" t="s">
        <v>20</v>
      </c>
      <c r="P61" s="15"/>
      <c r="Q61" s="7"/>
      <c r="R61" s="7"/>
      <c r="S61" s="7"/>
      <c r="T61" s="8"/>
      <c r="U61" s="8"/>
    </row>
    <row r="62" spans="1:21" ht="51">
      <c r="A62" s="358" t="s">
        <v>150</v>
      </c>
      <c r="B62" s="339" t="s">
        <v>151</v>
      </c>
      <c r="C62" s="355">
        <v>45516</v>
      </c>
      <c r="D62" s="354">
        <v>9301.9500000000007</v>
      </c>
      <c r="E62" s="366" t="s">
        <v>18</v>
      </c>
      <c r="F62" s="371" t="s">
        <v>19</v>
      </c>
      <c r="G62" s="357"/>
      <c r="H62" s="357"/>
      <c r="I62" s="355">
        <v>45782</v>
      </c>
      <c r="J62" s="355">
        <v>45790</v>
      </c>
      <c r="K62" s="356">
        <v>30</v>
      </c>
      <c r="L62" s="372">
        <f t="shared" si="1"/>
        <v>45820</v>
      </c>
      <c r="M62" s="340"/>
      <c r="N62" s="338">
        <v>45810</v>
      </c>
      <c r="O62" s="373" t="s">
        <v>20</v>
      </c>
      <c r="P62" s="15"/>
      <c r="Q62" s="7"/>
      <c r="R62" s="7"/>
      <c r="S62" s="7"/>
      <c r="T62" s="8"/>
      <c r="U62" s="8"/>
    </row>
    <row r="63" spans="1:21" ht="51">
      <c r="A63" s="358" t="s">
        <v>152</v>
      </c>
      <c r="B63" s="339" t="s">
        <v>153</v>
      </c>
      <c r="C63" s="355">
        <v>45790</v>
      </c>
      <c r="D63" s="354">
        <v>8059.06</v>
      </c>
      <c r="E63" s="366" t="s">
        <v>18</v>
      </c>
      <c r="F63" s="371" t="s">
        <v>19</v>
      </c>
      <c r="G63" s="357"/>
      <c r="H63" s="357"/>
      <c r="I63" s="355">
        <v>45848</v>
      </c>
      <c r="J63" s="355">
        <v>45852</v>
      </c>
      <c r="K63" s="356">
        <v>30</v>
      </c>
      <c r="L63" s="372">
        <f t="shared" si="1"/>
        <v>45882</v>
      </c>
      <c r="M63" s="338">
        <v>45924</v>
      </c>
      <c r="N63" s="338">
        <v>45937</v>
      </c>
      <c r="O63" s="373" t="s">
        <v>20</v>
      </c>
      <c r="P63" s="15"/>
      <c r="Q63" s="7"/>
      <c r="R63" s="7"/>
      <c r="S63" s="7"/>
      <c r="T63" s="8"/>
      <c r="U63" s="8"/>
    </row>
    <row r="64" spans="1:21" ht="38.25">
      <c r="A64" s="358" t="s">
        <v>154</v>
      </c>
      <c r="B64" s="339" t="s">
        <v>155</v>
      </c>
      <c r="C64" s="355">
        <v>45789</v>
      </c>
      <c r="D64" s="354">
        <v>26808</v>
      </c>
      <c r="E64" s="366" t="s">
        <v>18</v>
      </c>
      <c r="F64" s="371" t="s">
        <v>19</v>
      </c>
      <c r="G64" s="357"/>
      <c r="H64" s="357"/>
      <c r="I64" s="357"/>
      <c r="J64" s="357"/>
      <c r="K64" s="340"/>
      <c r="L64" s="372" t="str">
        <f t="shared" si="1"/>
        <v/>
      </c>
      <c r="M64" s="340"/>
      <c r="N64" s="340"/>
      <c r="O64" s="373" t="s">
        <v>47</v>
      </c>
      <c r="P64" s="15"/>
      <c r="Q64" s="7"/>
      <c r="R64" s="7"/>
      <c r="S64" s="7"/>
      <c r="T64" s="8"/>
      <c r="U64" s="8"/>
    </row>
    <row r="65" spans="1:21" ht="63.75">
      <c r="A65" s="358" t="s">
        <v>156</v>
      </c>
      <c r="B65" s="339" t="s">
        <v>157</v>
      </c>
      <c r="C65" s="355">
        <v>45791</v>
      </c>
      <c r="D65" s="354">
        <v>69200</v>
      </c>
      <c r="E65" s="366" t="s">
        <v>30</v>
      </c>
      <c r="F65" s="371" t="s">
        <v>44</v>
      </c>
      <c r="G65" s="357"/>
      <c r="H65" s="355">
        <v>45856</v>
      </c>
      <c r="I65" s="355">
        <v>45876</v>
      </c>
      <c r="J65" s="355">
        <v>45860</v>
      </c>
      <c r="K65" s="356">
        <v>30</v>
      </c>
      <c r="L65" s="372">
        <f t="shared" si="1"/>
        <v>45890</v>
      </c>
      <c r="M65" s="338">
        <v>45881</v>
      </c>
      <c r="N65" s="338">
        <v>45884</v>
      </c>
      <c r="O65" s="373" t="s">
        <v>20</v>
      </c>
      <c r="P65" s="15"/>
      <c r="Q65" s="7"/>
      <c r="R65" s="7"/>
      <c r="S65" s="7"/>
      <c r="T65" s="8"/>
      <c r="U65" s="8"/>
    </row>
    <row r="66" spans="1:21" ht="63.75">
      <c r="A66" s="358" t="s">
        <v>158</v>
      </c>
      <c r="B66" s="339" t="s">
        <v>159</v>
      </c>
      <c r="C66" s="355">
        <v>45791</v>
      </c>
      <c r="D66" s="354">
        <v>963.9</v>
      </c>
      <c r="E66" s="366" t="s">
        <v>18</v>
      </c>
      <c r="F66" s="371" t="s">
        <v>44</v>
      </c>
      <c r="G66" s="357"/>
      <c r="H66" s="357"/>
      <c r="I66" s="355">
        <v>45812</v>
      </c>
      <c r="J66" s="355">
        <v>45817</v>
      </c>
      <c r="K66" s="356">
        <v>30</v>
      </c>
      <c r="L66" s="372">
        <f t="shared" si="1"/>
        <v>45847</v>
      </c>
      <c r="M66" s="340"/>
      <c r="N66" s="338">
        <v>45832</v>
      </c>
      <c r="O66" s="373" t="s">
        <v>20</v>
      </c>
      <c r="P66" s="15"/>
      <c r="Q66" s="7"/>
      <c r="R66" s="7"/>
      <c r="S66" s="7"/>
      <c r="T66" s="8"/>
      <c r="U66" s="8"/>
    </row>
    <row r="67" spans="1:21" ht="76.5">
      <c r="A67" s="358" t="s">
        <v>160</v>
      </c>
      <c r="B67" s="339" t="s">
        <v>161</v>
      </c>
      <c r="C67" s="355">
        <v>45792</v>
      </c>
      <c r="D67" s="354">
        <v>13750</v>
      </c>
      <c r="E67" s="366" t="s">
        <v>18</v>
      </c>
      <c r="F67" s="371" t="s">
        <v>44</v>
      </c>
      <c r="G67" s="357"/>
      <c r="H67" s="357"/>
      <c r="I67" s="355">
        <v>45807</v>
      </c>
      <c r="J67" s="355">
        <v>45817</v>
      </c>
      <c r="K67" s="356">
        <v>30</v>
      </c>
      <c r="L67" s="372">
        <f t="shared" si="1"/>
        <v>45847</v>
      </c>
      <c r="M67" s="340"/>
      <c r="N67" s="338">
        <v>45853</v>
      </c>
      <c r="O67" s="373" t="s">
        <v>20</v>
      </c>
      <c r="P67" s="15"/>
      <c r="Q67" s="7"/>
      <c r="R67" s="7"/>
      <c r="S67" s="7"/>
      <c r="T67" s="8"/>
      <c r="U67" s="8"/>
    </row>
    <row r="68" spans="1:21" ht="38.25">
      <c r="A68" s="358" t="s">
        <v>162</v>
      </c>
      <c r="B68" s="339" t="s">
        <v>163</v>
      </c>
      <c r="C68" s="355">
        <v>45775</v>
      </c>
      <c r="D68" s="354">
        <v>798231</v>
      </c>
      <c r="E68" s="366" t="s">
        <v>30</v>
      </c>
      <c r="F68" s="371" t="s">
        <v>26</v>
      </c>
      <c r="G68" s="357"/>
      <c r="H68" s="355">
        <v>45909</v>
      </c>
      <c r="I68" s="355">
        <v>45918</v>
      </c>
      <c r="J68" s="355">
        <v>45918</v>
      </c>
      <c r="K68" s="356">
        <v>90</v>
      </c>
      <c r="L68" s="372">
        <f t="shared" si="1"/>
        <v>46008</v>
      </c>
      <c r="M68" s="340"/>
      <c r="N68" s="338">
        <v>45967</v>
      </c>
      <c r="O68" s="373" t="s">
        <v>20</v>
      </c>
      <c r="P68" s="15"/>
      <c r="Q68" s="7"/>
      <c r="R68" s="7"/>
      <c r="S68" s="7"/>
      <c r="T68" s="8"/>
      <c r="U68" s="8"/>
    </row>
    <row r="69" spans="1:21" ht="25.5">
      <c r="A69" s="358" t="s">
        <v>164</v>
      </c>
      <c r="B69" s="339" t="s">
        <v>165</v>
      </c>
      <c r="C69" s="355">
        <v>45631</v>
      </c>
      <c r="D69" s="354">
        <v>121371.5</v>
      </c>
      <c r="E69" s="366" t="s">
        <v>30</v>
      </c>
      <c r="F69" s="371" t="s">
        <v>23</v>
      </c>
      <c r="G69" s="357"/>
      <c r="H69" s="357"/>
      <c r="I69" s="357"/>
      <c r="J69" s="357"/>
      <c r="K69" s="340"/>
      <c r="L69" s="372" t="str">
        <f t="shared" si="1"/>
        <v/>
      </c>
      <c r="M69" s="340"/>
      <c r="N69" s="340"/>
      <c r="O69" s="373" t="s">
        <v>47</v>
      </c>
      <c r="P69" s="15"/>
      <c r="Q69" s="7"/>
      <c r="R69" s="7"/>
      <c r="S69" s="7"/>
      <c r="T69" s="8"/>
      <c r="U69" s="8"/>
    </row>
    <row r="70" spans="1:21" ht="63.75">
      <c r="A70" s="358" t="s">
        <v>166</v>
      </c>
      <c r="B70" s="339" t="s">
        <v>167</v>
      </c>
      <c r="C70" s="355">
        <v>45747</v>
      </c>
      <c r="D70" s="354">
        <v>7650</v>
      </c>
      <c r="E70" s="366" t="s">
        <v>30</v>
      </c>
      <c r="F70" s="371" t="s">
        <v>63</v>
      </c>
      <c r="G70" s="357"/>
      <c r="H70" s="357"/>
      <c r="I70" s="357"/>
      <c r="J70" s="357"/>
      <c r="K70" s="340"/>
      <c r="L70" s="372" t="str">
        <f t="shared" si="1"/>
        <v/>
      </c>
      <c r="M70" s="340"/>
      <c r="N70" s="340"/>
      <c r="O70" s="373" t="s">
        <v>47</v>
      </c>
      <c r="P70" s="15"/>
      <c r="Q70" s="7"/>
      <c r="R70" s="7"/>
      <c r="S70" s="7"/>
      <c r="T70" s="8"/>
      <c r="U70" s="8"/>
    </row>
    <row r="71" spans="1:21" ht="51">
      <c r="A71" s="358" t="s">
        <v>168</v>
      </c>
      <c r="B71" s="339" t="s">
        <v>169</v>
      </c>
      <c r="C71" s="355">
        <v>45762</v>
      </c>
      <c r="D71" s="354">
        <v>820</v>
      </c>
      <c r="E71" s="366" t="s">
        <v>18</v>
      </c>
      <c r="F71" s="371" t="s">
        <v>170</v>
      </c>
      <c r="G71" s="357"/>
      <c r="H71" s="357"/>
      <c r="I71" s="357"/>
      <c r="J71" s="357"/>
      <c r="K71" s="340"/>
      <c r="L71" s="372" t="str">
        <f t="shared" si="1"/>
        <v/>
      </c>
      <c r="M71" s="340"/>
      <c r="N71" s="340"/>
      <c r="O71" s="373" t="s">
        <v>47</v>
      </c>
      <c r="P71" s="15"/>
      <c r="Q71" s="7"/>
      <c r="R71" s="7"/>
      <c r="S71" s="7"/>
      <c r="T71" s="8"/>
      <c r="U71" s="8"/>
    </row>
    <row r="72" spans="1:21" ht="63.75">
      <c r="A72" s="358" t="s">
        <v>171</v>
      </c>
      <c r="B72" s="339" t="s">
        <v>172</v>
      </c>
      <c r="C72" s="355">
        <v>45799</v>
      </c>
      <c r="D72" s="354">
        <v>150480</v>
      </c>
      <c r="E72" s="366" t="s">
        <v>30</v>
      </c>
      <c r="F72" s="371" t="s">
        <v>44</v>
      </c>
      <c r="G72" s="357"/>
      <c r="H72" s="355">
        <v>45915</v>
      </c>
      <c r="I72" s="355">
        <v>45934</v>
      </c>
      <c r="J72" s="355">
        <v>45915</v>
      </c>
      <c r="K72" s="356">
        <v>120</v>
      </c>
      <c r="L72" s="372">
        <f t="shared" si="1"/>
        <v>46035</v>
      </c>
      <c r="M72" s="338">
        <v>46006</v>
      </c>
      <c r="N72" s="340"/>
      <c r="O72" s="373" t="s">
        <v>27</v>
      </c>
      <c r="P72" s="15"/>
      <c r="Q72" s="7"/>
      <c r="R72" s="7"/>
      <c r="S72" s="7"/>
      <c r="T72" s="8"/>
      <c r="U72" s="8"/>
    </row>
    <row r="73" spans="1:21" ht="76.5">
      <c r="A73" s="358" t="s">
        <v>173</v>
      </c>
      <c r="B73" s="339" t="s">
        <v>174</v>
      </c>
      <c r="C73" s="355">
        <v>45800</v>
      </c>
      <c r="D73" s="354">
        <v>73530</v>
      </c>
      <c r="E73" s="366" t="s">
        <v>18</v>
      </c>
      <c r="F73" s="371" t="s">
        <v>44</v>
      </c>
      <c r="G73" s="357"/>
      <c r="H73" s="357"/>
      <c r="I73" s="357"/>
      <c r="J73" s="357"/>
      <c r="K73" s="356">
        <v>10</v>
      </c>
      <c r="L73" s="372" t="str">
        <f t="shared" si="1"/>
        <v/>
      </c>
      <c r="M73" s="340"/>
      <c r="N73" s="340"/>
      <c r="O73" s="373" t="s">
        <v>47</v>
      </c>
      <c r="P73" s="15"/>
      <c r="Q73" s="7"/>
      <c r="R73" s="7"/>
      <c r="S73" s="7"/>
      <c r="T73" s="8"/>
      <c r="U73" s="8"/>
    </row>
    <row r="74" spans="1:21" ht="63.75">
      <c r="A74" s="358" t="s">
        <v>176</v>
      </c>
      <c r="B74" s="339" t="s">
        <v>177</v>
      </c>
      <c r="C74" s="355">
        <v>45534</v>
      </c>
      <c r="D74" s="354">
        <v>6793984.1699999999</v>
      </c>
      <c r="E74" s="366" t="s">
        <v>30</v>
      </c>
      <c r="F74" s="371" t="s">
        <v>23</v>
      </c>
      <c r="G74" s="355">
        <v>45895</v>
      </c>
      <c r="H74" s="355">
        <v>45996</v>
      </c>
      <c r="I74" s="355">
        <v>46008</v>
      </c>
      <c r="J74" s="355">
        <v>46008</v>
      </c>
      <c r="K74" s="356">
        <v>120</v>
      </c>
      <c r="L74" s="372">
        <f t="shared" si="1"/>
        <v>46128</v>
      </c>
      <c r="M74" s="340"/>
      <c r="N74" s="340"/>
      <c r="O74" s="373" t="s">
        <v>27</v>
      </c>
      <c r="P74" s="15"/>
      <c r="Q74" s="7"/>
      <c r="R74" s="7"/>
      <c r="S74" s="7"/>
      <c r="T74" s="8"/>
      <c r="U74" s="8"/>
    </row>
    <row r="75" spans="1:21" ht="63.75">
      <c r="A75" s="358" t="s">
        <v>178</v>
      </c>
      <c r="B75" s="339" t="s">
        <v>179</v>
      </c>
      <c r="C75" s="355">
        <v>45806</v>
      </c>
      <c r="D75" s="354">
        <v>1325</v>
      </c>
      <c r="E75" s="366" t="s">
        <v>18</v>
      </c>
      <c r="F75" s="371" t="s">
        <v>44</v>
      </c>
      <c r="G75" s="357"/>
      <c r="H75" s="357"/>
      <c r="I75" s="355">
        <v>45835</v>
      </c>
      <c r="J75" s="355">
        <v>45840</v>
      </c>
      <c r="K75" s="356">
        <v>30</v>
      </c>
      <c r="L75" s="372">
        <f t="shared" si="1"/>
        <v>45870</v>
      </c>
      <c r="M75" s="338">
        <v>45923</v>
      </c>
      <c r="N75" s="338">
        <v>45852</v>
      </c>
      <c r="O75" s="373" t="s">
        <v>20</v>
      </c>
      <c r="P75" s="15"/>
      <c r="Q75" s="7"/>
      <c r="R75" s="7"/>
      <c r="S75" s="7"/>
      <c r="T75" s="8"/>
      <c r="U75" s="8"/>
    </row>
    <row r="76" spans="1:21" ht="25.5">
      <c r="A76" s="358" t="s">
        <v>180</v>
      </c>
      <c r="B76" s="339" t="s">
        <v>181</v>
      </c>
      <c r="C76" s="355">
        <v>45553</v>
      </c>
      <c r="D76" s="354">
        <v>40970</v>
      </c>
      <c r="E76" s="366" t="s">
        <v>30</v>
      </c>
      <c r="F76" s="371" t="s">
        <v>63</v>
      </c>
      <c r="G76" s="357"/>
      <c r="H76" s="357"/>
      <c r="I76" s="355">
        <v>45775</v>
      </c>
      <c r="J76" s="355">
        <v>45784</v>
      </c>
      <c r="K76" s="356">
        <v>120</v>
      </c>
      <c r="L76" s="372">
        <f t="shared" si="1"/>
        <v>45904</v>
      </c>
      <c r="M76" s="340"/>
      <c r="N76" s="338">
        <v>45925</v>
      </c>
      <c r="O76" s="373" t="s">
        <v>20</v>
      </c>
      <c r="P76" s="15"/>
      <c r="Q76" s="7"/>
      <c r="R76" s="7"/>
      <c r="S76" s="7"/>
      <c r="T76" s="8"/>
      <c r="U76" s="8"/>
    </row>
    <row r="77" spans="1:21" ht="38.25">
      <c r="A77" s="358" t="s">
        <v>182</v>
      </c>
      <c r="B77" s="339" t="s">
        <v>183</v>
      </c>
      <c r="C77" s="355">
        <v>45797</v>
      </c>
      <c r="D77" s="354">
        <v>30802722</v>
      </c>
      <c r="E77" s="366" t="s">
        <v>30</v>
      </c>
      <c r="F77" s="371" t="s">
        <v>44</v>
      </c>
      <c r="G77" s="357"/>
      <c r="H77" s="357"/>
      <c r="I77" s="357"/>
      <c r="J77" s="357"/>
      <c r="K77" s="340"/>
      <c r="L77" s="372" t="str">
        <f t="shared" si="1"/>
        <v/>
      </c>
      <c r="M77" s="340"/>
      <c r="N77" s="340"/>
      <c r="O77" s="373" t="s">
        <v>27</v>
      </c>
      <c r="P77" s="15"/>
      <c r="Q77" s="7"/>
      <c r="R77" s="7"/>
      <c r="S77" s="7"/>
      <c r="T77" s="8"/>
      <c r="U77" s="8"/>
    </row>
    <row r="78" spans="1:21" ht="25.5">
      <c r="A78" s="358" t="s">
        <v>184</v>
      </c>
      <c r="B78" s="339" t="s">
        <v>2962</v>
      </c>
      <c r="C78" s="355">
        <v>45445</v>
      </c>
      <c r="D78" s="354">
        <v>104850</v>
      </c>
      <c r="E78" s="366" t="s">
        <v>30</v>
      </c>
      <c r="F78" s="371" t="s">
        <v>63</v>
      </c>
      <c r="G78" s="357"/>
      <c r="H78" s="355">
        <v>45903</v>
      </c>
      <c r="I78" s="355">
        <v>45924</v>
      </c>
      <c r="J78" s="355">
        <v>45925</v>
      </c>
      <c r="K78" s="356">
        <v>30</v>
      </c>
      <c r="L78" s="372">
        <f t="shared" si="1"/>
        <v>45955</v>
      </c>
      <c r="M78" s="338">
        <v>45942</v>
      </c>
      <c r="N78" s="338">
        <v>45950</v>
      </c>
      <c r="O78" s="373" t="s">
        <v>20</v>
      </c>
      <c r="P78" s="15"/>
      <c r="Q78" s="7"/>
      <c r="R78" s="7"/>
      <c r="S78" s="7"/>
      <c r="T78" s="8"/>
      <c r="U78" s="8"/>
    </row>
    <row r="79" spans="1:21" ht="51">
      <c r="A79" s="358" t="s">
        <v>186</v>
      </c>
      <c r="B79" s="339" t="s">
        <v>187</v>
      </c>
      <c r="C79" s="355">
        <v>45750</v>
      </c>
      <c r="D79" s="354">
        <v>4382364</v>
      </c>
      <c r="E79" s="366" t="s">
        <v>30</v>
      </c>
      <c r="F79" s="371" t="s">
        <v>23</v>
      </c>
      <c r="G79" s="357"/>
      <c r="H79" s="355">
        <v>46003</v>
      </c>
      <c r="I79" s="355">
        <v>46007</v>
      </c>
      <c r="J79" s="355">
        <v>46006</v>
      </c>
      <c r="K79" s="356">
        <v>120</v>
      </c>
      <c r="L79" s="372">
        <f t="shared" si="1"/>
        <v>46126</v>
      </c>
      <c r="M79" s="340"/>
      <c r="N79" s="340"/>
      <c r="O79" s="373" t="s">
        <v>27</v>
      </c>
      <c r="P79" s="15"/>
      <c r="Q79" s="7"/>
      <c r="R79" s="7"/>
      <c r="S79" s="7"/>
      <c r="T79" s="8"/>
      <c r="U79" s="8"/>
    </row>
    <row r="80" spans="1:21" ht="25.5">
      <c r="A80" s="358" t="s">
        <v>188</v>
      </c>
      <c r="B80" s="339" t="s">
        <v>189</v>
      </c>
      <c r="C80" s="355">
        <v>45477</v>
      </c>
      <c r="D80" s="354">
        <v>5922423.1200000001</v>
      </c>
      <c r="E80" s="366" t="s">
        <v>30</v>
      </c>
      <c r="F80" s="371" t="s">
        <v>23</v>
      </c>
      <c r="G80" s="357"/>
      <c r="H80" s="355">
        <v>45902</v>
      </c>
      <c r="I80" s="355">
        <v>45922</v>
      </c>
      <c r="J80" s="355">
        <v>45923</v>
      </c>
      <c r="K80" s="356">
        <v>90</v>
      </c>
      <c r="L80" s="372">
        <f t="shared" si="1"/>
        <v>46013</v>
      </c>
      <c r="M80" s="338">
        <v>45992</v>
      </c>
      <c r="N80" s="340"/>
      <c r="O80" s="373" t="s">
        <v>27</v>
      </c>
      <c r="P80" s="15"/>
      <c r="Q80" s="7"/>
      <c r="R80" s="7"/>
      <c r="S80" s="7"/>
      <c r="T80" s="8"/>
      <c r="U80" s="8"/>
    </row>
    <row r="81" spans="1:21" ht="51">
      <c r="A81" s="358" t="s">
        <v>190</v>
      </c>
      <c r="B81" s="339" t="s">
        <v>191</v>
      </c>
      <c r="C81" s="355">
        <v>45531</v>
      </c>
      <c r="D81" s="354">
        <v>29093</v>
      </c>
      <c r="E81" s="366" t="s">
        <v>18</v>
      </c>
      <c r="F81" s="371" t="s">
        <v>19</v>
      </c>
      <c r="G81" s="357"/>
      <c r="H81" s="357"/>
      <c r="I81" s="355">
        <v>45810</v>
      </c>
      <c r="J81" s="355">
        <v>45810</v>
      </c>
      <c r="K81" s="356">
        <v>30</v>
      </c>
      <c r="L81" s="372">
        <f t="shared" si="1"/>
        <v>45840</v>
      </c>
      <c r="M81" s="340"/>
      <c r="N81" s="338">
        <v>45840</v>
      </c>
      <c r="O81" s="373" t="s">
        <v>20</v>
      </c>
      <c r="P81" s="15"/>
      <c r="Q81" s="7"/>
      <c r="R81" s="7"/>
      <c r="S81" s="7"/>
      <c r="T81" s="8"/>
      <c r="U81" s="8"/>
    </row>
    <row r="82" spans="1:21" ht="63.75">
      <c r="A82" s="358" t="s">
        <v>193</v>
      </c>
      <c r="B82" s="339" t="s">
        <v>194</v>
      </c>
      <c r="C82" s="355">
        <v>45492</v>
      </c>
      <c r="D82" s="354">
        <v>7879099.6699999999</v>
      </c>
      <c r="E82" s="366" t="s">
        <v>30</v>
      </c>
      <c r="F82" s="371" t="s">
        <v>23</v>
      </c>
      <c r="G82" s="355">
        <v>45644</v>
      </c>
      <c r="H82" s="355">
        <v>45813</v>
      </c>
      <c r="I82" s="355">
        <v>45826</v>
      </c>
      <c r="J82" s="355">
        <v>45832</v>
      </c>
      <c r="K82" s="356">
        <v>90</v>
      </c>
      <c r="L82" s="372">
        <f t="shared" si="1"/>
        <v>45922</v>
      </c>
      <c r="M82" s="340"/>
      <c r="N82" s="338">
        <v>45901</v>
      </c>
      <c r="O82" s="373" t="s">
        <v>20</v>
      </c>
      <c r="P82" s="15"/>
      <c r="Q82" s="7"/>
      <c r="R82" s="7"/>
      <c r="S82" s="7"/>
      <c r="T82" s="8"/>
      <c r="U82" s="8"/>
    </row>
    <row r="83" spans="1:21" ht="63.75">
      <c r="A83" s="358" t="s">
        <v>195</v>
      </c>
      <c r="B83" s="339" t="s">
        <v>196</v>
      </c>
      <c r="C83" s="355">
        <v>45811</v>
      </c>
      <c r="D83" s="354">
        <v>579575.06000000006</v>
      </c>
      <c r="E83" s="366" t="s">
        <v>30</v>
      </c>
      <c r="F83" s="371" t="s">
        <v>44</v>
      </c>
      <c r="G83" s="357"/>
      <c r="H83" s="355">
        <v>45896</v>
      </c>
      <c r="I83" s="355">
        <v>45840</v>
      </c>
      <c r="J83" s="355">
        <v>45895</v>
      </c>
      <c r="K83" s="356">
        <v>60</v>
      </c>
      <c r="L83" s="372">
        <f t="shared" si="1"/>
        <v>45955</v>
      </c>
      <c r="M83" s="338">
        <v>45943</v>
      </c>
      <c r="N83" s="338">
        <v>45964</v>
      </c>
      <c r="O83" s="373" t="s">
        <v>20</v>
      </c>
      <c r="P83" s="15"/>
      <c r="Q83" s="7"/>
      <c r="R83" s="7"/>
      <c r="S83" s="7"/>
      <c r="T83" s="8"/>
      <c r="U83" s="8"/>
    </row>
    <row r="84" spans="1:21" ht="38.25">
      <c r="A84" s="358" t="s">
        <v>198</v>
      </c>
      <c r="B84" s="339" t="s">
        <v>199</v>
      </c>
      <c r="C84" s="355">
        <v>45484</v>
      </c>
      <c r="D84" s="354">
        <v>8432255.9100000001</v>
      </c>
      <c r="E84" s="366" t="s">
        <v>30</v>
      </c>
      <c r="F84" s="371" t="s">
        <v>23</v>
      </c>
      <c r="G84" s="355">
        <v>45596</v>
      </c>
      <c r="H84" s="355">
        <v>45716</v>
      </c>
      <c r="I84" s="355">
        <v>45735</v>
      </c>
      <c r="J84" s="355">
        <v>45736</v>
      </c>
      <c r="K84" s="356">
        <v>120</v>
      </c>
      <c r="L84" s="372">
        <f t="shared" si="1"/>
        <v>45856</v>
      </c>
      <c r="M84" s="340"/>
      <c r="N84" s="338">
        <v>45853</v>
      </c>
      <c r="O84" s="373" t="s">
        <v>20</v>
      </c>
      <c r="P84" s="15"/>
      <c r="Q84" s="7"/>
      <c r="R84" s="7"/>
      <c r="S84" s="7"/>
      <c r="T84" s="8"/>
      <c r="U84" s="8"/>
    </row>
    <row r="85" spans="1:21" ht="63.75">
      <c r="A85" s="358" t="s">
        <v>200</v>
      </c>
      <c r="B85" s="339" t="s">
        <v>201</v>
      </c>
      <c r="C85" s="355">
        <v>45730</v>
      </c>
      <c r="D85" s="354">
        <v>116360.88</v>
      </c>
      <c r="E85" s="366" t="s">
        <v>18</v>
      </c>
      <c r="F85" s="371" t="s">
        <v>44</v>
      </c>
      <c r="G85" s="355">
        <v>45621</v>
      </c>
      <c r="H85" s="357"/>
      <c r="I85" s="357"/>
      <c r="J85" s="357"/>
      <c r="K85" s="340"/>
      <c r="L85" s="372" t="str">
        <f t="shared" si="1"/>
        <v/>
      </c>
      <c r="M85" s="340"/>
      <c r="N85" s="340"/>
      <c r="O85" s="373" t="s">
        <v>27</v>
      </c>
      <c r="P85" s="15"/>
      <c r="Q85" s="7"/>
      <c r="R85" s="7"/>
      <c r="S85" s="7"/>
      <c r="T85" s="8"/>
      <c r="U85" s="8"/>
    </row>
    <row r="86" spans="1:21" ht="51">
      <c r="A86" s="358" t="s">
        <v>202</v>
      </c>
      <c r="B86" s="339" t="s">
        <v>203</v>
      </c>
      <c r="C86" s="355">
        <v>45748</v>
      </c>
      <c r="D86" s="354">
        <v>9744.27</v>
      </c>
      <c r="E86" s="366" t="s">
        <v>18</v>
      </c>
      <c r="F86" s="371" t="s">
        <v>44</v>
      </c>
      <c r="G86" s="357"/>
      <c r="H86" s="355">
        <v>45881</v>
      </c>
      <c r="I86" s="355">
        <v>45902</v>
      </c>
      <c r="J86" s="355">
        <v>45881</v>
      </c>
      <c r="K86" s="356">
        <v>60</v>
      </c>
      <c r="L86" s="372">
        <f t="shared" si="1"/>
        <v>45941</v>
      </c>
      <c r="M86" s="338">
        <v>45925</v>
      </c>
      <c r="N86" s="338">
        <v>45939</v>
      </c>
      <c r="O86" s="373" t="s">
        <v>20</v>
      </c>
      <c r="P86" s="15"/>
      <c r="Q86" s="7"/>
      <c r="R86" s="7"/>
      <c r="S86" s="7"/>
      <c r="T86" s="8"/>
      <c r="U86" s="8"/>
    </row>
    <row r="87" spans="1:21" ht="38.25">
      <c r="A87" s="358" t="s">
        <v>204</v>
      </c>
      <c r="B87" s="339" t="s">
        <v>205</v>
      </c>
      <c r="C87" s="355">
        <v>45441</v>
      </c>
      <c r="D87" s="354">
        <v>1436816.34</v>
      </c>
      <c r="E87" s="366" t="s">
        <v>30</v>
      </c>
      <c r="F87" s="371" t="s">
        <v>23</v>
      </c>
      <c r="G87" s="357"/>
      <c r="H87" s="357"/>
      <c r="I87" s="355">
        <v>45757</v>
      </c>
      <c r="J87" s="355">
        <v>45814</v>
      </c>
      <c r="K87" s="356">
        <v>60</v>
      </c>
      <c r="L87" s="372">
        <f t="shared" si="1"/>
        <v>45874</v>
      </c>
      <c r="M87" s="338">
        <v>45848</v>
      </c>
      <c r="N87" s="338">
        <v>45918</v>
      </c>
      <c r="O87" s="373" t="s">
        <v>20</v>
      </c>
      <c r="P87" s="15"/>
      <c r="Q87" s="7"/>
      <c r="R87" s="7"/>
      <c r="S87" s="7"/>
      <c r="T87" s="8"/>
      <c r="U87" s="8"/>
    </row>
    <row r="88" spans="1:21" ht="51">
      <c r="A88" s="358" t="s">
        <v>206</v>
      </c>
      <c r="B88" s="339" t="s">
        <v>207</v>
      </c>
      <c r="C88" s="355">
        <v>45813</v>
      </c>
      <c r="D88" s="354">
        <v>83360</v>
      </c>
      <c r="E88" s="366" t="s">
        <v>30</v>
      </c>
      <c r="F88" s="371" t="s">
        <v>170</v>
      </c>
      <c r="G88" s="357"/>
      <c r="H88" s="355">
        <v>45903</v>
      </c>
      <c r="I88" s="355">
        <v>45918</v>
      </c>
      <c r="J88" s="355">
        <v>45903</v>
      </c>
      <c r="K88" s="356">
        <v>30</v>
      </c>
      <c r="L88" s="372">
        <f t="shared" si="1"/>
        <v>45933</v>
      </c>
      <c r="M88" s="338">
        <v>45919</v>
      </c>
      <c r="N88" s="338">
        <v>45929</v>
      </c>
      <c r="O88" s="373" t="s">
        <v>20</v>
      </c>
      <c r="P88" s="15"/>
      <c r="Q88" s="7"/>
      <c r="R88" s="7"/>
      <c r="S88" s="7"/>
      <c r="T88" s="8"/>
      <c r="U88" s="8"/>
    </row>
    <row r="89" spans="1:21" ht="25.5">
      <c r="A89" s="358" t="s">
        <v>208</v>
      </c>
      <c r="B89" s="339" t="s">
        <v>209</v>
      </c>
      <c r="C89" s="355">
        <v>45495</v>
      </c>
      <c r="D89" s="354">
        <v>4768676.76</v>
      </c>
      <c r="E89" s="366" t="s">
        <v>30</v>
      </c>
      <c r="F89" s="371" t="s">
        <v>26</v>
      </c>
      <c r="G89" s="357"/>
      <c r="H89" s="355">
        <v>45799</v>
      </c>
      <c r="I89" s="355">
        <v>45814</v>
      </c>
      <c r="J89" s="355">
        <v>45817</v>
      </c>
      <c r="K89" s="356">
        <v>30</v>
      </c>
      <c r="L89" s="372">
        <f t="shared" si="1"/>
        <v>45847</v>
      </c>
      <c r="M89" s="340"/>
      <c r="N89" s="338">
        <v>45847</v>
      </c>
      <c r="O89" s="373" t="s">
        <v>20</v>
      </c>
      <c r="P89" s="15"/>
      <c r="Q89" s="7"/>
      <c r="R89" s="7"/>
      <c r="S89" s="7"/>
      <c r="T89" s="8"/>
      <c r="U89" s="8"/>
    </row>
    <row r="90" spans="1:21" ht="63.75">
      <c r="A90" s="358" t="s">
        <v>210</v>
      </c>
      <c r="B90" s="339" t="s">
        <v>211</v>
      </c>
      <c r="C90" s="355">
        <v>45435</v>
      </c>
      <c r="D90" s="354">
        <v>2192989.56</v>
      </c>
      <c r="E90" s="366" t="s">
        <v>18</v>
      </c>
      <c r="F90" s="371" t="s">
        <v>23</v>
      </c>
      <c r="G90" s="355">
        <v>45714</v>
      </c>
      <c r="H90" s="355">
        <v>45819</v>
      </c>
      <c r="I90" s="355">
        <v>45849</v>
      </c>
      <c r="J90" s="355">
        <v>45852</v>
      </c>
      <c r="K90" s="356">
        <v>0</v>
      </c>
      <c r="L90" s="372">
        <f t="shared" si="1"/>
        <v>45852</v>
      </c>
      <c r="M90" s="340"/>
      <c r="N90" s="338">
        <v>45852</v>
      </c>
      <c r="O90" s="373" t="s">
        <v>20</v>
      </c>
      <c r="P90" s="15"/>
      <c r="Q90" s="7"/>
      <c r="R90" s="7"/>
      <c r="S90" s="7"/>
      <c r="T90" s="8"/>
      <c r="U90" s="8"/>
    </row>
    <row r="91" spans="1:21" ht="25.5">
      <c r="A91" s="358" t="s">
        <v>212</v>
      </c>
      <c r="B91" s="339" t="s">
        <v>213</v>
      </c>
      <c r="C91" s="355">
        <v>45418</v>
      </c>
      <c r="D91" s="354">
        <v>697746</v>
      </c>
      <c r="E91" s="366" t="s">
        <v>30</v>
      </c>
      <c r="F91" s="371" t="s">
        <v>23</v>
      </c>
      <c r="G91" s="357"/>
      <c r="H91" s="355">
        <v>45729</v>
      </c>
      <c r="I91" s="355">
        <v>45737</v>
      </c>
      <c r="J91" s="355">
        <v>45740</v>
      </c>
      <c r="K91" s="356">
        <v>60</v>
      </c>
      <c r="L91" s="372">
        <f t="shared" si="1"/>
        <v>45800</v>
      </c>
      <c r="M91" s="340"/>
      <c r="N91" s="338">
        <v>45820</v>
      </c>
      <c r="O91" s="373" t="s">
        <v>20</v>
      </c>
      <c r="P91" s="15"/>
      <c r="Q91" s="7"/>
      <c r="R91" s="7"/>
      <c r="S91" s="7"/>
      <c r="T91" s="8"/>
      <c r="U91" s="8"/>
    </row>
    <row r="92" spans="1:21" ht="38.25">
      <c r="A92" s="358" t="s">
        <v>214</v>
      </c>
      <c r="B92" s="339" t="s">
        <v>215</v>
      </c>
      <c r="C92" s="355">
        <v>45483</v>
      </c>
      <c r="D92" s="354">
        <v>1439800</v>
      </c>
      <c r="E92" s="366" t="s">
        <v>30</v>
      </c>
      <c r="F92" s="371" t="s">
        <v>23</v>
      </c>
      <c r="G92" s="355">
        <v>46009</v>
      </c>
      <c r="H92" s="355">
        <v>45799</v>
      </c>
      <c r="I92" s="355">
        <v>45799</v>
      </c>
      <c r="J92" s="355">
        <v>45825</v>
      </c>
      <c r="K92" s="356">
        <v>90</v>
      </c>
      <c r="L92" s="372">
        <f t="shared" si="1"/>
        <v>45915</v>
      </c>
      <c r="M92" s="338">
        <v>45890</v>
      </c>
      <c r="N92" s="340"/>
      <c r="O92" s="373" t="s">
        <v>27</v>
      </c>
      <c r="P92" s="15"/>
      <c r="Q92" s="7"/>
      <c r="R92" s="7"/>
      <c r="S92" s="7"/>
      <c r="T92" s="8"/>
      <c r="U92" s="8"/>
    </row>
    <row r="93" spans="1:21" ht="51">
      <c r="A93" s="358" t="s">
        <v>217</v>
      </c>
      <c r="B93" s="339" t="s">
        <v>218</v>
      </c>
      <c r="C93" s="355">
        <v>45821</v>
      </c>
      <c r="D93" s="354">
        <v>87471</v>
      </c>
      <c r="E93" s="366" t="s">
        <v>30</v>
      </c>
      <c r="F93" s="371" t="s">
        <v>23</v>
      </c>
      <c r="G93" s="357"/>
      <c r="H93" s="357"/>
      <c r="I93" s="357"/>
      <c r="J93" s="357"/>
      <c r="K93" s="340"/>
      <c r="L93" s="372" t="str">
        <f t="shared" si="1"/>
        <v/>
      </c>
      <c r="M93" s="340"/>
      <c r="N93" s="340"/>
      <c r="O93" s="373" t="s">
        <v>27</v>
      </c>
      <c r="P93" s="15"/>
      <c r="Q93" s="7"/>
      <c r="R93" s="7"/>
      <c r="S93" s="7"/>
      <c r="T93" s="8"/>
      <c r="U93" s="8"/>
    </row>
    <row r="94" spans="1:21" ht="25.5">
      <c r="A94" s="358" t="s">
        <v>219</v>
      </c>
      <c r="B94" s="339" t="s">
        <v>220</v>
      </c>
      <c r="C94" s="355">
        <v>45806</v>
      </c>
      <c r="D94" s="354">
        <v>255509.8</v>
      </c>
      <c r="E94" s="366" t="s">
        <v>30</v>
      </c>
      <c r="F94" s="371" t="s">
        <v>63</v>
      </c>
      <c r="G94" s="357"/>
      <c r="H94" s="357"/>
      <c r="I94" s="357"/>
      <c r="J94" s="357"/>
      <c r="K94" s="340"/>
      <c r="L94" s="372" t="str">
        <f t="shared" si="1"/>
        <v/>
      </c>
      <c r="M94" s="340"/>
      <c r="N94" s="340"/>
      <c r="O94" s="373" t="s">
        <v>47</v>
      </c>
      <c r="P94" s="15"/>
      <c r="Q94" s="7"/>
      <c r="R94" s="7"/>
      <c r="S94" s="7"/>
      <c r="T94" s="8"/>
      <c r="U94" s="8"/>
    </row>
    <row r="95" spans="1:21" ht="25.5">
      <c r="A95" s="358" t="s">
        <v>222</v>
      </c>
      <c r="B95" s="339" t="s">
        <v>223</v>
      </c>
      <c r="C95" s="355">
        <v>45824</v>
      </c>
      <c r="D95" s="354">
        <v>6784</v>
      </c>
      <c r="E95" s="366" t="s">
        <v>18</v>
      </c>
      <c r="F95" s="371" t="s">
        <v>170</v>
      </c>
      <c r="G95" s="357"/>
      <c r="H95" s="357"/>
      <c r="I95" s="355">
        <v>45901</v>
      </c>
      <c r="J95" s="355">
        <v>45910</v>
      </c>
      <c r="K95" s="356">
        <v>30</v>
      </c>
      <c r="L95" s="372">
        <f t="shared" si="1"/>
        <v>45940</v>
      </c>
      <c r="M95" s="340"/>
      <c r="N95" s="338">
        <v>45916</v>
      </c>
      <c r="O95" s="373" t="s">
        <v>20</v>
      </c>
      <c r="P95" s="15"/>
      <c r="Q95" s="7"/>
      <c r="R95" s="7"/>
      <c r="S95" s="7"/>
      <c r="T95" s="8"/>
      <c r="U95" s="8"/>
    </row>
    <row r="96" spans="1:21" ht="51">
      <c r="A96" s="358" t="s">
        <v>224</v>
      </c>
      <c r="B96" s="339" t="s">
        <v>225</v>
      </c>
      <c r="C96" s="355">
        <v>45831</v>
      </c>
      <c r="D96" s="354">
        <v>2072</v>
      </c>
      <c r="E96" s="366" t="s">
        <v>30</v>
      </c>
      <c r="F96" s="371" t="s">
        <v>63</v>
      </c>
      <c r="G96" s="357"/>
      <c r="H96" s="357"/>
      <c r="I96" s="355">
        <v>45961</v>
      </c>
      <c r="J96" s="355">
        <v>45966</v>
      </c>
      <c r="K96" s="356">
        <v>30</v>
      </c>
      <c r="L96" s="372">
        <f t="shared" si="1"/>
        <v>45996</v>
      </c>
      <c r="M96" s="355">
        <v>46009</v>
      </c>
      <c r="N96" s="340"/>
      <c r="O96" s="373" t="s">
        <v>27</v>
      </c>
      <c r="P96" s="15"/>
      <c r="Q96" s="7"/>
      <c r="R96" s="7"/>
      <c r="S96" s="7"/>
      <c r="T96" s="8"/>
      <c r="U96" s="8"/>
    </row>
    <row r="97" spans="1:21" ht="76.5">
      <c r="A97" s="358" t="s">
        <v>226</v>
      </c>
      <c r="B97" s="339" t="s">
        <v>227</v>
      </c>
      <c r="C97" s="355">
        <v>45834</v>
      </c>
      <c r="D97" s="354">
        <v>1050.05</v>
      </c>
      <c r="E97" s="366" t="s">
        <v>18</v>
      </c>
      <c r="F97" s="371" t="s">
        <v>44</v>
      </c>
      <c r="G97" s="357"/>
      <c r="H97" s="357"/>
      <c r="I97" s="355">
        <v>45840</v>
      </c>
      <c r="J97" s="355">
        <v>45842</v>
      </c>
      <c r="K97" s="356">
        <v>30</v>
      </c>
      <c r="L97" s="372">
        <f t="shared" si="1"/>
        <v>45872</v>
      </c>
      <c r="M97" s="340"/>
      <c r="N97" s="338">
        <v>45859</v>
      </c>
      <c r="O97" s="373" t="s">
        <v>20</v>
      </c>
      <c r="P97" s="15"/>
      <c r="Q97" s="7"/>
      <c r="R97" s="7"/>
      <c r="S97" s="7"/>
      <c r="T97" s="8"/>
      <c r="U97" s="8"/>
    </row>
    <row r="98" spans="1:21" ht="51">
      <c r="A98" s="358" t="s">
        <v>228</v>
      </c>
      <c r="B98" s="339" t="s">
        <v>229</v>
      </c>
      <c r="C98" s="355">
        <v>45831</v>
      </c>
      <c r="D98" s="354">
        <v>1952460.71</v>
      </c>
      <c r="E98" s="366" t="s">
        <v>30</v>
      </c>
      <c r="F98" s="371" t="s">
        <v>26</v>
      </c>
      <c r="G98" s="357"/>
      <c r="H98" s="357"/>
      <c r="I98" s="357"/>
      <c r="J98" s="357"/>
      <c r="K98" s="340"/>
      <c r="L98" s="372" t="str">
        <f t="shared" si="1"/>
        <v/>
      </c>
      <c r="M98" s="340"/>
      <c r="N98" s="340"/>
      <c r="O98" s="373" t="s">
        <v>27</v>
      </c>
      <c r="P98" s="15"/>
      <c r="Q98" s="7"/>
      <c r="R98" s="7"/>
      <c r="S98" s="7"/>
      <c r="T98" s="8"/>
      <c r="U98" s="8"/>
    </row>
    <row r="99" spans="1:21" ht="63.75">
      <c r="A99" s="358" t="s">
        <v>230</v>
      </c>
      <c r="B99" s="339" t="s">
        <v>231</v>
      </c>
      <c r="C99" s="355">
        <v>45831</v>
      </c>
      <c r="D99" s="354">
        <v>13311.15</v>
      </c>
      <c r="E99" s="366" t="s">
        <v>18</v>
      </c>
      <c r="F99" s="371" t="s">
        <v>63</v>
      </c>
      <c r="G99" s="357"/>
      <c r="H99" s="357"/>
      <c r="I99" s="355">
        <v>45867</v>
      </c>
      <c r="J99" s="355">
        <v>45868</v>
      </c>
      <c r="K99" s="356">
        <v>30</v>
      </c>
      <c r="L99" s="372">
        <f t="shared" si="1"/>
        <v>45898</v>
      </c>
      <c r="M99" s="338">
        <v>45915</v>
      </c>
      <c r="N99" s="338">
        <v>45888</v>
      </c>
      <c r="O99" s="373" t="s">
        <v>20</v>
      </c>
      <c r="P99" s="15"/>
      <c r="Q99" s="7"/>
      <c r="R99" s="7"/>
      <c r="S99" s="7"/>
      <c r="T99" s="8"/>
      <c r="U99" s="8"/>
    </row>
    <row r="100" spans="1:21" ht="51">
      <c r="A100" s="358" t="s">
        <v>232</v>
      </c>
      <c r="B100" s="339" t="s">
        <v>233</v>
      </c>
      <c r="C100" s="355">
        <v>45825</v>
      </c>
      <c r="D100" s="354">
        <v>18480</v>
      </c>
      <c r="E100" s="366" t="s">
        <v>18</v>
      </c>
      <c r="F100" s="371" t="s">
        <v>63</v>
      </c>
      <c r="G100" s="357"/>
      <c r="H100" s="357"/>
      <c r="I100" s="355">
        <v>45895</v>
      </c>
      <c r="J100" s="355">
        <v>45896</v>
      </c>
      <c r="K100" s="356">
        <v>30</v>
      </c>
      <c r="L100" s="372">
        <f t="shared" si="1"/>
        <v>45926</v>
      </c>
      <c r="M100" s="338">
        <v>45924</v>
      </c>
      <c r="N100" s="338">
        <v>45929</v>
      </c>
      <c r="O100" s="373" t="s">
        <v>20</v>
      </c>
      <c r="P100" s="15"/>
      <c r="Q100" s="7"/>
      <c r="R100" s="7"/>
      <c r="S100" s="7"/>
      <c r="T100" s="8"/>
      <c r="U100" s="8"/>
    </row>
    <row r="101" spans="1:21" ht="38.25">
      <c r="A101" s="358" t="s">
        <v>234</v>
      </c>
      <c r="B101" s="339" t="s">
        <v>235</v>
      </c>
      <c r="C101" s="355">
        <v>45832</v>
      </c>
      <c r="D101" s="354">
        <v>72642.789999999994</v>
      </c>
      <c r="E101" s="366" t="s">
        <v>30</v>
      </c>
      <c r="F101" s="371" t="s">
        <v>19</v>
      </c>
      <c r="G101" s="357"/>
      <c r="H101" s="357"/>
      <c r="I101" s="355">
        <v>45922</v>
      </c>
      <c r="J101" s="355">
        <v>45924</v>
      </c>
      <c r="K101" s="356">
        <v>30</v>
      </c>
      <c r="L101" s="372">
        <f t="shared" si="1"/>
        <v>45954</v>
      </c>
      <c r="M101" s="340"/>
      <c r="N101" s="338">
        <v>45929</v>
      </c>
      <c r="O101" s="373" t="s">
        <v>20</v>
      </c>
      <c r="P101" s="15"/>
      <c r="Q101" s="7"/>
      <c r="R101" s="7"/>
      <c r="S101" s="7"/>
      <c r="T101" s="8"/>
      <c r="U101" s="8"/>
    </row>
    <row r="102" spans="1:21" ht="25.5">
      <c r="A102" s="358" t="s">
        <v>237</v>
      </c>
      <c r="B102" s="339" t="s">
        <v>238</v>
      </c>
      <c r="C102" s="355">
        <v>45397</v>
      </c>
      <c r="D102" s="354">
        <v>113955.01</v>
      </c>
      <c r="E102" s="366" t="s">
        <v>30</v>
      </c>
      <c r="F102" s="371" t="s">
        <v>23</v>
      </c>
      <c r="G102" s="355">
        <v>45594</v>
      </c>
      <c r="H102" s="355">
        <v>45861</v>
      </c>
      <c r="I102" s="355">
        <v>45867</v>
      </c>
      <c r="J102" s="355">
        <v>45870</v>
      </c>
      <c r="K102" s="356">
        <v>85</v>
      </c>
      <c r="L102" s="372">
        <f t="shared" si="1"/>
        <v>45955</v>
      </c>
      <c r="M102" s="340"/>
      <c r="N102" s="340"/>
      <c r="O102" s="373" t="s">
        <v>27</v>
      </c>
      <c r="P102" s="15"/>
      <c r="Q102" s="7"/>
      <c r="R102" s="7"/>
      <c r="S102" s="7"/>
      <c r="T102" s="8"/>
      <c r="U102" s="8"/>
    </row>
    <row r="103" spans="1:21" ht="51">
      <c r="A103" s="358" t="s">
        <v>239</v>
      </c>
      <c r="B103" s="339" t="s">
        <v>240</v>
      </c>
      <c r="C103" s="355">
        <v>45826</v>
      </c>
      <c r="D103" s="354">
        <v>208720</v>
      </c>
      <c r="E103" s="366" t="s">
        <v>30</v>
      </c>
      <c r="F103" s="371" t="s">
        <v>170</v>
      </c>
      <c r="G103" s="357"/>
      <c r="H103" s="355">
        <v>45910</v>
      </c>
      <c r="I103" s="355">
        <v>45918</v>
      </c>
      <c r="J103" s="355">
        <v>45922</v>
      </c>
      <c r="K103" s="356">
        <v>45</v>
      </c>
      <c r="L103" s="372">
        <f t="shared" si="1"/>
        <v>45967</v>
      </c>
      <c r="M103" s="338">
        <v>45957</v>
      </c>
      <c r="N103" s="340"/>
      <c r="O103" s="373" t="s">
        <v>27</v>
      </c>
      <c r="P103" s="15"/>
      <c r="Q103" s="7"/>
      <c r="R103" s="7"/>
      <c r="S103" s="7"/>
      <c r="T103" s="8"/>
      <c r="U103" s="8"/>
    </row>
    <row r="104" spans="1:21" ht="63.75">
      <c r="A104" s="358" t="s">
        <v>241</v>
      </c>
      <c r="B104" s="339" t="s">
        <v>242</v>
      </c>
      <c r="C104" s="355">
        <v>45544</v>
      </c>
      <c r="D104" s="354">
        <v>465017.4</v>
      </c>
      <c r="E104" s="366" t="s">
        <v>30</v>
      </c>
      <c r="F104" s="371" t="s">
        <v>26</v>
      </c>
      <c r="G104" s="357"/>
      <c r="H104" s="355">
        <v>45706</v>
      </c>
      <c r="I104" s="355">
        <v>45832</v>
      </c>
      <c r="J104" s="355">
        <v>45833</v>
      </c>
      <c r="K104" s="356">
        <v>30</v>
      </c>
      <c r="L104" s="372">
        <f t="shared" si="1"/>
        <v>45863</v>
      </c>
      <c r="M104" s="340"/>
      <c r="N104" s="338">
        <v>45863</v>
      </c>
      <c r="O104" s="373" t="s">
        <v>20</v>
      </c>
      <c r="P104" s="15"/>
      <c r="Q104" s="7"/>
      <c r="R104" s="7"/>
      <c r="S104" s="7"/>
      <c r="T104" s="8"/>
      <c r="U104" s="8"/>
    </row>
    <row r="105" spans="1:21" ht="63.75">
      <c r="A105" s="358" t="s">
        <v>243</v>
      </c>
      <c r="B105" s="339" t="s">
        <v>244</v>
      </c>
      <c r="C105" s="355">
        <v>45835</v>
      </c>
      <c r="D105" s="354">
        <v>26700</v>
      </c>
      <c r="E105" s="366" t="s">
        <v>30</v>
      </c>
      <c r="F105" s="371" t="s">
        <v>63</v>
      </c>
      <c r="G105" s="357"/>
      <c r="H105" s="355">
        <v>45950</v>
      </c>
      <c r="I105" s="355">
        <v>45961</v>
      </c>
      <c r="J105" s="355">
        <v>45952</v>
      </c>
      <c r="K105" s="356">
        <v>120</v>
      </c>
      <c r="L105" s="372">
        <f t="shared" si="1"/>
        <v>46072</v>
      </c>
      <c r="M105" s="338">
        <v>46045</v>
      </c>
      <c r="N105" s="340"/>
      <c r="O105" s="373" t="s">
        <v>27</v>
      </c>
      <c r="P105" s="15"/>
      <c r="Q105" s="7"/>
      <c r="R105" s="7"/>
      <c r="S105" s="7"/>
      <c r="T105" s="8"/>
      <c r="U105" s="8"/>
    </row>
    <row r="106" spans="1:21" ht="38.25">
      <c r="A106" s="358" t="s">
        <v>245</v>
      </c>
      <c r="B106" s="339" t="s">
        <v>246</v>
      </c>
      <c r="C106" s="355">
        <v>45832</v>
      </c>
      <c r="D106" s="354">
        <v>1650000</v>
      </c>
      <c r="E106" s="366" t="s">
        <v>30</v>
      </c>
      <c r="F106" s="371" t="s">
        <v>123</v>
      </c>
      <c r="G106" s="357"/>
      <c r="H106" s="357"/>
      <c r="I106" s="357"/>
      <c r="J106" s="357"/>
      <c r="K106" s="340"/>
      <c r="L106" s="372" t="str">
        <f t="shared" si="1"/>
        <v/>
      </c>
      <c r="M106" s="340"/>
      <c r="N106" s="340"/>
      <c r="O106" s="373" t="s">
        <v>47</v>
      </c>
      <c r="P106" s="15"/>
      <c r="Q106" s="7"/>
      <c r="R106" s="7"/>
      <c r="S106" s="7"/>
      <c r="T106" s="8"/>
      <c r="U106" s="8"/>
    </row>
    <row r="107" spans="1:21" ht="63.75">
      <c r="A107" s="358" t="s">
        <v>247</v>
      </c>
      <c r="B107" s="339" t="s">
        <v>248</v>
      </c>
      <c r="C107" s="355">
        <v>45842</v>
      </c>
      <c r="D107" s="354">
        <v>1102063</v>
      </c>
      <c r="E107" s="366" t="s">
        <v>30</v>
      </c>
      <c r="F107" s="371" t="s">
        <v>63</v>
      </c>
      <c r="G107" s="357"/>
      <c r="H107" s="357"/>
      <c r="I107" s="357"/>
      <c r="J107" s="357"/>
      <c r="K107" s="340"/>
      <c r="L107" s="372" t="str">
        <f t="shared" si="1"/>
        <v/>
      </c>
      <c r="M107" s="340"/>
      <c r="N107" s="340"/>
      <c r="O107" s="373" t="s">
        <v>47</v>
      </c>
      <c r="P107" s="15"/>
      <c r="Q107" s="7"/>
      <c r="R107" s="7"/>
      <c r="S107" s="7"/>
      <c r="T107" s="8"/>
      <c r="U107" s="8"/>
    </row>
    <row r="108" spans="1:21" ht="51">
      <c r="A108" s="358" t="s">
        <v>249</v>
      </c>
      <c r="B108" s="339" t="s">
        <v>250</v>
      </c>
      <c r="C108" s="355">
        <v>45838</v>
      </c>
      <c r="D108" s="354">
        <v>89960.16</v>
      </c>
      <c r="E108" s="366" t="s">
        <v>18</v>
      </c>
      <c r="F108" s="371" t="s">
        <v>44</v>
      </c>
      <c r="G108" s="355">
        <v>45586</v>
      </c>
      <c r="H108" s="357"/>
      <c r="I108" s="355">
        <v>45882</v>
      </c>
      <c r="J108" s="355">
        <v>45890</v>
      </c>
      <c r="K108" s="356">
        <v>90</v>
      </c>
      <c r="L108" s="372">
        <f t="shared" si="1"/>
        <v>45980</v>
      </c>
      <c r="M108" s="340"/>
      <c r="N108" s="340"/>
      <c r="O108" s="373" t="s">
        <v>27</v>
      </c>
      <c r="P108" s="15"/>
      <c r="Q108" s="7"/>
      <c r="R108" s="7"/>
      <c r="S108" s="7"/>
      <c r="T108" s="8"/>
      <c r="U108" s="8"/>
    </row>
    <row r="109" spans="1:21" ht="51">
      <c r="A109" s="358" t="s">
        <v>251</v>
      </c>
      <c r="B109" s="339" t="s">
        <v>252</v>
      </c>
      <c r="C109" s="355">
        <v>45818</v>
      </c>
      <c r="D109" s="354">
        <v>284631.71000000002</v>
      </c>
      <c r="E109" s="366" t="s">
        <v>30</v>
      </c>
      <c r="F109" s="371" t="s">
        <v>63</v>
      </c>
      <c r="G109" s="357"/>
      <c r="H109" s="357"/>
      <c r="I109" s="357"/>
      <c r="J109" s="357"/>
      <c r="K109" s="340"/>
      <c r="L109" s="372" t="str">
        <f t="shared" si="1"/>
        <v/>
      </c>
      <c r="M109" s="340"/>
      <c r="N109" s="340"/>
      <c r="O109" s="373" t="s">
        <v>27</v>
      </c>
      <c r="P109" s="15"/>
      <c r="Q109" s="7"/>
      <c r="R109" s="7"/>
      <c r="S109" s="7"/>
      <c r="T109" s="8"/>
      <c r="U109" s="8"/>
    </row>
    <row r="110" spans="1:21" ht="25.5">
      <c r="A110" s="358" t="s">
        <v>253</v>
      </c>
      <c r="B110" s="339" t="s">
        <v>254</v>
      </c>
      <c r="C110" s="355">
        <v>45796</v>
      </c>
      <c r="D110" s="354">
        <v>5340</v>
      </c>
      <c r="E110" s="366" t="s">
        <v>18</v>
      </c>
      <c r="F110" s="371" t="s">
        <v>19</v>
      </c>
      <c r="G110" s="357"/>
      <c r="H110" s="357"/>
      <c r="I110" s="355">
        <v>45877</v>
      </c>
      <c r="J110" s="355">
        <v>45880</v>
      </c>
      <c r="K110" s="356">
        <v>60</v>
      </c>
      <c r="L110" s="372">
        <f t="shared" si="1"/>
        <v>45940</v>
      </c>
      <c r="M110" s="340"/>
      <c r="N110" s="338">
        <v>45916</v>
      </c>
      <c r="O110" s="373" t="s">
        <v>20</v>
      </c>
      <c r="P110" s="15"/>
      <c r="Q110" s="7"/>
      <c r="R110" s="7"/>
      <c r="S110" s="7"/>
      <c r="T110" s="8"/>
      <c r="U110" s="8"/>
    </row>
    <row r="111" spans="1:21" ht="76.5">
      <c r="A111" s="358" t="s">
        <v>255</v>
      </c>
      <c r="B111" s="339" t="s">
        <v>256</v>
      </c>
      <c r="C111" s="355">
        <v>45847</v>
      </c>
      <c r="D111" s="354">
        <v>19954.560000000001</v>
      </c>
      <c r="E111" s="366" t="s">
        <v>18</v>
      </c>
      <c r="F111" s="371" t="s">
        <v>19</v>
      </c>
      <c r="G111" s="357"/>
      <c r="H111" s="355">
        <v>45939</v>
      </c>
      <c r="I111" s="355">
        <v>45904</v>
      </c>
      <c r="J111" s="355">
        <v>45940</v>
      </c>
      <c r="K111" s="356">
        <v>0</v>
      </c>
      <c r="L111" s="372">
        <f t="shared" si="1"/>
        <v>45940</v>
      </c>
      <c r="M111" s="340"/>
      <c r="N111" s="338">
        <v>45940</v>
      </c>
      <c r="O111" s="373" t="s">
        <v>20</v>
      </c>
      <c r="P111" s="15"/>
      <c r="Q111" s="7"/>
      <c r="R111" s="7"/>
      <c r="S111" s="7"/>
      <c r="T111" s="8"/>
      <c r="U111" s="8"/>
    </row>
    <row r="112" spans="1:21" ht="25.5">
      <c r="A112" s="358" t="s">
        <v>258</v>
      </c>
      <c r="B112" s="339" t="s">
        <v>259</v>
      </c>
      <c r="C112" s="355">
        <v>45796</v>
      </c>
      <c r="D112" s="354">
        <v>176179.26</v>
      </c>
      <c r="E112" s="366" t="s">
        <v>30</v>
      </c>
      <c r="F112" s="371" t="s">
        <v>23</v>
      </c>
      <c r="G112" s="357"/>
      <c r="H112" s="357"/>
      <c r="I112" s="357"/>
      <c r="J112" s="357"/>
      <c r="K112" s="340"/>
      <c r="L112" s="372" t="str">
        <f t="shared" si="1"/>
        <v/>
      </c>
      <c r="M112" s="340"/>
      <c r="N112" s="340"/>
      <c r="O112" s="373" t="s">
        <v>47</v>
      </c>
      <c r="P112" s="15"/>
      <c r="Q112" s="7"/>
      <c r="R112" s="7"/>
      <c r="S112" s="7"/>
      <c r="T112" s="8"/>
      <c r="U112" s="8"/>
    </row>
    <row r="113" spans="1:21" ht="63.75">
      <c r="A113" s="358" t="s">
        <v>260</v>
      </c>
      <c r="B113" s="339" t="s">
        <v>261</v>
      </c>
      <c r="C113" s="355">
        <v>45852</v>
      </c>
      <c r="D113" s="354">
        <v>323572.09999999998</v>
      </c>
      <c r="E113" s="366" t="s">
        <v>30</v>
      </c>
      <c r="F113" s="371" t="s">
        <v>63</v>
      </c>
      <c r="G113" s="357"/>
      <c r="H113" s="357"/>
      <c r="I113" s="355">
        <v>45940</v>
      </c>
      <c r="J113" s="355">
        <v>45943</v>
      </c>
      <c r="K113" s="356">
        <v>90</v>
      </c>
      <c r="L113" s="372">
        <f t="shared" si="1"/>
        <v>46033</v>
      </c>
      <c r="M113" s="340"/>
      <c r="N113" s="355">
        <v>45999</v>
      </c>
      <c r="O113" s="373" t="s">
        <v>20</v>
      </c>
      <c r="P113" s="15"/>
      <c r="Q113" s="7"/>
      <c r="R113" s="7"/>
      <c r="S113" s="7"/>
      <c r="T113" s="8"/>
      <c r="U113" s="8"/>
    </row>
    <row r="114" spans="1:21" ht="38.25">
      <c r="A114" s="358" t="s">
        <v>262</v>
      </c>
      <c r="B114" s="339" t="s">
        <v>263</v>
      </c>
      <c r="C114" s="355">
        <v>45630</v>
      </c>
      <c r="D114" s="354">
        <v>2817</v>
      </c>
      <c r="E114" s="366" t="s">
        <v>18</v>
      </c>
      <c r="F114" s="371" t="s">
        <v>44</v>
      </c>
      <c r="G114" s="357"/>
      <c r="H114" s="357"/>
      <c r="I114" s="355">
        <v>45854</v>
      </c>
      <c r="J114" s="355">
        <v>45855</v>
      </c>
      <c r="K114" s="356">
        <v>30</v>
      </c>
      <c r="L114" s="372">
        <f t="shared" si="1"/>
        <v>45885</v>
      </c>
      <c r="M114" s="340"/>
      <c r="N114" s="338">
        <v>45870</v>
      </c>
      <c r="O114" s="373" t="s">
        <v>20</v>
      </c>
      <c r="P114" s="15"/>
      <c r="Q114" s="7"/>
      <c r="R114" s="7"/>
      <c r="S114" s="7"/>
      <c r="T114" s="8"/>
      <c r="U114" s="8"/>
    </row>
    <row r="115" spans="1:21" ht="76.5">
      <c r="A115" s="358" t="s">
        <v>264</v>
      </c>
      <c r="B115" s="339" t="s">
        <v>265</v>
      </c>
      <c r="C115" s="355">
        <v>45856</v>
      </c>
      <c r="D115" s="354">
        <v>1650000</v>
      </c>
      <c r="E115" s="366" t="s">
        <v>30</v>
      </c>
      <c r="F115" s="371" t="s">
        <v>123</v>
      </c>
      <c r="G115" s="357"/>
      <c r="H115" s="357"/>
      <c r="I115" s="357"/>
      <c r="J115" s="357"/>
      <c r="K115" s="340"/>
      <c r="L115" s="372" t="str">
        <f t="shared" si="1"/>
        <v/>
      </c>
      <c r="M115" s="340"/>
      <c r="N115" s="340"/>
      <c r="O115" s="373" t="s">
        <v>27</v>
      </c>
      <c r="P115" s="15"/>
      <c r="Q115" s="7"/>
      <c r="R115" s="7"/>
      <c r="S115" s="7"/>
      <c r="T115" s="8"/>
      <c r="U115" s="8"/>
    </row>
    <row r="116" spans="1:21" ht="25.5">
      <c r="A116" s="358" t="s">
        <v>266</v>
      </c>
      <c r="B116" s="339" t="s">
        <v>267</v>
      </c>
      <c r="C116" s="355">
        <v>45856</v>
      </c>
      <c r="D116" s="354">
        <v>44054</v>
      </c>
      <c r="E116" s="366" t="s">
        <v>18</v>
      </c>
      <c r="F116" s="371" t="s">
        <v>19</v>
      </c>
      <c r="G116" s="357"/>
      <c r="H116" s="357"/>
      <c r="I116" s="355">
        <v>45924</v>
      </c>
      <c r="J116" s="355">
        <v>45929</v>
      </c>
      <c r="K116" s="356">
        <v>81</v>
      </c>
      <c r="L116" s="372">
        <f t="shared" si="1"/>
        <v>46010</v>
      </c>
      <c r="M116" s="340"/>
      <c r="N116" s="338">
        <v>45972</v>
      </c>
      <c r="O116" s="373" t="s">
        <v>20</v>
      </c>
      <c r="P116" s="15"/>
      <c r="Q116" s="7"/>
      <c r="R116" s="7"/>
      <c r="S116" s="7"/>
      <c r="T116" s="8"/>
      <c r="U116" s="8"/>
    </row>
    <row r="117" spans="1:21" ht="76.5">
      <c r="A117" s="358" t="s">
        <v>269</v>
      </c>
      <c r="B117" s="339" t="s">
        <v>270</v>
      </c>
      <c r="C117" s="355">
        <v>45861</v>
      </c>
      <c r="D117" s="354">
        <v>15880</v>
      </c>
      <c r="E117" s="366" t="s">
        <v>18</v>
      </c>
      <c r="F117" s="371" t="s">
        <v>63</v>
      </c>
      <c r="G117" s="357"/>
      <c r="H117" s="357"/>
      <c r="I117" s="357"/>
      <c r="J117" s="357"/>
      <c r="K117" s="340"/>
      <c r="L117" s="372" t="str">
        <f t="shared" si="1"/>
        <v/>
      </c>
      <c r="M117" s="340"/>
      <c r="N117" s="340"/>
      <c r="O117" s="373" t="s">
        <v>47</v>
      </c>
      <c r="P117" s="15"/>
      <c r="Q117" s="7"/>
      <c r="R117" s="7"/>
      <c r="S117" s="7"/>
      <c r="T117" s="8"/>
      <c r="U117" s="8"/>
    </row>
    <row r="118" spans="1:21" ht="76.5">
      <c r="A118" s="358" t="s">
        <v>272</v>
      </c>
      <c r="B118" s="339" t="s">
        <v>93</v>
      </c>
      <c r="C118" s="355">
        <v>45861</v>
      </c>
      <c r="D118" s="354">
        <v>3177</v>
      </c>
      <c r="E118" s="366" t="s">
        <v>18</v>
      </c>
      <c r="F118" s="371" t="s">
        <v>44</v>
      </c>
      <c r="G118" s="357"/>
      <c r="H118" s="357"/>
      <c r="I118" s="355">
        <v>45880</v>
      </c>
      <c r="J118" s="355">
        <v>45881</v>
      </c>
      <c r="K118" s="356">
        <v>30</v>
      </c>
      <c r="L118" s="372">
        <f t="shared" si="1"/>
        <v>45911</v>
      </c>
      <c r="M118" s="340"/>
      <c r="N118" s="338">
        <v>45883</v>
      </c>
      <c r="O118" s="373" t="s">
        <v>20</v>
      </c>
      <c r="P118" s="15"/>
      <c r="Q118" s="7"/>
      <c r="R118" s="7"/>
      <c r="S118" s="7"/>
      <c r="T118" s="8"/>
      <c r="U118" s="8"/>
    </row>
    <row r="119" spans="1:21" ht="63.75">
      <c r="A119" s="358" t="s">
        <v>273</v>
      </c>
      <c r="B119" s="339" t="s">
        <v>274</v>
      </c>
      <c r="C119" s="355">
        <v>45863</v>
      </c>
      <c r="D119" s="354">
        <v>4000</v>
      </c>
      <c r="E119" s="366" t="s">
        <v>18</v>
      </c>
      <c r="F119" s="371" t="s">
        <v>63</v>
      </c>
      <c r="G119" s="357"/>
      <c r="H119" s="357"/>
      <c r="I119" s="355">
        <v>45943</v>
      </c>
      <c r="J119" s="355">
        <v>45943</v>
      </c>
      <c r="K119" s="356">
        <v>30</v>
      </c>
      <c r="L119" s="372">
        <f t="shared" si="1"/>
        <v>45973</v>
      </c>
      <c r="M119" s="340"/>
      <c r="N119" s="338">
        <v>45989</v>
      </c>
      <c r="O119" s="373" t="s">
        <v>20</v>
      </c>
      <c r="P119" s="15"/>
      <c r="Q119" s="7"/>
      <c r="R119" s="7"/>
      <c r="S119" s="7"/>
      <c r="T119" s="8"/>
      <c r="U119" s="8"/>
    </row>
    <row r="120" spans="1:21" ht="63.75">
      <c r="A120" s="358" t="s">
        <v>275</v>
      </c>
      <c r="B120" s="339" t="s">
        <v>276</v>
      </c>
      <c r="C120" s="355">
        <v>45866</v>
      </c>
      <c r="D120" s="354">
        <v>1641</v>
      </c>
      <c r="E120" s="366" t="s">
        <v>18</v>
      </c>
      <c r="F120" s="371" t="s">
        <v>63</v>
      </c>
      <c r="G120" s="357"/>
      <c r="H120" s="357"/>
      <c r="I120" s="355">
        <v>45896</v>
      </c>
      <c r="J120" s="355">
        <v>45903</v>
      </c>
      <c r="K120" s="356">
        <v>30</v>
      </c>
      <c r="L120" s="372">
        <f t="shared" si="1"/>
        <v>45933</v>
      </c>
      <c r="M120" s="340"/>
      <c r="N120" s="338">
        <v>45917</v>
      </c>
      <c r="O120" s="373" t="s">
        <v>20</v>
      </c>
      <c r="P120" s="15"/>
      <c r="Q120" s="7"/>
      <c r="R120" s="7"/>
      <c r="S120" s="7"/>
      <c r="T120" s="8"/>
      <c r="U120" s="8"/>
    </row>
    <row r="121" spans="1:21" ht="76.5">
      <c r="A121" s="358" t="s">
        <v>278</v>
      </c>
      <c r="B121" s="339" t="s">
        <v>279</v>
      </c>
      <c r="C121" s="355">
        <v>45869</v>
      </c>
      <c r="D121" s="354">
        <v>538522.97</v>
      </c>
      <c r="E121" s="366" t="s">
        <v>18</v>
      </c>
      <c r="F121" s="371" t="s">
        <v>170</v>
      </c>
      <c r="G121" s="357"/>
      <c r="H121" s="355">
        <v>45974</v>
      </c>
      <c r="I121" s="355">
        <v>45985</v>
      </c>
      <c r="J121" s="355">
        <v>46007</v>
      </c>
      <c r="K121" s="356">
        <v>180</v>
      </c>
      <c r="L121" s="372">
        <f t="shared" si="1"/>
        <v>46187</v>
      </c>
      <c r="M121" s="340"/>
      <c r="N121" s="340"/>
      <c r="O121" s="373" t="s">
        <v>27</v>
      </c>
      <c r="P121" s="15"/>
      <c r="Q121" s="7"/>
      <c r="R121" s="7"/>
      <c r="S121" s="7"/>
      <c r="T121" s="8"/>
      <c r="U121" s="8"/>
    </row>
    <row r="122" spans="1:21" ht="38.25">
      <c r="A122" s="358" t="s">
        <v>280</v>
      </c>
      <c r="B122" s="339" t="s">
        <v>281</v>
      </c>
      <c r="C122" s="355">
        <v>45873</v>
      </c>
      <c r="D122" s="354">
        <v>5600</v>
      </c>
      <c r="E122" s="366" t="s">
        <v>18</v>
      </c>
      <c r="F122" s="371" t="s">
        <v>19</v>
      </c>
      <c r="G122" s="357"/>
      <c r="H122" s="357"/>
      <c r="I122" s="355">
        <v>45923</v>
      </c>
      <c r="J122" s="355">
        <v>45924</v>
      </c>
      <c r="K122" s="356">
        <v>30</v>
      </c>
      <c r="L122" s="372">
        <f t="shared" si="1"/>
        <v>45954</v>
      </c>
      <c r="M122" s="338">
        <v>45975</v>
      </c>
      <c r="N122" s="340"/>
      <c r="O122" s="373" t="s">
        <v>27</v>
      </c>
      <c r="P122" s="15"/>
      <c r="Q122" s="7"/>
      <c r="R122" s="7"/>
      <c r="S122" s="7"/>
      <c r="T122" s="8"/>
      <c r="U122" s="8"/>
    </row>
    <row r="123" spans="1:21" ht="12.75">
      <c r="A123" s="358" t="s">
        <v>283</v>
      </c>
      <c r="B123" s="339" t="s">
        <v>284</v>
      </c>
      <c r="C123" s="355">
        <v>45798</v>
      </c>
      <c r="D123" s="354">
        <v>41731.800000000003</v>
      </c>
      <c r="E123" s="366" t="s">
        <v>18</v>
      </c>
      <c r="F123" s="371" t="s">
        <v>44</v>
      </c>
      <c r="G123" s="357"/>
      <c r="H123" s="357"/>
      <c r="I123" s="357"/>
      <c r="J123" s="357"/>
      <c r="K123" s="340"/>
      <c r="L123" s="372" t="str">
        <f t="shared" si="1"/>
        <v/>
      </c>
      <c r="M123" s="340"/>
      <c r="N123" s="340"/>
      <c r="O123" s="373" t="s">
        <v>27</v>
      </c>
      <c r="P123" s="15"/>
      <c r="Q123" s="7"/>
      <c r="R123" s="7"/>
      <c r="S123" s="7"/>
      <c r="T123" s="8"/>
      <c r="U123" s="8"/>
    </row>
    <row r="124" spans="1:21" ht="12.75">
      <c r="A124" s="358" t="s">
        <v>285</v>
      </c>
      <c r="B124" s="339" t="s">
        <v>286</v>
      </c>
      <c r="C124" s="355">
        <v>45798</v>
      </c>
      <c r="D124" s="354">
        <v>112916.07</v>
      </c>
      <c r="E124" s="366" t="s">
        <v>18</v>
      </c>
      <c r="F124" s="371" t="s">
        <v>44</v>
      </c>
      <c r="G124" s="357"/>
      <c r="H124" s="357"/>
      <c r="I124" s="357"/>
      <c r="J124" s="357"/>
      <c r="K124" s="340"/>
      <c r="L124" s="372" t="str">
        <f t="shared" si="1"/>
        <v/>
      </c>
      <c r="M124" s="340"/>
      <c r="N124" s="340"/>
      <c r="O124" s="373" t="s">
        <v>27</v>
      </c>
      <c r="P124" s="15"/>
      <c r="Q124" s="7"/>
      <c r="R124" s="7"/>
      <c r="S124" s="7"/>
      <c r="T124" s="8"/>
      <c r="U124" s="8"/>
    </row>
    <row r="125" spans="1:21" ht="12.75">
      <c r="A125" s="358" t="s">
        <v>287</v>
      </c>
      <c r="B125" s="339" t="s">
        <v>288</v>
      </c>
      <c r="C125" s="355">
        <v>45798</v>
      </c>
      <c r="D125" s="354">
        <v>86613.78</v>
      </c>
      <c r="E125" s="366" t="s">
        <v>18</v>
      </c>
      <c r="F125" s="371" t="s">
        <v>44</v>
      </c>
      <c r="G125" s="357"/>
      <c r="H125" s="357"/>
      <c r="I125" s="357"/>
      <c r="J125" s="357"/>
      <c r="K125" s="340"/>
      <c r="L125" s="372" t="str">
        <f t="shared" si="1"/>
        <v/>
      </c>
      <c r="M125" s="340"/>
      <c r="N125" s="340"/>
      <c r="O125" s="373" t="s">
        <v>27</v>
      </c>
      <c r="P125" s="15"/>
      <c r="Q125" s="7"/>
      <c r="R125" s="7"/>
      <c r="S125" s="7"/>
      <c r="T125" s="8"/>
      <c r="U125" s="8"/>
    </row>
    <row r="126" spans="1:21" ht="25.5">
      <c r="A126" s="358" t="s">
        <v>289</v>
      </c>
      <c r="B126" s="339" t="s">
        <v>290</v>
      </c>
      <c r="C126" s="355">
        <v>45798</v>
      </c>
      <c r="D126" s="354">
        <v>75344.070000000007</v>
      </c>
      <c r="E126" s="366" t="s">
        <v>18</v>
      </c>
      <c r="F126" s="371" t="s">
        <v>44</v>
      </c>
      <c r="G126" s="357"/>
      <c r="H126" s="357"/>
      <c r="I126" s="357"/>
      <c r="J126" s="357"/>
      <c r="K126" s="340"/>
      <c r="L126" s="372" t="str">
        <f t="shared" si="1"/>
        <v/>
      </c>
      <c r="M126" s="340"/>
      <c r="N126" s="340"/>
      <c r="O126" s="373" t="s">
        <v>27</v>
      </c>
      <c r="P126" s="15"/>
      <c r="Q126" s="7"/>
      <c r="R126" s="7"/>
      <c r="S126" s="7"/>
      <c r="T126" s="8"/>
      <c r="U126" s="8"/>
    </row>
    <row r="127" spans="1:21" ht="25.5">
      <c r="A127" s="358" t="s">
        <v>291</v>
      </c>
      <c r="B127" s="339" t="s">
        <v>292</v>
      </c>
      <c r="C127" s="355">
        <v>45798</v>
      </c>
      <c r="D127" s="354">
        <v>46447.77</v>
      </c>
      <c r="E127" s="366" t="s">
        <v>18</v>
      </c>
      <c r="F127" s="371" t="s">
        <v>44</v>
      </c>
      <c r="G127" s="357"/>
      <c r="H127" s="357"/>
      <c r="I127" s="357"/>
      <c r="J127" s="357"/>
      <c r="K127" s="340"/>
      <c r="L127" s="372" t="str">
        <f t="shared" si="1"/>
        <v/>
      </c>
      <c r="M127" s="340"/>
      <c r="N127" s="340"/>
      <c r="O127" s="373" t="s">
        <v>27</v>
      </c>
      <c r="P127" s="15"/>
      <c r="Q127" s="7"/>
      <c r="R127" s="7"/>
      <c r="S127" s="7"/>
      <c r="T127" s="8"/>
      <c r="U127" s="8"/>
    </row>
    <row r="128" spans="1:21" ht="25.5">
      <c r="A128" s="358" t="s">
        <v>293</v>
      </c>
      <c r="B128" s="339" t="s">
        <v>294</v>
      </c>
      <c r="C128" s="355">
        <v>45798</v>
      </c>
      <c r="D128" s="354">
        <v>73481.55</v>
      </c>
      <c r="E128" s="366" t="s">
        <v>18</v>
      </c>
      <c r="F128" s="371" t="s">
        <v>44</v>
      </c>
      <c r="G128" s="357"/>
      <c r="H128" s="357"/>
      <c r="I128" s="357"/>
      <c r="J128" s="357"/>
      <c r="K128" s="340"/>
      <c r="L128" s="372" t="str">
        <f t="shared" si="1"/>
        <v/>
      </c>
      <c r="M128" s="340"/>
      <c r="N128" s="340"/>
      <c r="O128" s="373" t="s">
        <v>27</v>
      </c>
      <c r="P128" s="15"/>
      <c r="Q128" s="7"/>
      <c r="R128" s="7"/>
      <c r="S128" s="7"/>
      <c r="T128" s="8"/>
      <c r="U128" s="8"/>
    </row>
    <row r="129" spans="1:21" ht="25.5">
      <c r="A129" s="358" t="s">
        <v>295</v>
      </c>
      <c r="B129" s="339" t="s">
        <v>296</v>
      </c>
      <c r="C129" s="355">
        <v>45798</v>
      </c>
      <c r="D129" s="354">
        <v>41515.14</v>
      </c>
      <c r="E129" s="366" t="s">
        <v>18</v>
      </c>
      <c r="F129" s="371" t="s">
        <v>44</v>
      </c>
      <c r="G129" s="357"/>
      <c r="H129" s="357"/>
      <c r="I129" s="357"/>
      <c r="J129" s="357"/>
      <c r="K129" s="340"/>
      <c r="L129" s="372" t="str">
        <f t="shared" si="1"/>
        <v/>
      </c>
      <c r="M129" s="340"/>
      <c r="N129" s="340"/>
      <c r="O129" s="373" t="s">
        <v>27</v>
      </c>
      <c r="P129" s="15"/>
      <c r="Q129" s="7"/>
      <c r="R129" s="7"/>
      <c r="S129" s="7"/>
      <c r="T129" s="8"/>
      <c r="U129" s="8"/>
    </row>
    <row r="130" spans="1:21" ht="25.5">
      <c r="A130" s="358" t="s">
        <v>297</v>
      </c>
      <c r="B130" s="339" t="s">
        <v>298</v>
      </c>
      <c r="C130" s="355">
        <v>45877</v>
      </c>
      <c r="D130" s="354">
        <v>1361</v>
      </c>
      <c r="E130" s="366" t="s">
        <v>30</v>
      </c>
      <c r="F130" s="371" t="s">
        <v>19</v>
      </c>
      <c r="G130" s="357"/>
      <c r="H130" s="357"/>
      <c r="I130" s="357"/>
      <c r="J130" s="357"/>
      <c r="K130" s="356">
        <v>30</v>
      </c>
      <c r="L130" s="372" t="str">
        <f t="shared" si="1"/>
        <v/>
      </c>
      <c r="M130" s="340"/>
      <c r="N130" s="340"/>
      <c r="O130" s="373" t="s">
        <v>47</v>
      </c>
      <c r="P130" s="15"/>
      <c r="Q130" s="7"/>
      <c r="R130" s="7"/>
      <c r="S130" s="7"/>
      <c r="T130" s="8"/>
      <c r="U130" s="8"/>
    </row>
    <row r="131" spans="1:21" ht="38.25">
      <c r="A131" s="358" t="s">
        <v>300</v>
      </c>
      <c r="B131" s="339" t="s">
        <v>301</v>
      </c>
      <c r="C131" s="355">
        <v>45562</v>
      </c>
      <c r="D131" s="354">
        <v>23600</v>
      </c>
      <c r="E131" s="366" t="s">
        <v>30</v>
      </c>
      <c r="F131" s="371" t="s">
        <v>63</v>
      </c>
      <c r="G131" s="357"/>
      <c r="H131" s="355">
        <v>45618</v>
      </c>
      <c r="I131" s="355">
        <v>45632</v>
      </c>
      <c r="J131" s="355">
        <v>45632</v>
      </c>
      <c r="K131" s="356">
        <v>120</v>
      </c>
      <c r="L131" s="372">
        <f t="shared" si="1"/>
        <v>45752</v>
      </c>
      <c r="M131" s="340"/>
      <c r="N131" s="338">
        <v>45706</v>
      </c>
      <c r="O131" s="373" t="s">
        <v>20</v>
      </c>
      <c r="P131" s="15"/>
      <c r="Q131" s="7"/>
      <c r="R131" s="7"/>
      <c r="S131" s="7"/>
      <c r="T131" s="8"/>
      <c r="U131" s="8"/>
    </row>
    <row r="132" spans="1:21" ht="38.25">
      <c r="A132" s="358" t="s">
        <v>302</v>
      </c>
      <c r="B132" s="339" t="s">
        <v>303</v>
      </c>
      <c r="C132" s="355">
        <v>45558</v>
      </c>
      <c r="D132" s="354">
        <v>21711.599999999999</v>
      </c>
      <c r="E132" s="366" t="s">
        <v>30</v>
      </c>
      <c r="F132" s="371" t="s">
        <v>63</v>
      </c>
      <c r="G132" s="357"/>
      <c r="H132" s="355">
        <v>45645</v>
      </c>
      <c r="I132" s="355">
        <v>45695</v>
      </c>
      <c r="J132" s="355">
        <v>45909</v>
      </c>
      <c r="K132" s="356">
        <v>180</v>
      </c>
      <c r="L132" s="372">
        <f t="shared" si="1"/>
        <v>46089</v>
      </c>
      <c r="M132" s="340"/>
      <c r="N132" s="338">
        <v>45932</v>
      </c>
      <c r="O132" s="373" t="s">
        <v>20</v>
      </c>
      <c r="P132" s="15"/>
      <c r="Q132" s="7"/>
      <c r="R132" s="7"/>
      <c r="S132" s="7"/>
      <c r="T132" s="8"/>
      <c r="U132" s="8"/>
    </row>
    <row r="133" spans="1:21" ht="51">
      <c r="A133" s="358" t="s">
        <v>304</v>
      </c>
      <c r="B133" s="339" t="s">
        <v>305</v>
      </c>
      <c r="C133" s="355">
        <v>45882</v>
      </c>
      <c r="D133" s="354">
        <v>6790</v>
      </c>
      <c r="E133" s="366" t="s">
        <v>30</v>
      </c>
      <c r="F133" s="371" t="s">
        <v>170</v>
      </c>
      <c r="G133" s="357"/>
      <c r="H133" s="357"/>
      <c r="I133" s="355">
        <v>45974</v>
      </c>
      <c r="J133" s="355">
        <v>45980</v>
      </c>
      <c r="K133" s="356">
        <v>60</v>
      </c>
      <c r="L133" s="372">
        <f t="shared" si="1"/>
        <v>46040</v>
      </c>
      <c r="M133" s="340"/>
      <c r="N133" s="340"/>
      <c r="O133" s="373" t="s">
        <v>27</v>
      </c>
      <c r="P133" s="15"/>
      <c r="Q133" s="7"/>
      <c r="R133" s="7"/>
      <c r="S133" s="7"/>
      <c r="T133" s="8"/>
      <c r="U133" s="8"/>
    </row>
    <row r="134" spans="1:21" ht="63.75">
      <c r="A134" s="358" t="s">
        <v>306</v>
      </c>
      <c r="B134" s="339" t="s">
        <v>307</v>
      </c>
      <c r="C134" s="355">
        <v>45883</v>
      </c>
      <c r="D134" s="354">
        <v>9280</v>
      </c>
      <c r="E134" s="366" t="s">
        <v>18</v>
      </c>
      <c r="F134" s="371" t="s">
        <v>63</v>
      </c>
      <c r="G134" s="357"/>
      <c r="H134" s="355">
        <v>45936</v>
      </c>
      <c r="I134" s="355">
        <v>45978</v>
      </c>
      <c r="J134" s="355">
        <v>45936</v>
      </c>
      <c r="K134" s="356">
        <v>60</v>
      </c>
      <c r="L134" s="372">
        <f t="shared" si="1"/>
        <v>45996</v>
      </c>
      <c r="M134" s="338">
        <v>45986</v>
      </c>
      <c r="N134" s="338">
        <v>45986</v>
      </c>
      <c r="O134" s="373" t="s">
        <v>20</v>
      </c>
      <c r="P134" s="15"/>
      <c r="Q134" s="7"/>
      <c r="R134" s="7"/>
      <c r="S134" s="7"/>
      <c r="T134" s="8"/>
      <c r="U134" s="8"/>
    </row>
    <row r="135" spans="1:21" ht="89.25">
      <c r="A135" s="358" t="s">
        <v>308</v>
      </c>
      <c r="B135" s="339" t="s">
        <v>309</v>
      </c>
      <c r="C135" s="355">
        <v>45315</v>
      </c>
      <c r="D135" s="354">
        <v>2503120.12</v>
      </c>
      <c r="E135" s="366" t="s">
        <v>30</v>
      </c>
      <c r="F135" s="371" t="s">
        <v>23</v>
      </c>
      <c r="G135" s="355">
        <v>45756</v>
      </c>
      <c r="H135" s="355">
        <v>45870</v>
      </c>
      <c r="I135" s="355">
        <v>45883</v>
      </c>
      <c r="J135" s="355">
        <v>45883</v>
      </c>
      <c r="K135" s="356">
        <v>90</v>
      </c>
      <c r="L135" s="372">
        <f t="shared" si="1"/>
        <v>45973</v>
      </c>
      <c r="M135" s="340"/>
      <c r="N135" s="340"/>
      <c r="O135" s="373" t="s">
        <v>27</v>
      </c>
      <c r="P135" s="15"/>
      <c r="Q135" s="7"/>
      <c r="R135" s="7"/>
      <c r="S135" s="7"/>
      <c r="T135" s="8"/>
      <c r="U135" s="8"/>
    </row>
    <row r="136" spans="1:21" ht="51">
      <c r="A136" s="358" t="s">
        <v>310</v>
      </c>
      <c r="B136" s="339" t="s">
        <v>311</v>
      </c>
      <c r="C136" s="355">
        <v>45882</v>
      </c>
      <c r="D136" s="354">
        <v>2355</v>
      </c>
      <c r="E136" s="366" t="s">
        <v>18</v>
      </c>
      <c r="F136" s="371" t="s">
        <v>63</v>
      </c>
      <c r="G136" s="357"/>
      <c r="H136" s="357"/>
      <c r="I136" s="355">
        <v>45967</v>
      </c>
      <c r="J136" s="355">
        <v>45972</v>
      </c>
      <c r="K136" s="356">
        <v>30</v>
      </c>
      <c r="L136" s="372">
        <f t="shared" si="1"/>
        <v>46002</v>
      </c>
      <c r="M136" s="340"/>
      <c r="N136" s="340"/>
      <c r="O136" s="373" t="s">
        <v>27</v>
      </c>
      <c r="P136" s="15"/>
      <c r="Q136" s="7"/>
      <c r="R136" s="7"/>
      <c r="S136" s="7"/>
      <c r="T136" s="8"/>
      <c r="U136" s="8"/>
    </row>
    <row r="137" spans="1:21" ht="63.75">
      <c r="A137" s="358" t="s">
        <v>312</v>
      </c>
      <c r="B137" s="339" t="s">
        <v>313</v>
      </c>
      <c r="C137" s="355">
        <v>45888</v>
      </c>
      <c r="D137" s="354">
        <v>3234</v>
      </c>
      <c r="E137" s="366" t="s">
        <v>18</v>
      </c>
      <c r="F137" s="371" t="s">
        <v>63</v>
      </c>
      <c r="G137" s="357"/>
      <c r="H137" s="357"/>
      <c r="I137" s="355">
        <v>45925</v>
      </c>
      <c r="J137" s="355">
        <v>45929</v>
      </c>
      <c r="K137" s="356">
        <v>10</v>
      </c>
      <c r="L137" s="372">
        <f t="shared" si="1"/>
        <v>45939</v>
      </c>
      <c r="M137" s="340"/>
      <c r="N137" s="338">
        <v>45936</v>
      </c>
      <c r="O137" s="373" t="s">
        <v>20</v>
      </c>
      <c r="P137" s="15"/>
      <c r="Q137" s="7"/>
      <c r="R137" s="7"/>
      <c r="S137" s="7"/>
      <c r="T137" s="8"/>
      <c r="U137" s="8"/>
    </row>
    <row r="138" spans="1:21" ht="63.75">
      <c r="A138" s="358" t="s">
        <v>314</v>
      </c>
      <c r="B138" s="339" t="s">
        <v>315</v>
      </c>
      <c r="C138" s="355">
        <v>45888</v>
      </c>
      <c r="D138" s="354">
        <v>53404.18</v>
      </c>
      <c r="E138" s="366" t="s">
        <v>18</v>
      </c>
      <c r="F138" s="371" t="s">
        <v>44</v>
      </c>
      <c r="G138" s="357"/>
      <c r="H138" s="355">
        <v>45945</v>
      </c>
      <c r="I138" s="355">
        <v>45953</v>
      </c>
      <c r="J138" s="355">
        <v>45954</v>
      </c>
      <c r="K138" s="356">
        <v>2</v>
      </c>
      <c r="L138" s="372">
        <f t="shared" si="1"/>
        <v>45956</v>
      </c>
      <c r="M138" s="340"/>
      <c r="N138" s="338">
        <v>45956</v>
      </c>
      <c r="O138" s="373" t="s">
        <v>20</v>
      </c>
      <c r="P138" s="15"/>
      <c r="Q138" s="7"/>
      <c r="R138" s="7"/>
      <c r="S138" s="7"/>
      <c r="T138" s="8"/>
      <c r="U138" s="8"/>
    </row>
    <row r="139" spans="1:21" ht="51">
      <c r="A139" s="358" t="s">
        <v>316</v>
      </c>
      <c r="B139" s="339" t="s">
        <v>317</v>
      </c>
      <c r="C139" s="355">
        <v>45889</v>
      </c>
      <c r="D139" s="354">
        <v>1876357.8</v>
      </c>
      <c r="E139" s="366" t="s">
        <v>30</v>
      </c>
      <c r="F139" s="371" t="s">
        <v>23</v>
      </c>
      <c r="G139" s="357"/>
      <c r="H139" s="357"/>
      <c r="I139" s="357"/>
      <c r="J139" s="357"/>
      <c r="K139" s="340"/>
      <c r="L139" s="372" t="str">
        <f t="shared" si="1"/>
        <v/>
      </c>
      <c r="M139" s="340"/>
      <c r="N139" s="340"/>
      <c r="O139" s="373" t="s">
        <v>47</v>
      </c>
      <c r="P139" s="15"/>
      <c r="Q139" s="7"/>
      <c r="R139" s="7"/>
      <c r="S139" s="7"/>
      <c r="T139" s="8"/>
      <c r="U139" s="8"/>
    </row>
    <row r="140" spans="1:21" ht="63.75">
      <c r="A140" s="358" t="s">
        <v>318</v>
      </c>
      <c r="B140" s="339" t="s">
        <v>319</v>
      </c>
      <c r="C140" s="355">
        <v>45889</v>
      </c>
      <c r="D140" s="354">
        <v>11200</v>
      </c>
      <c r="E140" s="366" t="s">
        <v>18</v>
      </c>
      <c r="F140" s="371" t="s">
        <v>44</v>
      </c>
      <c r="G140" s="357"/>
      <c r="H140" s="357"/>
      <c r="I140" s="355">
        <v>45905</v>
      </c>
      <c r="J140" s="355">
        <v>45909</v>
      </c>
      <c r="K140" s="356">
        <v>30</v>
      </c>
      <c r="L140" s="372">
        <f t="shared" si="1"/>
        <v>45939</v>
      </c>
      <c r="M140" s="340"/>
      <c r="N140" s="338">
        <v>45940</v>
      </c>
      <c r="O140" s="373" t="s">
        <v>20</v>
      </c>
      <c r="P140" s="15"/>
      <c r="Q140" s="7"/>
      <c r="R140" s="7"/>
      <c r="S140" s="7"/>
      <c r="T140" s="8"/>
      <c r="U140" s="8"/>
    </row>
    <row r="141" spans="1:21" ht="25.5">
      <c r="A141" s="358" t="s">
        <v>320</v>
      </c>
      <c r="B141" s="368" t="s">
        <v>321</v>
      </c>
      <c r="C141" s="355">
        <v>45889</v>
      </c>
      <c r="D141" s="354">
        <v>1685780</v>
      </c>
      <c r="E141" s="366" t="s">
        <v>30</v>
      </c>
      <c r="F141" s="371" t="s">
        <v>123</v>
      </c>
      <c r="G141" s="357"/>
      <c r="H141" s="357"/>
      <c r="I141" s="357"/>
      <c r="J141" s="357"/>
      <c r="K141" s="340"/>
      <c r="L141" s="372" t="str">
        <f t="shared" si="1"/>
        <v/>
      </c>
      <c r="M141" s="340"/>
      <c r="N141" s="340"/>
      <c r="O141" s="373" t="s">
        <v>47</v>
      </c>
      <c r="P141" s="15"/>
      <c r="Q141" s="7"/>
      <c r="R141" s="7"/>
      <c r="S141" s="7"/>
      <c r="T141" s="8"/>
      <c r="U141" s="8"/>
    </row>
    <row r="142" spans="1:21" ht="51">
      <c r="A142" s="358" t="s">
        <v>323</v>
      </c>
      <c r="B142" s="368" t="s">
        <v>324</v>
      </c>
      <c r="C142" s="355">
        <v>45890</v>
      </c>
      <c r="D142" s="354">
        <v>1005957.3</v>
      </c>
      <c r="E142" s="366" t="s">
        <v>30</v>
      </c>
      <c r="F142" s="371" t="s">
        <v>123</v>
      </c>
      <c r="G142" s="357"/>
      <c r="H142" s="357"/>
      <c r="I142" s="357"/>
      <c r="J142" s="357"/>
      <c r="K142" s="340"/>
      <c r="L142" s="372" t="str">
        <f t="shared" si="1"/>
        <v/>
      </c>
      <c r="M142" s="340"/>
      <c r="N142" s="340"/>
      <c r="O142" s="373" t="s">
        <v>47</v>
      </c>
      <c r="P142" s="15"/>
      <c r="Q142" s="7"/>
      <c r="R142" s="7"/>
      <c r="S142" s="7"/>
      <c r="T142" s="8"/>
      <c r="U142" s="8"/>
    </row>
    <row r="143" spans="1:21" ht="51">
      <c r="A143" s="358" t="s">
        <v>326</v>
      </c>
      <c r="B143" s="339" t="s">
        <v>327</v>
      </c>
      <c r="C143" s="355">
        <v>45890</v>
      </c>
      <c r="D143" s="354">
        <v>29600</v>
      </c>
      <c r="E143" s="366" t="s">
        <v>30</v>
      </c>
      <c r="F143" s="371" t="s">
        <v>63</v>
      </c>
      <c r="G143" s="357"/>
      <c r="H143" s="355">
        <v>45975</v>
      </c>
      <c r="I143" s="355">
        <v>45986</v>
      </c>
      <c r="J143" s="355">
        <v>45975</v>
      </c>
      <c r="K143" s="356">
        <v>180</v>
      </c>
      <c r="L143" s="372">
        <f t="shared" si="1"/>
        <v>46155</v>
      </c>
      <c r="M143" s="338">
        <v>46127</v>
      </c>
      <c r="N143" s="340"/>
      <c r="O143" s="373" t="s">
        <v>27</v>
      </c>
      <c r="P143" s="15"/>
      <c r="Q143" s="7"/>
      <c r="R143" s="7"/>
      <c r="S143" s="7"/>
      <c r="T143" s="8"/>
      <c r="U143" s="8"/>
    </row>
    <row r="144" spans="1:21" ht="51">
      <c r="A144" s="358" t="s">
        <v>328</v>
      </c>
      <c r="B144" s="339" t="s">
        <v>329</v>
      </c>
      <c r="C144" s="355">
        <v>45887</v>
      </c>
      <c r="D144" s="354">
        <v>681597.98</v>
      </c>
      <c r="E144" s="366" t="s">
        <v>30</v>
      </c>
      <c r="F144" s="371" t="s">
        <v>123</v>
      </c>
      <c r="G144" s="357"/>
      <c r="H144" s="355">
        <v>45980</v>
      </c>
      <c r="I144" s="355">
        <v>45989</v>
      </c>
      <c r="J144" s="355">
        <v>45980</v>
      </c>
      <c r="K144" s="356">
        <v>180</v>
      </c>
      <c r="L144" s="372">
        <f t="shared" si="1"/>
        <v>46160</v>
      </c>
      <c r="M144" s="338">
        <v>46127</v>
      </c>
      <c r="N144" s="340"/>
      <c r="O144" s="373" t="s">
        <v>27</v>
      </c>
      <c r="P144" s="15"/>
      <c r="Q144" s="7"/>
      <c r="R144" s="7"/>
      <c r="S144" s="7"/>
      <c r="T144" s="8"/>
      <c r="U144" s="8"/>
    </row>
    <row r="145" spans="1:21" ht="25.5">
      <c r="A145" s="358" t="s">
        <v>330</v>
      </c>
      <c r="B145" s="339" t="s">
        <v>331</v>
      </c>
      <c r="C145" s="355">
        <v>45890</v>
      </c>
      <c r="D145" s="354">
        <v>60699.75</v>
      </c>
      <c r="E145" s="366" t="s">
        <v>30</v>
      </c>
      <c r="F145" s="371" t="s">
        <v>123</v>
      </c>
      <c r="G145" s="357"/>
      <c r="H145" s="355">
        <v>45939</v>
      </c>
      <c r="I145" s="355">
        <v>45974</v>
      </c>
      <c r="J145" s="355">
        <v>45943</v>
      </c>
      <c r="K145" s="356">
        <v>120</v>
      </c>
      <c r="L145" s="372">
        <f t="shared" si="1"/>
        <v>46063</v>
      </c>
      <c r="M145" s="338">
        <v>46037</v>
      </c>
      <c r="N145" s="340"/>
      <c r="O145" s="373" t="s">
        <v>27</v>
      </c>
      <c r="P145" s="15"/>
      <c r="Q145" s="7"/>
      <c r="R145" s="7"/>
      <c r="S145" s="7"/>
      <c r="T145" s="8"/>
      <c r="U145" s="8"/>
    </row>
    <row r="146" spans="1:21" ht="51">
      <c r="A146" s="358" t="s">
        <v>332</v>
      </c>
      <c r="B146" s="339" t="s">
        <v>333</v>
      </c>
      <c r="C146" s="355">
        <v>45929</v>
      </c>
      <c r="D146" s="354">
        <v>49913.69</v>
      </c>
      <c r="E146" s="366" t="s">
        <v>18</v>
      </c>
      <c r="F146" s="371" t="s">
        <v>19</v>
      </c>
      <c r="G146" s="357"/>
      <c r="H146" s="357"/>
      <c r="I146" s="355">
        <v>45971</v>
      </c>
      <c r="J146" s="355">
        <v>45986</v>
      </c>
      <c r="K146" s="356">
        <v>60</v>
      </c>
      <c r="L146" s="372">
        <f t="shared" si="1"/>
        <v>46046</v>
      </c>
      <c r="M146" s="340"/>
      <c r="N146" s="340"/>
      <c r="O146" s="373" t="s">
        <v>27</v>
      </c>
      <c r="P146" s="15"/>
      <c r="Q146" s="7"/>
      <c r="R146" s="7"/>
      <c r="S146" s="7"/>
      <c r="T146" s="8"/>
      <c r="U146" s="8"/>
    </row>
    <row r="147" spans="1:21" ht="51">
      <c r="A147" s="358" t="s">
        <v>334</v>
      </c>
      <c r="B147" s="339" t="s">
        <v>335</v>
      </c>
      <c r="C147" s="355">
        <v>45901</v>
      </c>
      <c r="D147" s="354">
        <v>990000</v>
      </c>
      <c r="E147" s="366" t="s">
        <v>30</v>
      </c>
      <c r="F147" s="371" t="s">
        <v>26</v>
      </c>
      <c r="G147" s="357"/>
      <c r="H147" s="357"/>
      <c r="I147" s="357"/>
      <c r="J147" s="357"/>
      <c r="K147" s="340"/>
      <c r="L147" s="372" t="str">
        <f t="shared" si="1"/>
        <v/>
      </c>
      <c r="M147" s="340"/>
      <c r="N147" s="340"/>
      <c r="O147" s="373" t="s">
        <v>27</v>
      </c>
      <c r="P147" s="15"/>
      <c r="Q147" s="7"/>
      <c r="R147" s="7"/>
      <c r="S147" s="7"/>
      <c r="T147" s="8"/>
      <c r="U147" s="8"/>
    </row>
    <row r="148" spans="1:21" ht="76.5">
      <c r="A148" s="358" t="s">
        <v>336</v>
      </c>
      <c r="B148" s="339" t="s">
        <v>337</v>
      </c>
      <c r="C148" s="355">
        <v>45904</v>
      </c>
      <c r="D148" s="354">
        <v>345421.81</v>
      </c>
      <c r="E148" s="366" t="s">
        <v>18</v>
      </c>
      <c r="F148" s="371" t="s">
        <v>123</v>
      </c>
      <c r="G148" s="357"/>
      <c r="H148" s="355">
        <v>45996</v>
      </c>
      <c r="I148" s="357"/>
      <c r="J148" s="355">
        <v>45996</v>
      </c>
      <c r="K148" s="356">
        <v>90</v>
      </c>
      <c r="L148" s="372">
        <f t="shared" si="1"/>
        <v>46086</v>
      </c>
      <c r="M148" s="340"/>
      <c r="N148" s="340"/>
      <c r="O148" s="373" t="s">
        <v>27</v>
      </c>
      <c r="P148" s="15"/>
      <c r="Q148" s="7"/>
      <c r="R148" s="7"/>
      <c r="S148" s="7"/>
      <c r="T148" s="8"/>
      <c r="U148" s="8"/>
    </row>
    <row r="149" spans="1:21" ht="25.5">
      <c r="A149" s="358" t="s">
        <v>338</v>
      </c>
      <c r="B149" s="339" t="s">
        <v>339</v>
      </c>
      <c r="C149" s="355">
        <v>45807</v>
      </c>
      <c r="D149" s="354">
        <v>97250.5</v>
      </c>
      <c r="E149" s="366" t="s">
        <v>18</v>
      </c>
      <c r="F149" s="371" t="s">
        <v>44</v>
      </c>
      <c r="G149" s="357"/>
      <c r="H149" s="357"/>
      <c r="I149" s="357"/>
      <c r="J149" s="357"/>
      <c r="K149" s="340"/>
      <c r="L149" s="372" t="str">
        <f t="shared" si="1"/>
        <v/>
      </c>
      <c r="M149" s="340"/>
      <c r="N149" s="340"/>
      <c r="O149" s="373" t="s">
        <v>27</v>
      </c>
      <c r="P149" s="15"/>
      <c r="Q149" s="7"/>
      <c r="R149" s="7"/>
      <c r="S149" s="7"/>
      <c r="T149" s="8"/>
      <c r="U149" s="8"/>
    </row>
    <row r="150" spans="1:21" ht="63.75">
      <c r="A150" s="358" t="s">
        <v>340</v>
      </c>
      <c r="B150" s="339" t="s">
        <v>341</v>
      </c>
      <c r="C150" s="355">
        <v>45910</v>
      </c>
      <c r="D150" s="354">
        <v>60703.44</v>
      </c>
      <c r="E150" s="366" t="s">
        <v>18</v>
      </c>
      <c r="F150" s="371" t="s">
        <v>44</v>
      </c>
      <c r="G150" s="357"/>
      <c r="H150" s="357"/>
      <c r="I150" s="355">
        <v>45985</v>
      </c>
      <c r="J150" s="355">
        <v>45986</v>
      </c>
      <c r="K150" s="356">
        <v>30</v>
      </c>
      <c r="L150" s="372">
        <f t="shared" si="1"/>
        <v>46016</v>
      </c>
      <c r="M150" s="340"/>
      <c r="N150" s="340"/>
      <c r="O150" s="373" t="s">
        <v>27</v>
      </c>
      <c r="P150" s="15"/>
      <c r="Q150" s="7"/>
      <c r="R150" s="7"/>
      <c r="S150" s="7"/>
      <c r="T150" s="8"/>
      <c r="U150" s="8"/>
    </row>
    <row r="151" spans="1:21" ht="63.75">
      <c r="A151" s="358" t="s">
        <v>343</v>
      </c>
      <c r="B151" s="339" t="s">
        <v>344</v>
      </c>
      <c r="C151" s="355">
        <v>45911</v>
      </c>
      <c r="D151" s="354">
        <v>56473.2</v>
      </c>
      <c r="E151" s="366" t="s">
        <v>18</v>
      </c>
      <c r="F151" s="371" t="s">
        <v>44</v>
      </c>
      <c r="G151" s="357"/>
      <c r="H151" s="357"/>
      <c r="I151" s="355">
        <v>45985</v>
      </c>
      <c r="J151" s="355">
        <v>45986</v>
      </c>
      <c r="K151" s="356">
        <v>30</v>
      </c>
      <c r="L151" s="372">
        <f t="shared" si="1"/>
        <v>46016</v>
      </c>
      <c r="M151" s="340"/>
      <c r="N151" s="338">
        <v>45989</v>
      </c>
      <c r="O151" s="373" t="s">
        <v>20</v>
      </c>
      <c r="P151" s="15"/>
      <c r="Q151" s="7"/>
      <c r="R151" s="7"/>
      <c r="S151" s="7"/>
      <c r="T151" s="8"/>
      <c r="U151" s="8"/>
    </row>
    <row r="152" spans="1:21" ht="38.25">
      <c r="A152" s="358" t="s">
        <v>345</v>
      </c>
      <c r="B152" s="339" t="s">
        <v>346</v>
      </c>
      <c r="C152" s="355">
        <v>45912</v>
      </c>
      <c r="D152" s="354">
        <v>30044.77</v>
      </c>
      <c r="E152" s="366" t="s">
        <v>30</v>
      </c>
      <c r="F152" s="371" t="s">
        <v>19</v>
      </c>
      <c r="G152" s="357"/>
      <c r="H152" s="357"/>
      <c r="I152" s="357"/>
      <c r="J152" s="357"/>
      <c r="K152" s="340"/>
      <c r="L152" s="372" t="str">
        <f t="shared" si="1"/>
        <v/>
      </c>
      <c r="M152" s="340"/>
      <c r="N152" s="340"/>
      <c r="O152" s="373" t="s">
        <v>27</v>
      </c>
      <c r="P152" s="15"/>
      <c r="Q152" s="7"/>
      <c r="R152" s="7"/>
      <c r="S152" s="7"/>
      <c r="T152" s="8"/>
      <c r="U152" s="8"/>
    </row>
    <row r="153" spans="1:21" ht="51">
      <c r="A153" s="358" t="s">
        <v>347</v>
      </c>
      <c r="B153" s="339" t="s">
        <v>348</v>
      </c>
      <c r="C153" s="355">
        <v>45916</v>
      </c>
      <c r="D153" s="354">
        <v>1685780</v>
      </c>
      <c r="E153" s="366" t="s">
        <v>30</v>
      </c>
      <c r="F153" s="371" t="s">
        <v>170</v>
      </c>
      <c r="G153" s="357"/>
      <c r="H153" s="355">
        <v>45972</v>
      </c>
      <c r="I153" s="355">
        <v>45979</v>
      </c>
      <c r="J153" s="355">
        <v>45972</v>
      </c>
      <c r="K153" s="356">
        <v>180</v>
      </c>
      <c r="L153" s="372">
        <f t="shared" si="1"/>
        <v>46152</v>
      </c>
      <c r="M153" s="338">
        <v>46127</v>
      </c>
      <c r="N153" s="340"/>
      <c r="O153" s="373" t="s">
        <v>27</v>
      </c>
      <c r="P153" s="15"/>
      <c r="Q153" s="7"/>
      <c r="R153" s="7"/>
      <c r="S153" s="7"/>
      <c r="T153" s="8"/>
      <c r="U153" s="8"/>
    </row>
    <row r="154" spans="1:21" ht="51">
      <c r="A154" s="358" t="s">
        <v>349</v>
      </c>
      <c r="B154" s="339" t="s">
        <v>350</v>
      </c>
      <c r="C154" s="355">
        <v>45916</v>
      </c>
      <c r="D154" s="354">
        <v>1250</v>
      </c>
      <c r="E154" s="366" t="s">
        <v>18</v>
      </c>
      <c r="F154" s="371" t="s">
        <v>63</v>
      </c>
      <c r="G154" s="357"/>
      <c r="H154" s="357"/>
      <c r="I154" s="355">
        <v>45952</v>
      </c>
      <c r="J154" s="355">
        <v>45954</v>
      </c>
      <c r="K154" s="356">
        <v>10</v>
      </c>
      <c r="L154" s="372">
        <f t="shared" si="1"/>
        <v>45964</v>
      </c>
      <c r="M154" s="340"/>
      <c r="N154" s="338">
        <v>45965</v>
      </c>
      <c r="O154" s="373" t="s">
        <v>20</v>
      </c>
      <c r="P154" s="15"/>
      <c r="Q154" s="7"/>
      <c r="R154" s="7"/>
      <c r="S154" s="7"/>
      <c r="T154" s="8"/>
      <c r="U154" s="8"/>
    </row>
    <row r="155" spans="1:21" ht="51">
      <c r="A155" s="358" t="s">
        <v>351</v>
      </c>
      <c r="B155" s="339" t="s">
        <v>352</v>
      </c>
      <c r="C155" s="355">
        <v>45922</v>
      </c>
      <c r="D155" s="354">
        <v>761785</v>
      </c>
      <c r="E155" s="366" t="s">
        <v>18</v>
      </c>
      <c r="F155" s="371" t="s">
        <v>63</v>
      </c>
      <c r="G155" s="357"/>
      <c r="H155" s="357"/>
      <c r="I155" s="357"/>
      <c r="J155" s="357"/>
      <c r="K155" s="340"/>
      <c r="L155" s="372" t="str">
        <f t="shared" si="1"/>
        <v/>
      </c>
      <c r="M155" s="340"/>
      <c r="N155" s="340"/>
      <c r="O155" s="373" t="s">
        <v>27</v>
      </c>
      <c r="P155" s="15"/>
      <c r="Q155" s="7"/>
      <c r="R155" s="7"/>
      <c r="S155" s="7"/>
      <c r="T155" s="8"/>
      <c r="U155" s="8"/>
    </row>
    <row r="156" spans="1:21" ht="63.75">
      <c r="A156" s="358" t="s">
        <v>353</v>
      </c>
      <c r="B156" s="339" t="s">
        <v>354</v>
      </c>
      <c r="C156" s="355">
        <v>45922</v>
      </c>
      <c r="D156" s="354">
        <v>44696</v>
      </c>
      <c r="E156" s="366" t="s">
        <v>18</v>
      </c>
      <c r="F156" s="371" t="s">
        <v>123</v>
      </c>
      <c r="G156" s="357"/>
      <c r="H156" s="357"/>
      <c r="I156" s="357"/>
      <c r="J156" s="357"/>
      <c r="K156" s="340"/>
      <c r="L156" s="372" t="str">
        <f t="shared" si="1"/>
        <v/>
      </c>
      <c r="M156" s="340"/>
      <c r="N156" s="340"/>
      <c r="O156" s="373" t="s">
        <v>27</v>
      </c>
      <c r="P156" s="15"/>
      <c r="Q156" s="7"/>
      <c r="R156" s="7"/>
      <c r="S156" s="7"/>
      <c r="T156" s="8"/>
      <c r="U156" s="8"/>
    </row>
    <row r="157" spans="1:21" ht="76.5">
      <c r="A157" s="358" t="s">
        <v>355</v>
      </c>
      <c r="B157" s="339" t="s">
        <v>356</v>
      </c>
      <c r="C157" s="355">
        <v>45925</v>
      </c>
      <c r="D157" s="354">
        <v>3300000</v>
      </c>
      <c r="E157" s="366" t="s">
        <v>30</v>
      </c>
      <c r="F157" s="371" t="s">
        <v>123</v>
      </c>
      <c r="G157" s="357"/>
      <c r="H157" s="357"/>
      <c r="I157" s="357"/>
      <c r="J157" s="357"/>
      <c r="K157" s="340"/>
      <c r="L157" s="372" t="str">
        <f t="shared" si="1"/>
        <v/>
      </c>
      <c r="M157" s="340"/>
      <c r="N157" s="340"/>
      <c r="O157" s="373" t="s">
        <v>47</v>
      </c>
      <c r="P157" s="15"/>
      <c r="Q157" s="7"/>
      <c r="R157" s="7"/>
      <c r="S157" s="7"/>
      <c r="T157" s="8"/>
      <c r="U157" s="8"/>
    </row>
    <row r="158" spans="1:21" ht="38.25">
      <c r="A158" s="358" t="s">
        <v>358</v>
      </c>
      <c r="B158" s="339" t="s">
        <v>359</v>
      </c>
      <c r="C158" s="355">
        <v>45926</v>
      </c>
      <c r="D158" s="354">
        <v>9420</v>
      </c>
      <c r="E158" s="366" t="s">
        <v>18</v>
      </c>
      <c r="F158" s="371" t="s">
        <v>19</v>
      </c>
      <c r="G158" s="357"/>
      <c r="H158" s="357"/>
      <c r="I158" s="357"/>
      <c r="J158" s="357"/>
      <c r="K158" s="340"/>
      <c r="L158" s="372" t="str">
        <f t="shared" si="1"/>
        <v/>
      </c>
      <c r="M158" s="340"/>
      <c r="N158" s="340"/>
      <c r="O158" s="373" t="s">
        <v>27</v>
      </c>
      <c r="P158" s="15"/>
      <c r="Q158" s="7"/>
      <c r="R158" s="7"/>
      <c r="S158" s="7"/>
      <c r="T158" s="8"/>
      <c r="U158" s="8"/>
    </row>
    <row r="159" spans="1:21" ht="12.75">
      <c r="A159" s="358" t="s">
        <v>360</v>
      </c>
      <c r="B159" s="339" t="s">
        <v>361</v>
      </c>
      <c r="C159" s="355">
        <v>45808</v>
      </c>
      <c r="D159" s="354">
        <v>37837.58</v>
      </c>
      <c r="E159" s="366" t="s">
        <v>18</v>
      </c>
      <c r="F159" s="371" t="s">
        <v>44</v>
      </c>
      <c r="G159" s="357"/>
      <c r="H159" s="357"/>
      <c r="I159" s="357"/>
      <c r="J159" s="357"/>
      <c r="K159" s="340"/>
      <c r="L159" s="372" t="str">
        <f t="shared" si="1"/>
        <v/>
      </c>
      <c r="M159" s="340"/>
      <c r="N159" s="340"/>
      <c r="O159" s="373" t="s">
        <v>27</v>
      </c>
      <c r="P159" s="15"/>
      <c r="Q159" s="7"/>
      <c r="R159" s="7"/>
      <c r="S159" s="7"/>
      <c r="T159" s="8"/>
      <c r="U159" s="8"/>
    </row>
    <row r="160" spans="1:21" ht="63.75">
      <c r="A160" s="358" t="s">
        <v>362</v>
      </c>
      <c r="B160" s="339" t="s">
        <v>363</v>
      </c>
      <c r="C160" s="355">
        <v>45931</v>
      </c>
      <c r="D160" s="354">
        <v>110684.32</v>
      </c>
      <c r="E160" s="366" t="s">
        <v>18</v>
      </c>
      <c r="F160" s="371" t="s">
        <v>44</v>
      </c>
      <c r="G160" s="357"/>
      <c r="H160" s="357"/>
      <c r="I160" s="355">
        <v>45993</v>
      </c>
      <c r="J160" s="355">
        <v>45999</v>
      </c>
      <c r="K160" s="356">
        <v>30</v>
      </c>
      <c r="L160" s="372">
        <f t="shared" si="1"/>
        <v>46029</v>
      </c>
      <c r="M160" s="340"/>
      <c r="N160" s="340"/>
      <c r="O160" s="373" t="s">
        <v>27</v>
      </c>
      <c r="P160" s="15"/>
      <c r="Q160" s="7"/>
      <c r="R160" s="7"/>
      <c r="S160" s="7"/>
      <c r="T160" s="8"/>
      <c r="U160" s="8"/>
    </row>
    <row r="161" spans="1:21" ht="38.25">
      <c r="A161" s="358" t="s">
        <v>364</v>
      </c>
      <c r="B161" s="339" t="s">
        <v>365</v>
      </c>
      <c r="C161" s="355">
        <v>45916</v>
      </c>
      <c r="D161" s="354">
        <v>24981.91</v>
      </c>
      <c r="E161" s="366" t="s">
        <v>18</v>
      </c>
      <c r="F161" s="371" t="s">
        <v>19</v>
      </c>
      <c r="G161" s="357"/>
      <c r="H161" s="357"/>
      <c r="I161" s="355">
        <v>45993</v>
      </c>
      <c r="J161" s="355">
        <v>46003</v>
      </c>
      <c r="K161" s="356">
        <v>30</v>
      </c>
      <c r="L161" s="372">
        <f t="shared" si="1"/>
        <v>46033</v>
      </c>
      <c r="M161" s="340"/>
      <c r="N161" s="340"/>
      <c r="O161" s="373" t="s">
        <v>27</v>
      </c>
      <c r="P161" s="15"/>
      <c r="Q161" s="7"/>
      <c r="R161" s="7"/>
      <c r="S161" s="7"/>
      <c r="T161" s="8"/>
      <c r="U161" s="8"/>
    </row>
    <row r="162" spans="1:21" ht="76.5">
      <c r="A162" s="358" t="s">
        <v>366</v>
      </c>
      <c r="B162" s="339" t="s">
        <v>367</v>
      </c>
      <c r="C162" s="355">
        <v>45932</v>
      </c>
      <c r="D162" s="354">
        <v>153208.04999999999</v>
      </c>
      <c r="E162" s="366" t="s">
        <v>18</v>
      </c>
      <c r="F162" s="371" t="s">
        <v>44</v>
      </c>
      <c r="G162" s="357"/>
      <c r="H162" s="357"/>
      <c r="I162" s="357"/>
      <c r="J162" s="357"/>
      <c r="K162" s="340"/>
      <c r="L162" s="372" t="str">
        <f t="shared" si="1"/>
        <v/>
      </c>
      <c r="M162" s="340"/>
      <c r="N162" s="340"/>
      <c r="O162" s="373" t="s">
        <v>27</v>
      </c>
      <c r="P162" s="15"/>
      <c r="Q162" s="7"/>
      <c r="R162" s="7"/>
      <c r="S162" s="7"/>
      <c r="T162" s="8"/>
      <c r="U162" s="8"/>
    </row>
    <row r="163" spans="1:21" ht="63.75">
      <c r="A163" s="358" t="s">
        <v>368</v>
      </c>
      <c r="B163" s="339" t="s">
        <v>369</v>
      </c>
      <c r="C163" s="355">
        <v>45933</v>
      </c>
      <c r="D163" s="354">
        <v>1036731.47</v>
      </c>
      <c r="E163" s="366" t="s">
        <v>18</v>
      </c>
      <c r="F163" s="371" t="s">
        <v>26</v>
      </c>
      <c r="G163" s="357"/>
      <c r="H163" s="357"/>
      <c r="I163" s="357"/>
      <c r="J163" s="357"/>
      <c r="K163" s="356">
        <v>5</v>
      </c>
      <c r="L163" s="372" t="str">
        <f t="shared" si="1"/>
        <v/>
      </c>
      <c r="M163" s="340"/>
      <c r="N163" s="340"/>
      <c r="O163" s="373" t="s">
        <v>27</v>
      </c>
      <c r="P163" s="15"/>
      <c r="Q163" s="7"/>
      <c r="R163" s="7"/>
      <c r="S163" s="7"/>
      <c r="T163" s="8"/>
      <c r="U163" s="8"/>
    </row>
    <row r="164" spans="1:21" ht="76.5">
      <c r="A164" s="358" t="s">
        <v>370</v>
      </c>
      <c r="B164" s="339" t="s">
        <v>93</v>
      </c>
      <c r="C164" s="355">
        <v>45937</v>
      </c>
      <c r="D164" s="354">
        <v>2257.85</v>
      </c>
      <c r="E164" s="366" t="s">
        <v>18</v>
      </c>
      <c r="F164" s="371" t="s">
        <v>44</v>
      </c>
      <c r="G164" s="357"/>
      <c r="H164" s="357"/>
      <c r="I164" s="355">
        <v>45947</v>
      </c>
      <c r="J164" s="355">
        <v>45951</v>
      </c>
      <c r="K164" s="356">
        <v>30</v>
      </c>
      <c r="L164" s="372">
        <f t="shared" si="1"/>
        <v>45981</v>
      </c>
      <c r="M164" s="340"/>
      <c r="N164" s="355">
        <v>45987</v>
      </c>
      <c r="O164" s="373" t="s">
        <v>20</v>
      </c>
      <c r="P164" s="15"/>
      <c r="Q164" s="7"/>
      <c r="R164" s="7"/>
      <c r="S164" s="7"/>
      <c r="T164" s="8"/>
      <c r="U164" s="8"/>
    </row>
    <row r="165" spans="1:21" ht="63.75">
      <c r="A165" s="358" t="s">
        <v>371</v>
      </c>
      <c r="B165" s="339" t="s">
        <v>372</v>
      </c>
      <c r="C165" s="355">
        <v>45938</v>
      </c>
      <c r="D165" s="354">
        <v>6047.75</v>
      </c>
      <c r="E165" s="366" t="s">
        <v>18</v>
      </c>
      <c r="F165" s="371" t="s">
        <v>44</v>
      </c>
      <c r="G165" s="357"/>
      <c r="H165" s="357"/>
      <c r="I165" s="355">
        <v>45960</v>
      </c>
      <c r="J165" s="355">
        <v>45966</v>
      </c>
      <c r="K165" s="356">
        <v>30</v>
      </c>
      <c r="L165" s="372">
        <f t="shared" si="1"/>
        <v>45996</v>
      </c>
      <c r="M165" s="340"/>
      <c r="N165" s="355">
        <v>46002</v>
      </c>
      <c r="O165" s="373" t="s">
        <v>20</v>
      </c>
      <c r="P165" s="15"/>
      <c r="Q165" s="7"/>
      <c r="R165" s="7"/>
      <c r="S165" s="7"/>
      <c r="T165" s="8"/>
      <c r="U165" s="8"/>
    </row>
    <row r="166" spans="1:21" ht="51">
      <c r="A166" s="358" t="s">
        <v>374</v>
      </c>
      <c r="B166" s="339" t="s">
        <v>375</v>
      </c>
      <c r="C166" s="355">
        <v>45890</v>
      </c>
      <c r="D166" s="354">
        <v>27034</v>
      </c>
      <c r="E166" s="366" t="s">
        <v>30</v>
      </c>
      <c r="F166" s="371" t="s">
        <v>123</v>
      </c>
      <c r="G166" s="357"/>
      <c r="H166" s="355">
        <v>45975</v>
      </c>
      <c r="I166" s="355">
        <v>45987</v>
      </c>
      <c r="J166" s="355">
        <v>45975</v>
      </c>
      <c r="K166" s="356">
        <v>30</v>
      </c>
      <c r="L166" s="372">
        <f t="shared" si="1"/>
        <v>46005</v>
      </c>
      <c r="M166" s="340"/>
      <c r="N166" s="340"/>
      <c r="O166" s="373" t="s">
        <v>27</v>
      </c>
      <c r="P166" s="15"/>
      <c r="Q166" s="7"/>
      <c r="R166" s="7"/>
      <c r="S166" s="7"/>
      <c r="T166" s="8"/>
      <c r="U166" s="8"/>
    </row>
    <row r="167" spans="1:21" ht="63.75">
      <c r="A167" s="358" t="s">
        <v>376</v>
      </c>
      <c r="B167" s="339" t="s">
        <v>377</v>
      </c>
      <c r="C167" s="355">
        <v>45939</v>
      </c>
      <c r="D167" s="354">
        <v>5397.3</v>
      </c>
      <c r="E167" s="366" t="s">
        <v>18</v>
      </c>
      <c r="F167" s="371" t="s">
        <v>44</v>
      </c>
      <c r="G167" s="357"/>
      <c r="H167" s="357"/>
      <c r="I167" s="355">
        <v>45953</v>
      </c>
      <c r="J167" s="355">
        <v>45954</v>
      </c>
      <c r="K167" s="356">
        <v>30</v>
      </c>
      <c r="L167" s="372">
        <f t="shared" si="1"/>
        <v>45984</v>
      </c>
      <c r="M167" s="340"/>
      <c r="N167" s="338">
        <v>45958</v>
      </c>
      <c r="O167" s="373" t="s">
        <v>20</v>
      </c>
      <c r="P167" s="15"/>
      <c r="Q167" s="7"/>
      <c r="R167" s="7"/>
      <c r="S167" s="7"/>
      <c r="T167" s="8"/>
      <c r="U167" s="8"/>
    </row>
    <row r="168" spans="1:21" ht="25.5">
      <c r="A168" s="358" t="s">
        <v>378</v>
      </c>
      <c r="B168" s="339" t="s">
        <v>379</v>
      </c>
      <c r="C168" s="355">
        <v>45936</v>
      </c>
      <c r="D168" s="354">
        <v>3013272</v>
      </c>
      <c r="E168" s="366" t="s">
        <v>30</v>
      </c>
      <c r="F168" s="371" t="s">
        <v>123</v>
      </c>
      <c r="G168" s="357"/>
      <c r="H168" s="355">
        <v>46002</v>
      </c>
      <c r="I168" s="357"/>
      <c r="J168" s="355">
        <v>46002</v>
      </c>
      <c r="K168" s="356">
        <v>120</v>
      </c>
      <c r="L168" s="372">
        <f t="shared" si="1"/>
        <v>46122</v>
      </c>
      <c r="M168" s="340"/>
      <c r="N168" s="340"/>
      <c r="O168" s="373" t="s">
        <v>27</v>
      </c>
      <c r="P168" s="15"/>
      <c r="Q168" s="7"/>
      <c r="R168" s="7"/>
      <c r="S168" s="7"/>
      <c r="T168" s="8"/>
      <c r="U168" s="8"/>
    </row>
    <row r="169" spans="1:21" ht="63.75">
      <c r="A169" s="358" t="s">
        <v>380</v>
      </c>
      <c r="B169" s="339" t="s">
        <v>381</v>
      </c>
      <c r="C169" s="355">
        <v>45940</v>
      </c>
      <c r="D169" s="354">
        <v>6972</v>
      </c>
      <c r="E169" s="366" t="s">
        <v>18</v>
      </c>
      <c r="F169" s="371" t="s">
        <v>44</v>
      </c>
      <c r="G169" s="357"/>
      <c r="H169" s="357"/>
      <c r="I169" s="355">
        <v>45953</v>
      </c>
      <c r="J169" s="355">
        <v>45954</v>
      </c>
      <c r="K169" s="356">
        <v>30</v>
      </c>
      <c r="L169" s="372">
        <f t="shared" si="1"/>
        <v>45984</v>
      </c>
      <c r="M169" s="340"/>
      <c r="N169" s="338">
        <v>45958</v>
      </c>
      <c r="O169" s="373" t="s">
        <v>20</v>
      </c>
      <c r="P169" s="15"/>
      <c r="Q169" s="7"/>
      <c r="R169" s="7"/>
      <c r="S169" s="7"/>
      <c r="T169" s="8"/>
      <c r="U169" s="8"/>
    </row>
    <row r="170" spans="1:21" ht="63.75">
      <c r="A170" s="358" t="s">
        <v>382</v>
      </c>
      <c r="B170" s="339" t="s">
        <v>2963</v>
      </c>
      <c r="C170" s="355">
        <v>45940</v>
      </c>
      <c r="D170" s="354">
        <v>1322.65</v>
      </c>
      <c r="E170" s="366" t="s">
        <v>18</v>
      </c>
      <c r="F170" s="371" t="s">
        <v>44</v>
      </c>
      <c r="G170" s="357"/>
      <c r="H170" s="357"/>
      <c r="I170" s="357"/>
      <c r="J170" s="357"/>
      <c r="K170" s="356">
        <v>30</v>
      </c>
      <c r="L170" s="372" t="str">
        <f t="shared" si="1"/>
        <v/>
      </c>
      <c r="M170" s="340"/>
      <c r="N170" s="340"/>
      <c r="O170" s="373" t="s">
        <v>27</v>
      </c>
      <c r="P170" s="15"/>
      <c r="Q170" s="7"/>
      <c r="R170" s="7"/>
      <c r="S170" s="7"/>
      <c r="T170" s="8"/>
      <c r="U170" s="8"/>
    </row>
    <row r="171" spans="1:21" ht="25.5">
      <c r="A171" s="358" t="s">
        <v>384</v>
      </c>
      <c r="B171" s="339" t="s">
        <v>298</v>
      </c>
      <c r="C171" s="355">
        <v>45944</v>
      </c>
      <c r="D171" s="354">
        <v>1361</v>
      </c>
      <c r="E171" s="366" t="s">
        <v>30</v>
      </c>
      <c r="F171" s="371" t="s">
        <v>19</v>
      </c>
      <c r="G171" s="357"/>
      <c r="H171" s="357"/>
      <c r="I171" s="355">
        <v>45986</v>
      </c>
      <c r="J171" s="355">
        <v>45989</v>
      </c>
      <c r="K171" s="356">
        <v>60</v>
      </c>
      <c r="L171" s="372">
        <f t="shared" si="1"/>
        <v>46049</v>
      </c>
      <c r="M171" s="340"/>
      <c r="N171" s="355">
        <v>46006</v>
      </c>
      <c r="O171" s="373" t="s">
        <v>20</v>
      </c>
      <c r="P171" s="15"/>
      <c r="Q171" s="7"/>
      <c r="R171" s="7"/>
      <c r="S171" s="7"/>
      <c r="T171" s="8"/>
      <c r="U171" s="8"/>
    </row>
    <row r="172" spans="1:21" ht="51">
      <c r="A172" s="358" t="s">
        <v>385</v>
      </c>
      <c r="B172" s="339" t="s">
        <v>386</v>
      </c>
      <c r="C172" s="355">
        <v>45945</v>
      </c>
      <c r="D172" s="354">
        <v>3965128</v>
      </c>
      <c r="E172" s="366" t="s">
        <v>30</v>
      </c>
      <c r="F172" s="371" t="s">
        <v>26</v>
      </c>
      <c r="G172" s="357"/>
      <c r="H172" s="357"/>
      <c r="I172" s="357"/>
      <c r="J172" s="357"/>
      <c r="K172" s="356">
        <v>180</v>
      </c>
      <c r="L172" s="372" t="str">
        <f t="shared" si="1"/>
        <v/>
      </c>
      <c r="M172" s="340"/>
      <c r="N172" s="340"/>
      <c r="O172" s="373" t="s">
        <v>27</v>
      </c>
      <c r="P172" s="15"/>
      <c r="Q172" s="7"/>
      <c r="R172" s="7"/>
      <c r="S172" s="7"/>
      <c r="T172" s="8"/>
      <c r="U172" s="8"/>
    </row>
    <row r="173" spans="1:21" ht="63.75">
      <c r="A173" s="358" t="s">
        <v>387</v>
      </c>
      <c r="B173" s="339" t="s">
        <v>388</v>
      </c>
      <c r="C173" s="355">
        <v>45945</v>
      </c>
      <c r="D173" s="354">
        <v>631439</v>
      </c>
      <c r="E173" s="366" t="s">
        <v>30</v>
      </c>
      <c r="F173" s="371" t="s">
        <v>63</v>
      </c>
      <c r="G173" s="357"/>
      <c r="H173" s="357"/>
      <c r="I173" s="357"/>
      <c r="J173" s="357"/>
      <c r="K173" s="356">
        <v>30</v>
      </c>
      <c r="L173" s="372" t="str">
        <f t="shared" si="1"/>
        <v/>
      </c>
      <c r="M173" s="340"/>
      <c r="N173" s="340"/>
      <c r="O173" s="373" t="s">
        <v>27</v>
      </c>
      <c r="P173" s="15"/>
      <c r="Q173" s="7"/>
      <c r="R173" s="7"/>
      <c r="S173" s="7"/>
      <c r="T173" s="8"/>
      <c r="U173" s="8"/>
    </row>
    <row r="174" spans="1:21" ht="38.25">
      <c r="A174" s="358" t="s">
        <v>389</v>
      </c>
      <c r="B174" s="339" t="s">
        <v>2964</v>
      </c>
      <c r="C174" s="355">
        <v>45946</v>
      </c>
      <c r="D174" s="354">
        <v>313560</v>
      </c>
      <c r="E174" s="366" t="s">
        <v>30</v>
      </c>
      <c r="F174" s="371" t="s">
        <v>44</v>
      </c>
      <c r="G174" s="357"/>
      <c r="H174" s="355">
        <v>46003</v>
      </c>
      <c r="I174" s="355">
        <v>46007</v>
      </c>
      <c r="J174" s="355">
        <v>46003</v>
      </c>
      <c r="K174" s="356">
        <v>60</v>
      </c>
      <c r="L174" s="372">
        <f t="shared" si="1"/>
        <v>46063</v>
      </c>
      <c r="M174" s="340"/>
      <c r="N174" s="340"/>
      <c r="O174" s="373" t="s">
        <v>27</v>
      </c>
      <c r="P174" s="15"/>
      <c r="Q174" s="7"/>
      <c r="R174" s="7"/>
      <c r="S174" s="7"/>
      <c r="T174" s="8"/>
      <c r="U174" s="8"/>
    </row>
    <row r="175" spans="1:21" ht="38.25">
      <c r="A175" s="358" t="s">
        <v>391</v>
      </c>
      <c r="B175" s="339" t="s">
        <v>392</v>
      </c>
      <c r="C175" s="355">
        <v>45581</v>
      </c>
      <c r="D175" s="354">
        <v>135135</v>
      </c>
      <c r="E175" s="366" t="s">
        <v>30</v>
      </c>
      <c r="F175" s="371" t="s">
        <v>44</v>
      </c>
      <c r="G175" s="357"/>
      <c r="H175" s="357"/>
      <c r="I175" s="357"/>
      <c r="J175" s="357"/>
      <c r="K175" s="340"/>
      <c r="L175" s="372" t="str">
        <f t="shared" si="1"/>
        <v/>
      </c>
      <c r="M175" s="340"/>
      <c r="N175" s="340"/>
      <c r="O175" s="373" t="s">
        <v>27</v>
      </c>
      <c r="P175" s="15"/>
      <c r="Q175" s="7"/>
      <c r="R175" s="7"/>
      <c r="S175" s="7"/>
      <c r="T175" s="8"/>
      <c r="U175" s="8"/>
    </row>
    <row r="176" spans="1:21" ht="63.75">
      <c r="A176" s="358" t="s">
        <v>393</v>
      </c>
      <c r="B176" s="339" t="s">
        <v>394</v>
      </c>
      <c r="C176" s="355">
        <v>45950</v>
      </c>
      <c r="D176" s="354">
        <v>72462.23</v>
      </c>
      <c r="E176" s="366" t="s">
        <v>18</v>
      </c>
      <c r="F176" s="371" t="s">
        <v>44</v>
      </c>
      <c r="G176" s="357"/>
      <c r="H176" s="357"/>
      <c r="I176" s="357"/>
      <c r="J176" s="357"/>
      <c r="K176" s="340"/>
      <c r="L176" s="372" t="str">
        <f t="shared" si="1"/>
        <v/>
      </c>
      <c r="M176" s="340"/>
      <c r="N176" s="340"/>
      <c r="O176" s="373" t="s">
        <v>27</v>
      </c>
      <c r="P176" s="15"/>
      <c r="Q176" s="7"/>
      <c r="R176" s="7"/>
      <c r="S176" s="7"/>
      <c r="T176" s="8"/>
      <c r="U176" s="8"/>
    </row>
    <row r="177" spans="1:21" ht="63.75">
      <c r="A177" s="358" t="s">
        <v>395</v>
      </c>
      <c r="B177" s="339" t="s">
        <v>396</v>
      </c>
      <c r="C177" s="355">
        <v>45950</v>
      </c>
      <c r="D177" s="354">
        <v>134686.03</v>
      </c>
      <c r="E177" s="366" t="s">
        <v>30</v>
      </c>
      <c r="F177" s="371" t="s">
        <v>44</v>
      </c>
      <c r="G177" s="357"/>
      <c r="H177" s="357"/>
      <c r="I177" s="357"/>
      <c r="J177" s="357"/>
      <c r="K177" s="340"/>
      <c r="L177" s="372" t="str">
        <f t="shared" si="1"/>
        <v/>
      </c>
      <c r="M177" s="340"/>
      <c r="N177" s="340"/>
      <c r="O177" s="373" t="s">
        <v>27</v>
      </c>
      <c r="P177" s="15"/>
      <c r="Q177" s="7"/>
      <c r="R177" s="7"/>
      <c r="S177" s="7"/>
      <c r="T177" s="8"/>
      <c r="U177" s="8"/>
    </row>
    <row r="178" spans="1:21" ht="76.5">
      <c r="A178" s="358" t="s">
        <v>397</v>
      </c>
      <c r="B178" s="339" t="s">
        <v>2965</v>
      </c>
      <c r="C178" s="355">
        <v>45952</v>
      </c>
      <c r="D178" s="354">
        <v>75762.8</v>
      </c>
      <c r="E178" s="366" t="s">
        <v>18</v>
      </c>
      <c r="F178" s="371" t="s">
        <v>44</v>
      </c>
      <c r="G178" s="357"/>
      <c r="H178" s="357"/>
      <c r="I178" s="357"/>
      <c r="J178" s="357"/>
      <c r="K178" s="340"/>
      <c r="L178" s="372" t="str">
        <f t="shared" si="1"/>
        <v/>
      </c>
      <c r="M178" s="340"/>
      <c r="N178" s="340"/>
      <c r="O178" s="373" t="s">
        <v>27</v>
      </c>
      <c r="P178" s="15"/>
      <c r="Q178" s="7"/>
      <c r="R178" s="7"/>
      <c r="S178" s="7"/>
      <c r="T178" s="8"/>
      <c r="U178" s="8"/>
    </row>
    <row r="179" spans="1:21" ht="63.75">
      <c r="A179" s="358" t="s">
        <v>399</v>
      </c>
      <c r="B179" s="339" t="s">
        <v>400</v>
      </c>
      <c r="C179" s="355">
        <v>45953</v>
      </c>
      <c r="D179" s="354">
        <v>890968.17</v>
      </c>
      <c r="E179" s="366" t="s">
        <v>30</v>
      </c>
      <c r="F179" s="371" t="s">
        <v>44</v>
      </c>
      <c r="G179" s="357"/>
      <c r="H179" s="355">
        <v>46000</v>
      </c>
      <c r="I179" s="355">
        <v>46003</v>
      </c>
      <c r="J179" s="355">
        <v>46000</v>
      </c>
      <c r="K179" s="356">
        <v>150</v>
      </c>
      <c r="L179" s="372">
        <f t="shared" si="1"/>
        <v>46150</v>
      </c>
      <c r="M179" s="340"/>
      <c r="N179" s="340"/>
      <c r="O179" s="373" t="s">
        <v>27</v>
      </c>
      <c r="P179" s="15"/>
      <c r="Q179" s="7"/>
      <c r="R179" s="7"/>
      <c r="S179" s="7"/>
      <c r="T179" s="8"/>
      <c r="U179" s="8"/>
    </row>
    <row r="180" spans="1:21" ht="12.75">
      <c r="A180" s="358" t="s">
        <v>401</v>
      </c>
      <c r="B180" s="339" t="s">
        <v>402</v>
      </c>
      <c r="C180" s="355">
        <v>45954</v>
      </c>
      <c r="D180" s="354">
        <v>493800</v>
      </c>
      <c r="E180" s="366" t="s">
        <v>30</v>
      </c>
      <c r="F180" s="371" t="s">
        <v>23</v>
      </c>
      <c r="G180" s="357"/>
      <c r="H180" s="357"/>
      <c r="I180" s="357"/>
      <c r="J180" s="357"/>
      <c r="K180" s="340"/>
      <c r="L180" s="372" t="str">
        <f t="shared" si="1"/>
        <v/>
      </c>
      <c r="M180" s="340"/>
      <c r="N180" s="340"/>
      <c r="O180" s="373" t="s">
        <v>27</v>
      </c>
      <c r="P180" s="15"/>
      <c r="Q180" s="7"/>
      <c r="R180" s="7"/>
      <c r="S180" s="7"/>
      <c r="T180" s="8"/>
      <c r="U180" s="8"/>
    </row>
    <row r="181" spans="1:21" ht="63.75">
      <c r="A181" s="358" t="s">
        <v>403</v>
      </c>
      <c r="B181" s="339" t="s">
        <v>404</v>
      </c>
      <c r="C181" s="355">
        <v>45954</v>
      </c>
      <c r="D181" s="354">
        <v>263904.84000000003</v>
      </c>
      <c r="E181" s="366" t="s">
        <v>30</v>
      </c>
      <c r="F181" s="371" t="s">
        <v>44</v>
      </c>
      <c r="G181" s="357"/>
      <c r="H181" s="355">
        <v>46003</v>
      </c>
      <c r="I181" s="357"/>
      <c r="J181" s="355">
        <v>46003</v>
      </c>
      <c r="K181" s="356">
        <v>45</v>
      </c>
      <c r="L181" s="372">
        <f t="shared" si="1"/>
        <v>46048</v>
      </c>
      <c r="M181" s="340"/>
      <c r="N181" s="340"/>
      <c r="O181" s="373" t="s">
        <v>27</v>
      </c>
      <c r="P181" s="15"/>
      <c r="Q181" s="7"/>
      <c r="R181" s="7"/>
      <c r="S181" s="7"/>
      <c r="T181" s="8"/>
      <c r="U181" s="8"/>
    </row>
    <row r="182" spans="1:21" ht="25.5">
      <c r="A182" s="358" t="s">
        <v>405</v>
      </c>
      <c r="B182" s="339" t="s">
        <v>406</v>
      </c>
      <c r="C182" s="355">
        <v>45954</v>
      </c>
      <c r="D182" s="354">
        <v>56125</v>
      </c>
      <c r="E182" s="366" t="s">
        <v>30</v>
      </c>
      <c r="F182" s="371" t="s">
        <v>63</v>
      </c>
      <c r="G182" s="357"/>
      <c r="H182" s="357"/>
      <c r="I182" s="357"/>
      <c r="J182" s="357"/>
      <c r="K182" s="340"/>
      <c r="L182" s="372" t="str">
        <f t="shared" si="1"/>
        <v/>
      </c>
      <c r="M182" s="340"/>
      <c r="N182" s="340"/>
      <c r="O182" s="373" t="s">
        <v>27</v>
      </c>
      <c r="P182" s="15"/>
      <c r="Q182" s="7"/>
      <c r="R182" s="7"/>
      <c r="S182" s="7"/>
      <c r="T182" s="8"/>
      <c r="U182" s="8"/>
    </row>
    <row r="183" spans="1:21" ht="38.25">
      <c r="A183" s="358" t="s">
        <v>407</v>
      </c>
      <c r="B183" s="339" t="s">
        <v>408</v>
      </c>
      <c r="C183" s="355">
        <v>45944</v>
      </c>
      <c r="D183" s="354">
        <v>26490</v>
      </c>
      <c r="E183" s="366" t="s">
        <v>30</v>
      </c>
      <c r="F183" s="371" t="s">
        <v>170</v>
      </c>
      <c r="G183" s="357"/>
      <c r="H183" s="357"/>
      <c r="I183" s="357"/>
      <c r="J183" s="357"/>
      <c r="K183" s="340"/>
      <c r="L183" s="372" t="str">
        <f t="shared" si="1"/>
        <v/>
      </c>
      <c r="M183" s="340"/>
      <c r="N183" s="340"/>
      <c r="O183" s="373" t="s">
        <v>27</v>
      </c>
      <c r="P183" s="15"/>
      <c r="Q183" s="7"/>
      <c r="R183" s="7"/>
      <c r="S183" s="7"/>
      <c r="T183" s="8"/>
      <c r="U183" s="8"/>
    </row>
    <row r="184" spans="1:21" ht="51">
      <c r="A184" s="358" t="s">
        <v>409</v>
      </c>
      <c r="B184" s="339" t="s">
        <v>410</v>
      </c>
      <c r="C184" s="355">
        <v>45939</v>
      </c>
      <c r="D184" s="354">
        <v>331749.36</v>
      </c>
      <c r="E184" s="366" t="s">
        <v>18</v>
      </c>
      <c r="F184" s="371" t="s">
        <v>44</v>
      </c>
      <c r="G184" s="357"/>
      <c r="H184" s="357"/>
      <c r="I184" s="357"/>
      <c r="J184" s="357"/>
      <c r="K184" s="340"/>
      <c r="L184" s="372" t="str">
        <f t="shared" si="1"/>
        <v/>
      </c>
      <c r="M184" s="340"/>
      <c r="N184" s="340"/>
      <c r="O184" s="373" t="s">
        <v>27</v>
      </c>
      <c r="P184" s="15"/>
      <c r="Q184" s="7"/>
      <c r="R184" s="7"/>
      <c r="S184" s="7"/>
      <c r="T184" s="8"/>
      <c r="U184" s="8"/>
    </row>
    <row r="185" spans="1:21" ht="25.5">
      <c r="A185" s="358" t="s">
        <v>411</v>
      </c>
      <c r="B185" s="339" t="s">
        <v>412</v>
      </c>
      <c r="C185" s="355">
        <v>45965</v>
      </c>
      <c r="D185" s="354">
        <v>578034</v>
      </c>
      <c r="E185" s="366" t="s">
        <v>30</v>
      </c>
      <c r="F185" s="371" t="s">
        <v>123</v>
      </c>
      <c r="G185" s="357"/>
      <c r="H185" s="357"/>
      <c r="I185" s="357"/>
      <c r="J185" s="357"/>
      <c r="K185" s="340"/>
      <c r="L185" s="372" t="str">
        <f t="shared" si="1"/>
        <v/>
      </c>
      <c r="M185" s="340"/>
      <c r="N185" s="340"/>
      <c r="O185" s="373" t="s">
        <v>27</v>
      </c>
      <c r="P185" s="15"/>
      <c r="Q185" s="7"/>
      <c r="R185" s="7"/>
      <c r="S185" s="7"/>
      <c r="T185" s="8"/>
      <c r="U185" s="8"/>
    </row>
    <row r="186" spans="1:21" ht="38.25">
      <c r="A186" s="358" t="s">
        <v>413</v>
      </c>
      <c r="B186" s="339" t="s">
        <v>414</v>
      </c>
      <c r="C186" s="355">
        <v>45966</v>
      </c>
      <c r="D186" s="354">
        <v>131200</v>
      </c>
      <c r="E186" s="366" t="s">
        <v>30</v>
      </c>
      <c r="F186" s="371" t="s">
        <v>63</v>
      </c>
      <c r="G186" s="357"/>
      <c r="H186" s="357"/>
      <c r="I186" s="357"/>
      <c r="J186" s="357"/>
      <c r="K186" s="340"/>
      <c r="L186" s="372" t="str">
        <f t="shared" si="1"/>
        <v/>
      </c>
      <c r="M186" s="340"/>
      <c r="N186" s="340"/>
      <c r="O186" s="373" t="s">
        <v>27</v>
      </c>
      <c r="P186" s="15"/>
      <c r="Q186" s="7"/>
      <c r="R186" s="7"/>
      <c r="S186" s="7"/>
      <c r="T186" s="8"/>
      <c r="U186" s="8"/>
    </row>
    <row r="187" spans="1:21" ht="51">
      <c r="A187" s="358" t="s">
        <v>415</v>
      </c>
      <c r="B187" s="339" t="s">
        <v>416</v>
      </c>
      <c r="C187" s="355">
        <v>45629</v>
      </c>
      <c r="D187" s="354">
        <v>92601</v>
      </c>
      <c r="E187" s="366" t="s">
        <v>30</v>
      </c>
      <c r="F187" s="371" t="s">
        <v>63</v>
      </c>
      <c r="G187" s="357"/>
      <c r="H187" s="357"/>
      <c r="I187" s="355">
        <v>45708</v>
      </c>
      <c r="J187" s="357"/>
      <c r="K187" s="340"/>
      <c r="L187" s="372" t="str">
        <f t="shared" si="1"/>
        <v/>
      </c>
      <c r="M187" s="340"/>
      <c r="N187" s="340"/>
      <c r="O187" s="373" t="s">
        <v>27</v>
      </c>
      <c r="P187" s="15"/>
      <c r="Q187" s="7"/>
      <c r="R187" s="7"/>
      <c r="S187" s="7"/>
      <c r="T187" s="8"/>
      <c r="U187" s="8"/>
    </row>
    <row r="188" spans="1:21" ht="38.25">
      <c r="A188" s="358" t="s">
        <v>411</v>
      </c>
      <c r="B188" s="339" t="s">
        <v>417</v>
      </c>
      <c r="C188" s="355">
        <v>45966</v>
      </c>
      <c r="D188" s="354">
        <v>578034</v>
      </c>
      <c r="E188" s="366" t="s">
        <v>30</v>
      </c>
      <c r="F188" s="371" t="s">
        <v>123</v>
      </c>
      <c r="G188" s="357"/>
      <c r="H188" s="357"/>
      <c r="I188" s="357"/>
      <c r="J188" s="357"/>
      <c r="K188" s="340"/>
      <c r="L188" s="372" t="str">
        <f t="shared" si="1"/>
        <v/>
      </c>
      <c r="M188" s="340"/>
      <c r="N188" s="340"/>
      <c r="O188" s="373" t="s">
        <v>27</v>
      </c>
      <c r="P188" s="15"/>
      <c r="Q188" s="7"/>
      <c r="R188" s="7"/>
      <c r="S188" s="7"/>
      <c r="T188" s="8"/>
      <c r="U188" s="8"/>
    </row>
    <row r="189" spans="1:21" ht="12.75">
      <c r="A189" s="358" t="s">
        <v>418</v>
      </c>
      <c r="B189" s="339" t="s">
        <v>419</v>
      </c>
      <c r="C189" s="355">
        <v>45954</v>
      </c>
      <c r="D189" s="354">
        <v>122700</v>
      </c>
      <c r="E189" s="366" t="s">
        <v>30</v>
      </c>
      <c r="F189" s="371" t="s">
        <v>123</v>
      </c>
      <c r="G189" s="357"/>
      <c r="H189" s="355">
        <v>46001</v>
      </c>
      <c r="I189" s="357"/>
      <c r="J189" s="355">
        <v>46001</v>
      </c>
      <c r="K189" s="356">
        <v>180</v>
      </c>
      <c r="L189" s="372">
        <f t="shared" si="1"/>
        <v>46181</v>
      </c>
      <c r="M189" s="340"/>
      <c r="N189" s="340"/>
      <c r="O189" s="373" t="s">
        <v>27</v>
      </c>
      <c r="P189" s="15"/>
      <c r="Q189" s="7"/>
      <c r="R189" s="7"/>
      <c r="S189" s="7"/>
      <c r="T189" s="8"/>
      <c r="U189" s="8"/>
    </row>
    <row r="190" spans="1:21" ht="63.75">
      <c r="A190" s="358" t="s">
        <v>420</v>
      </c>
      <c r="B190" s="339" t="s">
        <v>421</v>
      </c>
      <c r="C190" s="355">
        <v>45966</v>
      </c>
      <c r="D190" s="354">
        <v>304113.09999999998</v>
      </c>
      <c r="E190" s="366" t="s">
        <v>18</v>
      </c>
      <c r="F190" s="371" t="s">
        <v>44</v>
      </c>
      <c r="G190" s="357"/>
      <c r="H190" s="355">
        <v>46001</v>
      </c>
      <c r="I190" s="355">
        <v>46003</v>
      </c>
      <c r="J190" s="355">
        <v>46001</v>
      </c>
      <c r="K190" s="356">
        <v>60</v>
      </c>
      <c r="L190" s="372">
        <f t="shared" si="1"/>
        <v>46061</v>
      </c>
      <c r="M190" s="355">
        <v>45682</v>
      </c>
      <c r="N190" s="340"/>
      <c r="O190" s="373" t="s">
        <v>27</v>
      </c>
      <c r="P190" s="15"/>
      <c r="Q190" s="7"/>
      <c r="R190" s="7"/>
      <c r="S190" s="7"/>
      <c r="T190" s="8"/>
      <c r="U190" s="8"/>
    </row>
    <row r="191" spans="1:21" ht="63.75">
      <c r="A191" s="358" t="s">
        <v>422</v>
      </c>
      <c r="B191" s="339" t="s">
        <v>423</v>
      </c>
      <c r="C191" s="355">
        <v>45971</v>
      </c>
      <c r="D191" s="354">
        <v>210000</v>
      </c>
      <c r="E191" s="366" t="s">
        <v>30</v>
      </c>
      <c r="F191" s="371" t="s">
        <v>44</v>
      </c>
      <c r="G191" s="357"/>
      <c r="H191" s="357"/>
      <c r="I191" s="357"/>
      <c r="J191" s="357"/>
      <c r="K191" s="340"/>
      <c r="L191" s="372" t="str">
        <f t="shared" si="1"/>
        <v/>
      </c>
      <c r="M191" s="340"/>
      <c r="N191" s="340"/>
      <c r="O191" s="373" t="s">
        <v>27</v>
      </c>
      <c r="P191" s="15"/>
      <c r="Q191" s="7"/>
      <c r="R191" s="7"/>
      <c r="S191" s="7"/>
      <c r="T191" s="8"/>
      <c r="U191" s="8"/>
    </row>
    <row r="192" spans="1:21" ht="51">
      <c r="A192" s="358" t="s">
        <v>424</v>
      </c>
      <c r="B192" s="339" t="s">
        <v>425</v>
      </c>
      <c r="C192" s="355">
        <v>45964</v>
      </c>
      <c r="D192" s="354">
        <v>4417765.99</v>
      </c>
      <c r="E192" s="366" t="s">
        <v>30</v>
      </c>
      <c r="F192" s="371" t="s">
        <v>26</v>
      </c>
      <c r="G192" s="357"/>
      <c r="H192" s="357"/>
      <c r="I192" s="357"/>
      <c r="J192" s="357"/>
      <c r="K192" s="340"/>
      <c r="L192" s="372" t="str">
        <f t="shared" si="1"/>
        <v/>
      </c>
      <c r="M192" s="340"/>
      <c r="N192" s="340"/>
      <c r="O192" s="373" t="s">
        <v>27</v>
      </c>
      <c r="P192" s="15"/>
      <c r="Q192" s="7"/>
      <c r="R192" s="7"/>
      <c r="S192" s="7"/>
      <c r="T192" s="8"/>
      <c r="U192" s="8"/>
    </row>
    <row r="193" spans="1:21" ht="51">
      <c r="A193" s="358" t="s">
        <v>426</v>
      </c>
      <c r="B193" s="339" t="s">
        <v>427</v>
      </c>
      <c r="C193" s="355">
        <v>45973</v>
      </c>
      <c r="D193" s="354">
        <v>49485.94</v>
      </c>
      <c r="E193" s="366" t="s">
        <v>30</v>
      </c>
      <c r="F193" s="371" t="s">
        <v>63</v>
      </c>
      <c r="G193" s="357"/>
      <c r="H193" s="357"/>
      <c r="I193" s="357"/>
      <c r="J193" s="357"/>
      <c r="K193" s="340"/>
      <c r="L193" s="372" t="str">
        <f t="shared" si="1"/>
        <v/>
      </c>
      <c r="M193" s="340"/>
      <c r="N193" s="340"/>
      <c r="O193" s="373" t="s">
        <v>27</v>
      </c>
      <c r="P193" s="15"/>
      <c r="Q193" s="7"/>
      <c r="R193" s="7"/>
      <c r="S193" s="7"/>
      <c r="T193" s="8"/>
      <c r="U193" s="8"/>
    </row>
    <row r="194" spans="1:21" ht="38.25">
      <c r="A194" s="358" t="s">
        <v>428</v>
      </c>
      <c r="B194" s="339" t="s">
        <v>429</v>
      </c>
      <c r="C194" s="355">
        <v>45978</v>
      </c>
      <c r="D194" s="354">
        <v>8465785</v>
      </c>
      <c r="E194" s="366" t="s">
        <v>30</v>
      </c>
      <c r="F194" s="371" t="s">
        <v>26</v>
      </c>
      <c r="G194" s="357"/>
      <c r="H194" s="357"/>
      <c r="I194" s="357"/>
      <c r="J194" s="357"/>
      <c r="K194" s="340"/>
      <c r="L194" s="372" t="str">
        <f t="shared" si="1"/>
        <v/>
      </c>
      <c r="M194" s="340"/>
      <c r="N194" s="340"/>
      <c r="O194" s="373" t="s">
        <v>27</v>
      </c>
      <c r="P194" s="15"/>
      <c r="Q194" s="7"/>
      <c r="R194" s="7"/>
      <c r="S194" s="7"/>
      <c r="T194" s="8"/>
      <c r="U194" s="8"/>
    </row>
    <row r="195" spans="1:21" ht="25.5">
      <c r="A195" s="358" t="s">
        <v>430</v>
      </c>
      <c r="B195" s="339" t="s">
        <v>431</v>
      </c>
      <c r="C195" s="355">
        <v>45978</v>
      </c>
      <c r="D195" s="354">
        <v>5500</v>
      </c>
      <c r="E195" s="366" t="s">
        <v>18</v>
      </c>
      <c r="F195" s="371" t="s">
        <v>19</v>
      </c>
      <c r="G195" s="357"/>
      <c r="H195" s="357"/>
      <c r="I195" s="357"/>
      <c r="J195" s="357"/>
      <c r="K195" s="340"/>
      <c r="L195" s="372" t="str">
        <f t="shared" si="1"/>
        <v/>
      </c>
      <c r="M195" s="340"/>
      <c r="N195" s="340"/>
      <c r="O195" s="373" t="s">
        <v>27</v>
      </c>
      <c r="P195" s="15"/>
      <c r="Q195" s="7"/>
      <c r="R195" s="7"/>
      <c r="S195" s="7"/>
      <c r="T195" s="8"/>
      <c r="U195" s="8"/>
    </row>
    <row r="196" spans="1:21" ht="25.5">
      <c r="A196" s="358" t="s">
        <v>432</v>
      </c>
      <c r="B196" s="339" t="s">
        <v>433</v>
      </c>
      <c r="C196" s="355">
        <v>45979</v>
      </c>
      <c r="D196" s="354">
        <v>397000</v>
      </c>
      <c r="E196" s="366" t="s">
        <v>30</v>
      </c>
      <c r="F196" s="371" t="s">
        <v>26</v>
      </c>
      <c r="G196" s="357"/>
      <c r="H196" s="357"/>
      <c r="I196" s="357"/>
      <c r="J196" s="357"/>
      <c r="K196" s="340"/>
      <c r="L196" s="372" t="str">
        <f t="shared" si="1"/>
        <v/>
      </c>
      <c r="M196" s="340"/>
      <c r="N196" s="340"/>
      <c r="O196" s="373" t="s">
        <v>27</v>
      </c>
      <c r="P196" s="15"/>
      <c r="Q196" s="7"/>
      <c r="R196" s="7"/>
      <c r="S196" s="7"/>
      <c r="T196" s="8"/>
      <c r="U196" s="8"/>
    </row>
    <row r="197" spans="1:21" ht="63.75">
      <c r="A197" s="358" t="s">
        <v>434</v>
      </c>
      <c r="B197" s="339" t="s">
        <v>435</v>
      </c>
      <c r="C197" s="355">
        <v>45980</v>
      </c>
      <c r="D197" s="354">
        <v>10256.450000000001</v>
      </c>
      <c r="E197" s="366" t="s">
        <v>18</v>
      </c>
      <c r="F197" s="371" t="s">
        <v>44</v>
      </c>
      <c r="G197" s="357"/>
      <c r="H197" s="357"/>
      <c r="I197" s="357"/>
      <c r="J197" s="357"/>
      <c r="K197" s="340"/>
      <c r="L197" s="372" t="str">
        <f t="shared" si="1"/>
        <v/>
      </c>
      <c r="M197" s="340"/>
      <c r="N197" s="340"/>
      <c r="O197" s="373" t="s">
        <v>27</v>
      </c>
      <c r="P197" s="15"/>
      <c r="Q197" s="7"/>
      <c r="R197" s="7"/>
      <c r="S197" s="7"/>
      <c r="T197" s="8"/>
      <c r="U197" s="8"/>
    </row>
    <row r="198" spans="1:21" ht="25.5">
      <c r="A198" s="358" t="s">
        <v>436</v>
      </c>
      <c r="B198" s="339" t="s">
        <v>437</v>
      </c>
      <c r="C198" s="355">
        <v>45978</v>
      </c>
      <c r="D198" s="354">
        <v>325000</v>
      </c>
      <c r="E198" s="366" t="s">
        <v>30</v>
      </c>
      <c r="F198" s="371" t="s">
        <v>26</v>
      </c>
      <c r="G198" s="357"/>
      <c r="H198" s="357"/>
      <c r="I198" s="357"/>
      <c r="J198" s="357"/>
      <c r="K198" s="340"/>
      <c r="L198" s="372" t="str">
        <f t="shared" si="1"/>
        <v/>
      </c>
      <c r="M198" s="340"/>
      <c r="N198" s="340"/>
      <c r="O198" s="373" t="s">
        <v>27</v>
      </c>
      <c r="P198" s="15"/>
      <c r="Q198" s="7"/>
      <c r="R198" s="7"/>
      <c r="S198" s="7"/>
      <c r="T198" s="8"/>
      <c r="U198" s="8"/>
    </row>
    <row r="199" spans="1:21" ht="63.75">
      <c r="A199" s="358" t="s">
        <v>438</v>
      </c>
      <c r="B199" s="339" t="s">
        <v>439</v>
      </c>
      <c r="C199" s="355">
        <v>45989</v>
      </c>
      <c r="D199" s="354">
        <v>90250</v>
      </c>
      <c r="E199" s="366" t="s">
        <v>18</v>
      </c>
      <c r="F199" s="371" t="s">
        <v>44</v>
      </c>
      <c r="G199" s="357"/>
      <c r="H199" s="355">
        <v>46002</v>
      </c>
      <c r="I199" s="357"/>
      <c r="J199" s="355">
        <v>46002</v>
      </c>
      <c r="K199" s="356">
        <v>30</v>
      </c>
      <c r="L199" s="372">
        <f t="shared" si="1"/>
        <v>46032</v>
      </c>
      <c r="M199" s="340"/>
      <c r="N199" s="340"/>
      <c r="O199" s="373" t="s">
        <v>27</v>
      </c>
      <c r="P199" s="15"/>
      <c r="Q199" s="7"/>
      <c r="R199" s="7"/>
      <c r="S199" s="7"/>
      <c r="T199" s="8"/>
      <c r="U199" s="8"/>
    </row>
    <row r="200" spans="1:21" ht="63.75">
      <c r="A200" s="358" t="s">
        <v>440</v>
      </c>
      <c r="B200" s="339" t="s">
        <v>441</v>
      </c>
      <c r="C200" s="355">
        <v>45960</v>
      </c>
      <c r="D200" s="354">
        <v>1717.2</v>
      </c>
      <c r="E200" s="366" t="s">
        <v>18</v>
      </c>
      <c r="F200" s="371" t="s">
        <v>63</v>
      </c>
      <c r="G200" s="357"/>
      <c r="H200" s="357"/>
      <c r="I200" s="357"/>
      <c r="J200" s="357"/>
      <c r="K200" s="340"/>
      <c r="L200" s="372" t="str">
        <f t="shared" si="1"/>
        <v/>
      </c>
      <c r="M200" s="340"/>
      <c r="N200" s="340"/>
      <c r="O200" s="373" t="s">
        <v>47</v>
      </c>
      <c r="P200" s="15"/>
      <c r="Q200" s="7"/>
      <c r="R200" s="7"/>
      <c r="S200" s="7"/>
      <c r="T200" s="8"/>
      <c r="U200" s="8"/>
    </row>
    <row r="201" spans="1:21" ht="12.75">
      <c r="A201" s="358" t="s">
        <v>443</v>
      </c>
      <c r="B201" s="339" t="s">
        <v>444</v>
      </c>
      <c r="C201" s="355">
        <v>45791</v>
      </c>
      <c r="D201" s="354">
        <v>72820.7</v>
      </c>
      <c r="E201" s="366" t="s">
        <v>18</v>
      </c>
      <c r="F201" s="371" t="s">
        <v>44</v>
      </c>
      <c r="G201" s="357"/>
      <c r="H201" s="357"/>
      <c r="I201" s="357"/>
      <c r="J201" s="357"/>
      <c r="K201" s="340"/>
      <c r="L201" s="372" t="str">
        <f t="shared" si="1"/>
        <v/>
      </c>
      <c r="M201" s="340"/>
      <c r="N201" s="340"/>
      <c r="O201" s="373" t="s">
        <v>27</v>
      </c>
      <c r="P201" s="15"/>
      <c r="Q201" s="7"/>
      <c r="R201" s="7"/>
      <c r="S201" s="7"/>
      <c r="T201" s="8"/>
      <c r="U201" s="8"/>
    </row>
    <row r="202" spans="1:21" ht="12.75">
      <c r="A202" s="358" t="s">
        <v>445</v>
      </c>
      <c r="B202" s="339" t="s">
        <v>446</v>
      </c>
      <c r="C202" s="355">
        <v>45791</v>
      </c>
      <c r="D202" s="354">
        <v>72094.899999999994</v>
      </c>
      <c r="E202" s="366" t="s">
        <v>18</v>
      </c>
      <c r="F202" s="371" t="s">
        <v>44</v>
      </c>
      <c r="G202" s="357"/>
      <c r="H202" s="357"/>
      <c r="I202" s="357"/>
      <c r="J202" s="357"/>
      <c r="K202" s="340"/>
      <c r="L202" s="372" t="str">
        <f t="shared" si="1"/>
        <v/>
      </c>
      <c r="M202" s="340"/>
      <c r="N202" s="340"/>
      <c r="O202" s="373" t="s">
        <v>27</v>
      </c>
      <c r="P202" s="15"/>
      <c r="Q202" s="7"/>
      <c r="R202" s="7"/>
      <c r="S202" s="7"/>
      <c r="T202" s="8"/>
      <c r="U202" s="8"/>
    </row>
    <row r="203" spans="1:21" ht="25.5">
      <c r="A203" s="358" t="s">
        <v>447</v>
      </c>
      <c r="B203" s="339" t="s">
        <v>448</v>
      </c>
      <c r="C203" s="355">
        <v>45932</v>
      </c>
      <c r="D203" s="354">
        <v>19800</v>
      </c>
      <c r="E203" s="366" t="s">
        <v>18</v>
      </c>
      <c r="F203" s="371" t="s">
        <v>19</v>
      </c>
      <c r="G203" s="357"/>
      <c r="H203" s="357"/>
      <c r="I203" s="357"/>
      <c r="J203" s="357"/>
      <c r="K203" s="340"/>
      <c r="L203" s="372" t="str">
        <f t="shared" si="1"/>
        <v/>
      </c>
      <c r="M203" s="340"/>
      <c r="N203" s="340"/>
      <c r="O203" s="373" t="s">
        <v>27</v>
      </c>
      <c r="P203" s="15"/>
      <c r="Q203" s="7"/>
      <c r="R203" s="7"/>
      <c r="S203" s="7"/>
      <c r="T203" s="8"/>
      <c r="U203" s="8"/>
    </row>
    <row r="204" spans="1:21" ht="51">
      <c r="A204" s="358" t="s">
        <v>449</v>
      </c>
      <c r="B204" s="340" t="s">
        <v>450</v>
      </c>
      <c r="C204" s="355">
        <v>45994</v>
      </c>
      <c r="D204" s="354">
        <v>558</v>
      </c>
      <c r="E204" s="366" t="s">
        <v>18</v>
      </c>
      <c r="F204" s="371" t="s">
        <v>44</v>
      </c>
      <c r="G204" s="357"/>
      <c r="H204" s="357"/>
      <c r="I204" s="357"/>
      <c r="J204" s="357"/>
      <c r="K204" s="340"/>
      <c r="L204" s="372" t="str">
        <f t="shared" si="1"/>
        <v/>
      </c>
      <c r="M204" s="340"/>
      <c r="N204" s="340"/>
      <c r="O204" s="373" t="s">
        <v>27</v>
      </c>
      <c r="P204" s="15"/>
      <c r="Q204" s="7"/>
      <c r="R204" s="7"/>
      <c r="S204" s="7"/>
      <c r="T204" s="8"/>
      <c r="U204" s="8"/>
    </row>
    <row r="205" spans="1:21" ht="51">
      <c r="A205" s="358" t="s">
        <v>405</v>
      </c>
      <c r="B205" s="339" t="s">
        <v>451</v>
      </c>
      <c r="C205" s="355">
        <v>45996</v>
      </c>
      <c r="D205" s="354">
        <v>56125</v>
      </c>
      <c r="E205" s="366" t="s">
        <v>30</v>
      </c>
      <c r="F205" s="371" t="s">
        <v>170</v>
      </c>
      <c r="G205" s="357"/>
      <c r="H205" s="357"/>
      <c r="I205" s="357"/>
      <c r="J205" s="357"/>
      <c r="K205" s="340"/>
      <c r="L205" s="372" t="str">
        <f t="shared" si="1"/>
        <v/>
      </c>
      <c r="M205" s="340"/>
      <c r="N205" s="340"/>
      <c r="O205" s="373" t="s">
        <v>27</v>
      </c>
      <c r="P205" s="15"/>
      <c r="Q205" s="7"/>
      <c r="R205" s="7"/>
      <c r="S205" s="7"/>
      <c r="T205" s="8"/>
      <c r="U205" s="8"/>
    </row>
    <row r="206" spans="1:21" ht="51">
      <c r="A206" s="358" t="s">
        <v>452</v>
      </c>
      <c r="B206" s="339" t="s">
        <v>453</v>
      </c>
      <c r="C206" s="355" t="s">
        <v>2966</v>
      </c>
      <c r="D206" s="354">
        <v>49780</v>
      </c>
      <c r="E206" s="366" t="s">
        <v>30</v>
      </c>
      <c r="F206" s="371" t="s">
        <v>170</v>
      </c>
      <c r="G206" s="357"/>
      <c r="H206" s="357"/>
      <c r="I206" s="357"/>
      <c r="J206" s="357"/>
      <c r="K206" s="340"/>
      <c r="L206" s="372" t="str">
        <f t="shared" si="1"/>
        <v/>
      </c>
      <c r="M206" s="340"/>
      <c r="N206" s="340"/>
      <c r="O206" s="373" t="s">
        <v>27</v>
      </c>
      <c r="P206" s="15"/>
      <c r="Q206" s="7"/>
      <c r="R206" s="7"/>
      <c r="S206" s="7"/>
      <c r="T206" s="8"/>
      <c r="U206" s="8"/>
    </row>
    <row r="207" spans="1:21" ht="12.75">
      <c r="A207" s="366"/>
      <c r="B207" s="369"/>
      <c r="C207" s="370"/>
      <c r="D207" s="359"/>
      <c r="E207" s="366"/>
      <c r="F207" s="371"/>
      <c r="G207" s="357"/>
      <c r="H207" s="357"/>
      <c r="I207" s="357"/>
      <c r="J207" s="357"/>
      <c r="K207" s="340"/>
      <c r="L207" s="367" t="str">
        <f t="shared" si="1"/>
        <v/>
      </c>
      <c r="M207" s="374"/>
      <c r="N207" s="374"/>
      <c r="O207" s="366"/>
      <c r="P207" s="15"/>
      <c r="Q207" s="7"/>
      <c r="R207" s="7"/>
      <c r="S207" s="7"/>
      <c r="T207" s="8"/>
      <c r="U207" s="8"/>
    </row>
    <row r="208" spans="1:21" ht="12.75">
      <c r="A208" s="366"/>
      <c r="B208" s="369"/>
      <c r="C208" s="370"/>
      <c r="D208" s="359"/>
      <c r="E208" s="366"/>
      <c r="F208" s="371"/>
      <c r="G208" s="357"/>
      <c r="H208" s="357"/>
      <c r="I208" s="357"/>
      <c r="J208" s="357"/>
      <c r="K208" s="340"/>
      <c r="L208" s="367" t="str">
        <f t="shared" si="1"/>
        <v/>
      </c>
      <c r="M208" s="366"/>
      <c r="N208" s="366"/>
      <c r="O208" s="366"/>
      <c r="P208" s="15"/>
      <c r="Q208" s="7"/>
      <c r="R208" s="7"/>
      <c r="S208" s="7"/>
      <c r="T208" s="8"/>
      <c r="U208" s="8"/>
    </row>
    <row r="209" spans="1:21" ht="12.75">
      <c r="A209" s="366"/>
      <c r="B209" s="369"/>
      <c r="C209" s="370"/>
      <c r="D209" s="359"/>
      <c r="E209" s="366"/>
      <c r="F209" s="371"/>
      <c r="G209" s="357"/>
      <c r="H209" s="357"/>
      <c r="I209" s="357"/>
      <c r="J209" s="357"/>
      <c r="K209" s="340"/>
      <c r="L209" s="367" t="str">
        <f t="shared" si="1"/>
        <v/>
      </c>
      <c r="M209" s="366"/>
      <c r="N209" s="366"/>
      <c r="O209" s="366"/>
      <c r="P209" s="15"/>
      <c r="Q209" s="7"/>
      <c r="R209" s="7"/>
      <c r="S209" s="7"/>
      <c r="T209" s="8"/>
      <c r="U209" s="8"/>
    </row>
    <row r="210" spans="1:21" ht="12.75">
      <c r="A210" s="366"/>
      <c r="B210" s="369"/>
      <c r="C210" s="370"/>
      <c r="D210" s="359"/>
      <c r="E210" s="366"/>
      <c r="F210" s="371"/>
      <c r="G210" s="357"/>
      <c r="H210" s="357"/>
      <c r="I210" s="357"/>
      <c r="J210" s="357"/>
      <c r="K210" s="340"/>
      <c r="L210" s="367" t="str">
        <f t="shared" si="1"/>
        <v/>
      </c>
      <c r="M210" s="366"/>
      <c r="N210" s="366"/>
      <c r="O210" s="366"/>
      <c r="P210" s="15"/>
      <c r="Q210" s="7"/>
      <c r="R210" s="7"/>
      <c r="S210" s="7"/>
      <c r="T210" s="8"/>
      <c r="U210" s="8"/>
    </row>
    <row r="211" spans="1:21" ht="12.75">
      <c r="A211" s="366"/>
      <c r="B211" s="369"/>
      <c r="C211" s="370"/>
      <c r="D211" s="359"/>
      <c r="E211" s="366"/>
      <c r="F211" s="371"/>
      <c r="G211" s="357"/>
      <c r="H211" s="357"/>
      <c r="I211" s="357"/>
      <c r="J211" s="357"/>
      <c r="K211" s="340"/>
      <c r="L211" s="367" t="str">
        <f t="shared" si="1"/>
        <v/>
      </c>
      <c r="M211" s="366"/>
      <c r="N211" s="366"/>
      <c r="O211" s="366"/>
      <c r="P211" s="15"/>
      <c r="Q211" s="7"/>
      <c r="R211" s="7"/>
      <c r="S211" s="7"/>
      <c r="T211" s="8"/>
      <c r="U211" s="8"/>
    </row>
    <row r="212" spans="1:21" ht="12.75">
      <c r="A212" s="366"/>
      <c r="B212" s="369"/>
      <c r="C212" s="370"/>
      <c r="D212" s="359"/>
      <c r="E212" s="366"/>
      <c r="F212" s="371"/>
      <c r="G212" s="357"/>
      <c r="H212" s="357"/>
      <c r="I212" s="357"/>
      <c r="J212" s="357"/>
      <c r="K212" s="340"/>
      <c r="L212" s="367" t="str">
        <f t="shared" si="1"/>
        <v/>
      </c>
      <c r="M212" s="366"/>
      <c r="N212" s="366"/>
      <c r="O212" s="366"/>
      <c r="P212" s="15"/>
      <c r="Q212" s="7"/>
      <c r="R212" s="7"/>
      <c r="S212" s="7"/>
      <c r="T212" s="8"/>
      <c r="U212" s="8"/>
    </row>
    <row r="213" spans="1:21" ht="12.75">
      <c r="A213" s="366"/>
      <c r="B213" s="369"/>
      <c r="C213" s="370"/>
      <c r="D213" s="359"/>
      <c r="E213" s="366"/>
      <c r="F213" s="371"/>
      <c r="G213" s="357"/>
      <c r="H213" s="357"/>
      <c r="I213" s="357"/>
      <c r="J213" s="357"/>
      <c r="K213" s="340"/>
      <c r="L213" s="367" t="str">
        <f t="shared" si="1"/>
        <v/>
      </c>
      <c r="M213" s="366"/>
      <c r="N213" s="366"/>
      <c r="O213" s="366"/>
      <c r="P213" s="15"/>
      <c r="Q213" s="7"/>
      <c r="R213" s="7"/>
      <c r="S213" s="7"/>
      <c r="T213" s="8"/>
      <c r="U213" s="8"/>
    </row>
    <row r="214" spans="1:21" ht="12.75">
      <c r="A214" s="366"/>
      <c r="B214" s="369"/>
      <c r="C214" s="370"/>
      <c r="D214" s="359"/>
      <c r="E214" s="366"/>
      <c r="F214" s="371"/>
      <c r="G214" s="357"/>
      <c r="H214" s="357"/>
      <c r="I214" s="357"/>
      <c r="J214" s="357"/>
      <c r="K214" s="340"/>
      <c r="L214" s="367" t="str">
        <f t="shared" si="1"/>
        <v/>
      </c>
      <c r="M214" s="366"/>
      <c r="N214" s="366"/>
      <c r="O214" s="366"/>
      <c r="P214" s="15"/>
      <c r="Q214" s="7"/>
      <c r="R214" s="7"/>
      <c r="S214" s="7"/>
      <c r="T214" s="8"/>
      <c r="U214" s="8"/>
    </row>
    <row r="215" spans="1:21" ht="12.75">
      <c r="A215" s="366"/>
      <c r="B215" s="369"/>
      <c r="C215" s="370"/>
      <c r="D215" s="359"/>
      <c r="E215" s="366"/>
      <c r="F215" s="371"/>
      <c r="G215" s="357"/>
      <c r="H215" s="357"/>
      <c r="I215" s="357"/>
      <c r="J215" s="357"/>
      <c r="K215" s="340"/>
      <c r="L215" s="367" t="str">
        <f t="shared" si="1"/>
        <v/>
      </c>
      <c r="M215" s="366"/>
      <c r="N215" s="366"/>
      <c r="O215" s="366"/>
      <c r="P215" s="15"/>
      <c r="Q215" s="7"/>
      <c r="R215" s="7"/>
      <c r="S215" s="7"/>
      <c r="T215" s="8"/>
      <c r="U215" s="8"/>
    </row>
    <row r="216" spans="1:21" ht="12.75">
      <c r="A216" s="366"/>
      <c r="B216" s="369"/>
      <c r="C216" s="370"/>
      <c r="D216" s="359"/>
      <c r="E216" s="366"/>
      <c r="F216" s="371"/>
      <c r="G216" s="357"/>
      <c r="H216" s="357"/>
      <c r="I216" s="357"/>
      <c r="J216" s="357"/>
      <c r="K216" s="340"/>
      <c r="L216" s="367" t="str">
        <f t="shared" si="1"/>
        <v/>
      </c>
      <c r="M216" s="366"/>
      <c r="N216" s="366"/>
      <c r="O216" s="366"/>
      <c r="P216" s="15"/>
      <c r="Q216" s="7"/>
      <c r="R216" s="7"/>
      <c r="S216" s="7"/>
      <c r="T216" s="8"/>
      <c r="U216" s="8"/>
    </row>
    <row r="217" spans="1:21" ht="12.75">
      <c r="A217" s="366"/>
      <c r="B217" s="369"/>
      <c r="C217" s="370"/>
      <c r="D217" s="359"/>
      <c r="E217" s="366"/>
      <c r="F217" s="371"/>
      <c r="G217" s="357"/>
      <c r="H217" s="357"/>
      <c r="I217" s="357"/>
      <c r="J217" s="357"/>
      <c r="K217" s="366"/>
      <c r="L217" s="367" t="str">
        <f t="shared" si="1"/>
        <v/>
      </c>
      <c r="M217" s="366"/>
      <c r="N217" s="366"/>
      <c r="O217" s="366"/>
      <c r="P217" s="15"/>
      <c r="Q217" s="7"/>
      <c r="R217" s="7"/>
      <c r="S217" s="7"/>
      <c r="T217" s="8"/>
      <c r="U217" s="8"/>
    </row>
    <row r="218" spans="1:21" ht="12.75">
      <c r="A218" s="366"/>
      <c r="B218" s="369"/>
      <c r="C218" s="370"/>
      <c r="D218" s="359"/>
      <c r="E218" s="366"/>
      <c r="F218" s="371"/>
      <c r="G218" s="357"/>
      <c r="H218" s="357"/>
      <c r="I218" s="357"/>
      <c r="J218" s="357"/>
      <c r="K218" s="366"/>
      <c r="L218" s="367" t="str">
        <f t="shared" si="1"/>
        <v/>
      </c>
      <c r="M218" s="366"/>
      <c r="N218" s="366"/>
      <c r="O218" s="366"/>
      <c r="P218" s="15"/>
      <c r="Q218" s="7"/>
      <c r="R218" s="7"/>
      <c r="S218" s="7"/>
      <c r="T218" s="8"/>
      <c r="U218" s="8"/>
    </row>
    <row r="219" spans="1:21" ht="12.75">
      <c r="A219" s="366"/>
      <c r="B219" s="369"/>
      <c r="C219" s="370"/>
      <c r="D219" s="359"/>
      <c r="E219" s="366"/>
      <c r="F219" s="371"/>
      <c r="G219" s="357"/>
      <c r="H219" s="357"/>
      <c r="I219" s="357"/>
      <c r="J219" s="357"/>
      <c r="K219" s="366"/>
      <c r="L219" s="367" t="str">
        <f t="shared" si="1"/>
        <v/>
      </c>
      <c r="M219" s="366"/>
      <c r="N219" s="366"/>
      <c r="O219" s="366"/>
      <c r="P219" s="15"/>
      <c r="Q219" s="7"/>
      <c r="R219" s="7"/>
      <c r="S219" s="7"/>
      <c r="T219" s="8"/>
      <c r="U219" s="8"/>
    </row>
    <row r="220" spans="1:21" ht="12.75">
      <c r="A220" s="366"/>
      <c r="B220" s="369"/>
      <c r="C220" s="370"/>
      <c r="D220" s="359"/>
      <c r="E220" s="366"/>
      <c r="F220" s="371"/>
      <c r="G220" s="357"/>
      <c r="H220" s="357"/>
      <c r="I220" s="357"/>
      <c r="J220" s="357"/>
      <c r="K220" s="366"/>
      <c r="L220" s="367" t="str">
        <f t="shared" si="1"/>
        <v/>
      </c>
      <c r="M220" s="366"/>
      <c r="N220" s="366"/>
      <c r="O220" s="366"/>
      <c r="P220" s="15"/>
      <c r="Q220" s="7"/>
      <c r="R220" s="7"/>
      <c r="S220" s="7"/>
      <c r="T220" s="8"/>
      <c r="U220" s="8"/>
    </row>
    <row r="221" spans="1:21" ht="12.75">
      <c r="A221" s="366"/>
      <c r="B221" s="369"/>
      <c r="C221" s="370"/>
      <c r="D221" s="359"/>
      <c r="E221" s="366"/>
      <c r="F221" s="371"/>
      <c r="G221" s="357"/>
      <c r="H221" s="357"/>
      <c r="I221" s="357"/>
      <c r="J221" s="357"/>
      <c r="K221" s="366"/>
      <c r="L221" s="367" t="str">
        <f t="shared" si="1"/>
        <v/>
      </c>
      <c r="M221" s="366"/>
      <c r="N221" s="366"/>
      <c r="O221" s="366"/>
      <c r="P221" s="15"/>
      <c r="Q221" s="7"/>
      <c r="R221" s="7"/>
      <c r="S221" s="7"/>
      <c r="T221" s="8"/>
      <c r="U221" s="8"/>
    </row>
    <row r="222" spans="1:21" ht="12.75">
      <c r="A222" s="366"/>
      <c r="B222" s="369"/>
      <c r="C222" s="370"/>
      <c r="D222" s="359"/>
      <c r="E222" s="366"/>
      <c r="F222" s="371"/>
      <c r="G222" s="357"/>
      <c r="H222" s="357"/>
      <c r="I222" s="357"/>
      <c r="J222" s="357"/>
      <c r="K222" s="366"/>
      <c r="L222" s="367" t="str">
        <f t="shared" si="1"/>
        <v/>
      </c>
      <c r="M222" s="366"/>
      <c r="N222" s="366"/>
      <c r="O222" s="366"/>
      <c r="P222" s="15"/>
      <c r="Q222" s="7"/>
      <c r="R222" s="7"/>
      <c r="S222" s="7"/>
      <c r="T222" s="8"/>
      <c r="U222" s="8"/>
    </row>
    <row r="223" spans="1:21" ht="12.75">
      <c r="A223" s="366"/>
      <c r="B223" s="369"/>
      <c r="C223" s="370"/>
      <c r="D223" s="359"/>
      <c r="E223" s="366"/>
      <c r="F223" s="371"/>
      <c r="G223" s="357"/>
      <c r="H223" s="357"/>
      <c r="I223" s="357"/>
      <c r="J223" s="357"/>
      <c r="K223" s="366"/>
      <c r="L223" s="367" t="str">
        <f t="shared" si="1"/>
        <v/>
      </c>
      <c r="M223" s="366"/>
      <c r="N223" s="366"/>
      <c r="O223" s="366"/>
      <c r="P223" s="15"/>
      <c r="Q223" s="7"/>
      <c r="R223" s="7"/>
      <c r="S223" s="7"/>
      <c r="T223" s="8"/>
      <c r="U223" s="8"/>
    </row>
    <row r="224" spans="1:21" ht="12.75">
      <c r="A224" s="366"/>
      <c r="B224" s="369"/>
      <c r="C224" s="370"/>
      <c r="D224" s="359"/>
      <c r="E224" s="366"/>
      <c r="F224" s="371"/>
      <c r="G224" s="357"/>
      <c r="H224" s="357"/>
      <c r="I224" s="357"/>
      <c r="J224" s="357"/>
      <c r="K224" s="366"/>
      <c r="L224" s="367" t="str">
        <f t="shared" si="1"/>
        <v/>
      </c>
      <c r="M224" s="366"/>
      <c r="N224" s="366"/>
      <c r="O224" s="366"/>
      <c r="P224" s="15"/>
      <c r="Q224" s="7"/>
      <c r="R224" s="7"/>
      <c r="S224" s="7"/>
      <c r="T224" s="8"/>
      <c r="U224" s="8"/>
    </row>
    <row r="225" spans="1:21" ht="12.75">
      <c r="A225" s="366"/>
      <c r="B225" s="369"/>
      <c r="C225" s="370"/>
      <c r="D225" s="359"/>
      <c r="E225" s="366"/>
      <c r="F225" s="371"/>
      <c r="G225" s="357"/>
      <c r="H225" s="357"/>
      <c r="I225" s="357"/>
      <c r="J225" s="357"/>
      <c r="K225" s="366"/>
      <c r="L225" s="367" t="str">
        <f t="shared" si="1"/>
        <v/>
      </c>
      <c r="M225" s="366"/>
      <c r="N225" s="366"/>
      <c r="O225" s="366"/>
      <c r="P225" s="15"/>
      <c r="Q225" s="7"/>
      <c r="R225" s="7"/>
      <c r="S225" s="7"/>
      <c r="T225" s="8"/>
      <c r="U225" s="8"/>
    </row>
    <row r="226" spans="1:21" ht="12.75">
      <c r="A226" s="366"/>
      <c r="B226" s="369"/>
      <c r="C226" s="370"/>
      <c r="D226" s="359"/>
      <c r="E226" s="366"/>
      <c r="F226" s="371"/>
      <c r="G226" s="357"/>
      <c r="H226" s="357"/>
      <c r="I226" s="357"/>
      <c r="J226" s="357"/>
      <c r="K226" s="366"/>
      <c r="L226" s="367" t="str">
        <f t="shared" si="1"/>
        <v/>
      </c>
      <c r="M226" s="366"/>
      <c r="N226" s="366"/>
      <c r="O226" s="366"/>
      <c r="P226" s="15"/>
      <c r="Q226" s="7"/>
      <c r="R226" s="7"/>
      <c r="S226" s="7"/>
      <c r="T226" s="8"/>
      <c r="U226" s="8"/>
    </row>
    <row r="227" spans="1:21" ht="12.75">
      <c r="A227" s="366"/>
      <c r="B227" s="369"/>
      <c r="C227" s="370"/>
      <c r="D227" s="359"/>
      <c r="E227" s="366"/>
      <c r="F227" s="371"/>
      <c r="G227" s="357"/>
      <c r="H227" s="357"/>
      <c r="I227" s="357"/>
      <c r="J227" s="357"/>
      <c r="K227" s="366"/>
      <c r="L227" s="367" t="str">
        <f t="shared" si="1"/>
        <v/>
      </c>
      <c r="M227" s="366"/>
      <c r="N227" s="366"/>
      <c r="O227" s="366"/>
      <c r="P227" s="15"/>
      <c r="Q227" s="7"/>
      <c r="R227" s="7"/>
      <c r="S227" s="7"/>
      <c r="T227" s="8"/>
      <c r="U227" s="8"/>
    </row>
    <row r="228" spans="1:21" ht="12.75">
      <c r="A228" s="366"/>
      <c r="B228" s="369"/>
      <c r="C228" s="370"/>
      <c r="D228" s="359"/>
      <c r="E228" s="366"/>
      <c r="F228" s="371"/>
      <c r="G228" s="357"/>
      <c r="H228" s="357"/>
      <c r="I228" s="357"/>
      <c r="J228" s="357"/>
      <c r="K228" s="366"/>
      <c r="L228" s="367" t="str">
        <f t="shared" si="1"/>
        <v/>
      </c>
      <c r="M228" s="366"/>
      <c r="N228" s="366"/>
      <c r="O228" s="366"/>
      <c r="P228" s="15"/>
      <c r="Q228" s="7"/>
      <c r="R228" s="7"/>
      <c r="S228" s="7"/>
      <c r="T228" s="8"/>
      <c r="U228" s="8"/>
    </row>
    <row r="229" spans="1:21" ht="12.75">
      <c r="A229" s="366"/>
      <c r="B229" s="369"/>
      <c r="C229" s="370"/>
      <c r="D229" s="359"/>
      <c r="E229" s="366"/>
      <c r="F229" s="371"/>
      <c r="G229" s="357"/>
      <c r="H229" s="357"/>
      <c r="I229" s="357"/>
      <c r="J229" s="357"/>
      <c r="K229" s="366"/>
      <c r="L229" s="367" t="str">
        <f t="shared" si="1"/>
        <v/>
      </c>
      <c r="M229" s="366"/>
      <c r="N229" s="366"/>
      <c r="O229" s="366"/>
      <c r="P229" s="15"/>
      <c r="Q229" s="7"/>
      <c r="R229" s="7"/>
      <c r="S229" s="7"/>
      <c r="T229" s="8"/>
      <c r="U229" s="8"/>
    </row>
    <row r="230" spans="1:21" ht="12.75">
      <c r="A230" s="366"/>
      <c r="B230" s="369"/>
      <c r="C230" s="370"/>
      <c r="D230" s="359"/>
      <c r="E230" s="366"/>
      <c r="F230" s="371"/>
      <c r="G230" s="357"/>
      <c r="H230" s="357"/>
      <c r="I230" s="357"/>
      <c r="J230" s="357"/>
      <c r="K230" s="366"/>
      <c r="L230" s="367" t="str">
        <f t="shared" si="1"/>
        <v/>
      </c>
      <c r="M230" s="366"/>
      <c r="N230" s="366"/>
      <c r="O230" s="366"/>
      <c r="P230" s="15"/>
      <c r="Q230" s="7"/>
      <c r="R230" s="7"/>
      <c r="S230" s="7"/>
      <c r="T230" s="8"/>
      <c r="U230" s="8"/>
    </row>
    <row r="231" spans="1:21" ht="12.75">
      <c r="A231" s="366"/>
      <c r="B231" s="369"/>
      <c r="C231" s="370"/>
      <c r="D231" s="359"/>
      <c r="E231" s="366"/>
      <c r="F231" s="371"/>
      <c r="G231" s="357"/>
      <c r="H231" s="357"/>
      <c r="I231" s="357"/>
      <c r="J231" s="357"/>
      <c r="K231" s="366"/>
      <c r="L231" s="367" t="str">
        <f t="shared" si="1"/>
        <v/>
      </c>
      <c r="M231" s="366"/>
      <c r="N231" s="366"/>
      <c r="O231" s="366"/>
      <c r="P231" s="15"/>
      <c r="Q231" s="7"/>
      <c r="R231" s="7"/>
      <c r="S231" s="7"/>
      <c r="T231" s="8"/>
      <c r="U231" s="8"/>
    </row>
    <row r="232" spans="1:21" ht="12.75">
      <c r="A232" s="366"/>
      <c r="B232" s="369"/>
      <c r="C232" s="370"/>
      <c r="D232" s="359"/>
      <c r="E232" s="366"/>
      <c r="F232" s="371"/>
      <c r="G232" s="357"/>
      <c r="H232" s="357"/>
      <c r="I232" s="357"/>
      <c r="J232" s="357"/>
      <c r="K232" s="366"/>
      <c r="L232" s="367" t="str">
        <f t="shared" si="1"/>
        <v/>
      </c>
      <c r="M232" s="366"/>
      <c r="N232" s="366"/>
      <c r="O232" s="366"/>
      <c r="P232" s="15"/>
      <c r="Q232" s="7"/>
      <c r="R232" s="7"/>
      <c r="S232" s="7"/>
      <c r="T232" s="8"/>
      <c r="U232" s="8"/>
    </row>
    <row r="233" spans="1:21" ht="12.75">
      <c r="A233" s="366"/>
      <c r="B233" s="369"/>
      <c r="C233" s="370"/>
      <c r="D233" s="359"/>
      <c r="E233" s="366"/>
      <c r="F233" s="371"/>
      <c r="G233" s="357"/>
      <c r="H233" s="357"/>
      <c r="I233" s="357"/>
      <c r="J233" s="357"/>
      <c r="K233" s="366"/>
      <c r="L233" s="367" t="str">
        <f t="shared" si="1"/>
        <v/>
      </c>
      <c r="M233" s="366"/>
      <c r="N233" s="366"/>
      <c r="O233" s="366"/>
      <c r="P233" s="15"/>
      <c r="Q233" s="7"/>
      <c r="R233" s="7"/>
      <c r="S233" s="7"/>
      <c r="T233" s="8"/>
      <c r="U233" s="8"/>
    </row>
    <row r="234" spans="1:21" ht="12.75">
      <c r="A234" s="366"/>
      <c r="B234" s="369"/>
      <c r="C234" s="370"/>
      <c r="D234" s="359"/>
      <c r="E234" s="366"/>
      <c r="F234" s="371"/>
      <c r="G234" s="357"/>
      <c r="H234" s="357"/>
      <c r="I234" s="357"/>
      <c r="J234" s="357"/>
      <c r="K234" s="366"/>
      <c r="L234" s="367" t="str">
        <f t="shared" si="1"/>
        <v/>
      </c>
      <c r="M234" s="366"/>
      <c r="N234" s="366"/>
      <c r="O234" s="366"/>
      <c r="P234" s="15"/>
      <c r="Q234" s="7"/>
      <c r="R234" s="7"/>
      <c r="S234" s="7"/>
      <c r="T234" s="8"/>
      <c r="U234" s="8"/>
    </row>
    <row r="235" spans="1:21" ht="12.75">
      <c r="A235" s="366"/>
      <c r="B235" s="369"/>
      <c r="C235" s="370"/>
      <c r="D235" s="359"/>
      <c r="E235" s="366"/>
      <c r="F235" s="371"/>
      <c r="G235" s="357"/>
      <c r="H235" s="357"/>
      <c r="I235" s="357"/>
      <c r="J235" s="357"/>
      <c r="K235" s="366"/>
      <c r="L235" s="367" t="str">
        <f t="shared" si="1"/>
        <v/>
      </c>
      <c r="M235" s="366"/>
      <c r="N235" s="366"/>
      <c r="O235" s="366"/>
      <c r="P235" s="15"/>
      <c r="Q235" s="7"/>
      <c r="R235" s="7"/>
      <c r="S235" s="7"/>
      <c r="T235" s="8"/>
      <c r="U235" s="8"/>
    </row>
    <row r="236" spans="1:21" ht="12.75">
      <c r="A236" s="366"/>
      <c r="B236" s="369"/>
      <c r="C236" s="370"/>
      <c r="D236" s="359"/>
      <c r="E236" s="366"/>
      <c r="F236" s="371"/>
      <c r="G236" s="357"/>
      <c r="H236" s="357"/>
      <c r="I236" s="357"/>
      <c r="J236" s="357"/>
      <c r="K236" s="366"/>
      <c r="L236" s="367" t="str">
        <f t="shared" si="1"/>
        <v/>
      </c>
      <c r="M236" s="366"/>
      <c r="N236" s="366"/>
      <c r="O236" s="366"/>
      <c r="P236" s="15"/>
      <c r="Q236" s="7"/>
      <c r="R236" s="7"/>
      <c r="S236" s="7"/>
      <c r="T236" s="8"/>
      <c r="U236" s="8"/>
    </row>
    <row r="237" spans="1:21" ht="12.75">
      <c r="A237" s="366"/>
      <c r="B237" s="369"/>
      <c r="C237" s="370"/>
      <c r="D237" s="359"/>
      <c r="E237" s="366"/>
      <c r="F237" s="371"/>
      <c r="G237" s="357"/>
      <c r="H237" s="357"/>
      <c r="I237" s="357"/>
      <c r="J237" s="357"/>
      <c r="K237" s="366"/>
      <c r="L237" s="367" t="str">
        <f t="shared" si="1"/>
        <v/>
      </c>
      <c r="M237" s="366"/>
      <c r="N237" s="366"/>
      <c r="O237" s="366"/>
      <c r="P237" s="15"/>
      <c r="Q237" s="7"/>
      <c r="R237" s="7"/>
      <c r="S237" s="7"/>
      <c r="T237" s="8"/>
      <c r="U237" s="8"/>
    </row>
    <row r="238" spans="1:21" ht="12.75">
      <c r="A238" s="366"/>
      <c r="B238" s="369"/>
      <c r="C238" s="370"/>
      <c r="D238" s="359"/>
      <c r="E238" s="366"/>
      <c r="F238" s="371"/>
      <c r="G238" s="357"/>
      <c r="H238" s="357"/>
      <c r="I238" s="357"/>
      <c r="J238" s="357"/>
      <c r="K238" s="366"/>
      <c r="L238" s="367" t="str">
        <f t="shared" si="1"/>
        <v/>
      </c>
      <c r="M238" s="366"/>
      <c r="N238" s="366"/>
      <c r="O238" s="366"/>
      <c r="P238" s="15"/>
      <c r="Q238" s="7"/>
      <c r="R238" s="7"/>
      <c r="S238" s="7"/>
      <c r="T238" s="8"/>
      <c r="U238" s="8"/>
    </row>
    <row r="239" spans="1:21" ht="12.75">
      <c r="A239" s="366"/>
      <c r="B239" s="369"/>
      <c r="C239" s="370"/>
      <c r="D239" s="359"/>
      <c r="E239" s="366"/>
      <c r="F239" s="371"/>
      <c r="G239" s="357"/>
      <c r="H239" s="357"/>
      <c r="I239" s="357"/>
      <c r="J239" s="357"/>
      <c r="K239" s="366"/>
      <c r="L239" s="367" t="str">
        <f t="shared" si="1"/>
        <v/>
      </c>
      <c r="M239" s="366"/>
      <c r="N239" s="366"/>
      <c r="O239" s="366"/>
      <c r="P239" s="15"/>
      <c r="Q239" s="7"/>
      <c r="R239" s="7"/>
      <c r="S239" s="7"/>
      <c r="T239" s="8"/>
      <c r="U239" s="8"/>
    </row>
    <row r="240" spans="1:21" ht="12.75">
      <c r="A240" s="366"/>
      <c r="B240" s="369"/>
      <c r="C240" s="370"/>
      <c r="D240" s="359"/>
      <c r="E240" s="366"/>
      <c r="F240" s="371"/>
      <c r="G240" s="357"/>
      <c r="H240" s="357"/>
      <c r="I240" s="357"/>
      <c r="J240" s="357"/>
      <c r="K240" s="366"/>
      <c r="L240" s="367" t="str">
        <f t="shared" si="1"/>
        <v/>
      </c>
      <c r="M240" s="366"/>
      <c r="N240" s="366"/>
      <c r="O240" s="366"/>
      <c r="P240" s="15"/>
      <c r="Q240" s="7"/>
      <c r="R240" s="7"/>
      <c r="S240" s="7"/>
      <c r="T240" s="8"/>
      <c r="U240" s="8"/>
    </row>
    <row r="241" spans="1:21" ht="12.75">
      <c r="A241" s="366"/>
      <c r="B241" s="369"/>
      <c r="C241" s="370"/>
      <c r="D241" s="359"/>
      <c r="E241" s="366"/>
      <c r="F241" s="371"/>
      <c r="G241" s="357"/>
      <c r="H241" s="357"/>
      <c r="I241" s="357"/>
      <c r="J241" s="357"/>
      <c r="K241" s="366"/>
      <c r="L241" s="367" t="str">
        <f t="shared" si="1"/>
        <v/>
      </c>
      <c r="M241" s="366"/>
      <c r="N241" s="366"/>
      <c r="O241" s="366"/>
      <c r="P241" s="15"/>
      <c r="Q241" s="7"/>
      <c r="R241" s="7"/>
      <c r="S241" s="7"/>
      <c r="T241" s="8"/>
      <c r="U241" s="8"/>
    </row>
    <row r="242" spans="1:21" ht="12.75">
      <c r="A242" s="366"/>
      <c r="B242" s="369"/>
      <c r="C242" s="370"/>
      <c r="D242" s="359"/>
      <c r="E242" s="366"/>
      <c r="F242" s="371"/>
      <c r="G242" s="357"/>
      <c r="H242" s="357"/>
      <c r="I242" s="357"/>
      <c r="J242" s="357"/>
      <c r="K242" s="366"/>
      <c r="L242" s="367" t="str">
        <f t="shared" si="1"/>
        <v/>
      </c>
      <c r="M242" s="366"/>
      <c r="N242" s="366"/>
      <c r="O242" s="366"/>
      <c r="P242" s="15"/>
      <c r="Q242" s="7"/>
      <c r="R242" s="7"/>
      <c r="S242" s="7"/>
      <c r="T242" s="8"/>
      <c r="U242" s="8"/>
    </row>
    <row r="243" spans="1:21" ht="12.75">
      <c r="A243" s="366"/>
      <c r="B243" s="369"/>
      <c r="C243" s="370"/>
      <c r="D243" s="359"/>
      <c r="E243" s="366"/>
      <c r="F243" s="371"/>
      <c r="G243" s="357"/>
      <c r="H243" s="357"/>
      <c r="I243" s="357"/>
      <c r="J243" s="357"/>
      <c r="K243" s="366"/>
      <c r="L243" s="367" t="str">
        <f t="shared" si="1"/>
        <v/>
      </c>
      <c r="M243" s="366"/>
      <c r="N243" s="366"/>
      <c r="O243" s="366"/>
      <c r="P243" s="15"/>
      <c r="Q243" s="7"/>
      <c r="R243" s="7"/>
      <c r="S243" s="7"/>
      <c r="T243" s="8"/>
      <c r="U243" s="8"/>
    </row>
    <row r="244" spans="1:21" ht="12.75">
      <c r="A244" s="366"/>
      <c r="B244" s="369"/>
      <c r="C244" s="370"/>
      <c r="D244" s="359"/>
      <c r="E244" s="366"/>
      <c r="F244" s="371"/>
      <c r="G244" s="357"/>
      <c r="H244" s="357"/>
      <c r="I244" s="357"/>
      <c r="J244" s="357"/>
      <c r="K244" s="366"/>
      <c r="L244" s="367" t="str">
        <f t="shared" si="1"/>
        <v/>
      </c>
      <c r="M244" s="366"/>
      <c r="N244" s="366"/>
      <c r="O244" s="366"/>
      <c r="P244" s="15"/>
      <c r="Q244" s="7"/>
      <c r="R244" s="7"/>
      <c r="S244" s="7"/>
      <c r="T244" s="8"/>
      <c r="U244" s="8"/>
    </row>
    <row r="245" spans="1:21" ht="14.25">
      <c r="A245" s="10"/>
      <c r="B245" s="343"/>
      <c r="C245" s="363"/>
      <c r="D245" s="364"/>
      <c r="E245" s="12"/>
      <c r="F245" s="376"/>
      <c r="G245" s="365"/>
      <c r="H245" s="365"/>
      <c r="I245" s="365"/>
      <c r="J245" s="365"/>
      <c r="K245" s="12"/>
      <c r="L245" s="70" t="str">
        <f t="shared" si="1"/>
        <v/>
      </c>
      <c r="M245" s="12"/>
      <c r="N245" s="12"/>
      <c r="O245" s="12"/>
      <c r="P245" s="15"/>
      <c r="Q245" s="7"/>
      <c r="R245" s="7"/>
      <c r="S245" s="7"/>
      <c r="T245" s="8"/>
      <c r="U245" s="8"/>
    </row>
    <row r="246" spans="1:21" ht="14.25">
      <c r="A246" s="10"/>
      <c r="B246" s="343"/>
      <c r="C246" s="347"/>
      <c r="D246" s="352"/>
      <c r="E246" s="12"/>
      <c r="F246" s="376"/>
      <c r="G246" s="357"/>
      <c r="H246" s="357"/>
      <c r="I246" s="357"/>
      <c r="J246" s="357"/>
      <c r="K246" s="12"/>
      <c r="L246" s="70" t="str">
        <f t="shared" si="1"/>
        <v/>
      </c>
      <c r="M246" s="12"/>
      <c r="N246" s="12"/>
      <c r="O246" s="12"/>
      <c r="P246" s="15"/>
      <c r="Q246" s="7"/>
      <c r="R246" s="7"/>
      <c r="S246" s="7"/>
      <c r="T246" s="8"/>
      <c r="U246" s="8"/>
    </row>
    <row r="247" spans="1:21" ht="14.25">
      <c r="A247" s="10"/>
      <c r="B247" s="343"/>
      <c r="C247" s="347"/>
      <c r="D247" s="352"/>
      <c r="E247" s="12"/>
      <c r="F247" s="376"/>
      <c r="G247" s="357"/>
      <c r="H247" s="357"/>
      <c r="I247" s="357"/>
      <c r="J247" s="357"/>
      <c r="K247" s="12"/>
      <c r="L247" s="70" t="str">
        <f t="shared" si="1"/>
        <v/>
      </c>
      <c r="M247" s="12"/>
      <c r="N247" s="12"/>
      <c r="O247" s="12"/>
      <c r="P247" s="15"/>
      <c r="Q247" s="7"/>
      <c r="R247" s="7"/>
      <c r="S247" s="7"/>
      <c r="T247" s="8"/>
      <c r="U247" s="8"/>
    </row>
    <row r="248" spans="1:21" ht="14.25">
      <c r="A248" s="10"/>
      <c r="B248" s="343"/>
      <c r="C248" s="347"/>
      <c r="D248" s="352"/>
      <c r="E248" s="12"/>
      <c r="F248" s="376"/>
      <c r="G248" s="357"/>
      <c r="H248" s="357"/>
      <c r="I248" s="357"/>
      <c r="J248" s="357"/>
      <c r="K248" s="12"/>
      <c r="L248" s="70" t="str">
        <f t="shared" si="1"/>
        <v/>
      </c>
      <c r="M248" s="12"/>
      <c r="N248" s="12"/>
      <c r="O248" s="12"/>
      <c r="P248" s="15"/>
      <c r="Q248" s="7"/>
      <c r="R248" s="7"/>
      <c r="S248" s="7"/>
      <c r="T248" s="8"/>
      <c r="U248" s="8"/>
    </row>
    <row r="249" spans="1:21" ht="14.25">
      <c r="A249" s="10"/>
      <c r="B249" s="343"/>
      <c r="C249" s="347"/>
      <c r="D249" s="352"/>
      <c r="E249" s="12"/>
      <c r="F249" s="376"/>
      <c r="G249" s="357"/>
      <c r="H249" s="357"/>
      <c r="I249" s="357"/>
      <c r="J249" s="357"/>
      <c r="K249" s="12"/>
      <c r="L249" s="70" t="str">
        <f t="shared" si="1"/>
        <v/>
      </c>
      <c r="M249" s="12"/>
      <c r="N249" s="12"/>
      <c r="O249" s="12"/>
      <c r="P249" s="15"/>
      <c r="Q249" s="7"/>
      <c r="R249" s="7"/>
      <c r="S249" s="7"/>
      <c r="T249" s="8"/>
      <c r="U249" s="8"/>
    </row>
    <row r="250" spans="1:21" ht="14.25">
      <c r="A250" s="10"/>
      <c r="B250" s="343"/>
      <c r="C250" s="347"/>
      <c r="D250" s="352"/>
      <c r="E250" s="12"/>
      <c r="F250" s="376"/>
      <c r="G250" s="357"/>
      <c r="H250" s="357"/>
      <c r="I250" s="357"/>
      <c r="J250" s="357"/>
      <c r="K250" s="12"/>
      <c r="L250" s="70" t="str">
        <f t="shared" si="1"/>
        <v/>
      </c>
      <c r="M250" s="12"/>
      <c r="N250" s="12"/>
      <c r="O250" s="12"/>
      <c r="P250" s="15"/>
      <c r="Q250" s="7"/>
      <c r="R250" s="7"/>
      <c r="S250" s="7"/>
      <c r="T250" s="8"/>
      <c r="U250" s="8"/>
    </row>
    <row r="251" spans="1:21" ht="14.25">
      <c r="A251" s="10"/>
      <c r="B251" s="343"/>
      <c r="C251" s="347"/>
      <c r="D251" s="352"/>
      <c r="E251" s="12"/>
      <c r="F251" s="376"/>
      <c r="G251" s="357"/>
      <c r="H251" s="357"/>
      <c r="I251" s="357"/>
      <c r="J251" s="357"/>
      <c r="K251" s="12"/>
      <c r="L251" s="70" t="str">
        <f t="shared" si="1"/>
        <v/>
      </c>
      <c r="M251" s="12"/>
      <c r="N251" s="12"/>
      <c r="O251" s="12"/>
      <c r="P251" s="15"/>
      <c r="Q251" s="7"/>
      <c r="R251" s="7"/>
      <c r="S251" s="7"/>
      <c r="T251" s="8"/>
      <c r="U251" s="8"/>
    </row>
    <row r="252" spans="1:21" ht="14.25">
      <c r="A252" s="10"/>
      <c r="B252" s="343"/>
      <c r="C252" s="347"/>
      <c r="D252" s="352"/>
      <c r="E252" s="12"/>
      <c r="F252" s="376"/>
      <c r="G252" s="357"/>
      <c r="H252" s="357"/>
      <c r="I252" s="357"/>
      <c r="J252" s="357"/>
      <c r="K252" s="12"/>
      <c r="L252" s="70" t="str">
        <f t="shared" si="1"/>
        <v/>
      </c>
      <c r="M252" s="12"/>
      <c r="N252" s="12"/>
      <c r="O252" s="12"/>
      <c r="P252" s="15"/>
      <c r="Q252" s="7"/>
      <c r="R252" s="7"/>
      <c r="S252" s="7"/>
      <c r="T252" s="8"/>
      <c r="U252" s="8"/>
    </row>
    <row r="253" spans="1:21" ht="14.25">
      <c r="A253" s="10"/>
      <c r="B253" s="343"/>
      <c r="C253" s="347"/>
      <c r="D253" s="352"/>
      <c r="E253" s="12"/>
      <c r="F253" s="376"/>
      <c r="G253" s="357"/>
      <c r="H253" s="357"/>
      <c r="I253" s="357"/>
      <c r="J253" s="357"/>
      <c r="K253" s="12"/>
      <c r="L253" s="70" t="str">
        <f t="shared" si="1"/>
        <v/>
      </c>
      <c r="M253" s="12"/>
      <c r="N253" s="12"/>
      <c r="O253" s="12"/>
      <c r="P253" s="15"/>
      <c r="Q253" s="7"/>
      <c r="R253" s="7"/>
      <c r="S253" s="7"/>
      <c r="T253" s="8"/>
      <c r="U253" s="8"/>
    </row>
    <row r="254" spans="1:21" ht="14.25">
      <c r="A254" s="10"/>
      <c r="B254" s="343"/>
      <c r="C254" s="347"/>
      <c r="D254" s="352"/>
      <c r="E254" s="12"/>
      <c r="F254" s="376"/>
      <c r="G254" s="357"/>
      <c r="H254" s="357"/>
      <c r="I254" s="357"/>
      <c r="J254" s="357"/>
      <c r="K254" s="12"/>
      <c r="L254" s="70" t="str">
        <f t="shared" si="1"/>
        <v/>
      </c>
      <c r="M254" s="12"/>
      <c r="N254" s="12"/>
      <c r="O254" s="12"/>
      <c r="P254" s="15"/>
      <c r="Q254" s="7"/>
      <c r="R254" s="7"/>
      <c r="S254" s="7"/>
      <c r="T254" s="8"/>
      <c r="U254" s="8"/>
    </row>
    <row r="255" spans="1:21" ht="14.25">
      <c r="A255" s="10"/>
      <c r="B255" s="343"/>
      <c r="C255" s="347"/>
      <c r="D255" s="352"/>
      <c r="E255" s="12"/>
      <c r="F255" s="376"/>
      <c r="G255" s="357"/>
      <c r="H255" s="357"/>
      <c r="I255" s="357"/>
      <c r="J255" s="357"/>
      <c r="K255" s="12"/>
      <c r="L255" s="70" t="str">
        <f t="shared" si="1"/>
        <v/>
      </c>
      <c r="M255" s="12"/>
      <c r="N255" s="12"/>
      <c r="O255" s="12"/>
      <c r="P255" s="15"/>
      <c r="Q255" s="7"/>
      <c r="R255" s="7"/>
      <c r="S255" s="7"/>
      <c r="T255" s="8"/>
      <c r="U255" s="8"/>
    </row>
    <row r="256" spans="1:21" ht="14.25">
      <c r="A256" s="10"/>
      <c r="B256" s="343"/>
      <c r="C256" s="347"/>
      <c r="D256" s="352"/>
      <c r="E256" s="12"/>
      <c r="F256" s="376"/>
      <c r="G256" s="357"/>
      <c r="H256" s="357"/>
      <c r="I256" s="357"/>
      <c r="J256" s="357"/>
      <c r="K256" s="12"/>
      <c r="L256" s="70" t="str">
        <f t="shared" si="1"/>
        <v/>
      </c>
      <c r="M256" s="12"/>
      <c r="N256" s="12"/>
      <c r="O256" s="12"/>
      <c r="P256" s="15"/>
      <c r="Q256" s="7"/>
      <c r="R256" s="7"/>
      <c r="S256" s="7"/>
      <c r="T256" s="8"/>
      <c r="U256" s="8"/>
    </row>
    <row r="257" spans="1:21" ht="14.25">
      <c r="A257" s="10"/>
      <c r="B257" s="343"/>
      <c r="C257" s="347"/>
      <c r="D257" s="352"/>
      <c r="E257" s="12"/>
      <c r="F257" s="376"/>
      <c r="G257" s="357"/>
      <c r="H257" s="357"/>
      <c r="I257" s="357"/>
      <c r="J257" s="357"/>
      <c r="K257" s="12"/>
      <c r="L257" s="70" t="str">
        <f t="shared" si="1"/>
        <v/>
      </c>
      <c r="M257" s="12"/>
      <c r="N257" s="12"/>
      <c r="O257" s="12"/>
      <c r="P257" s="15"/>
      <c r="Q257" s="7"/>
      <c r="R257" s="7"/>
      <c r="S257" s="7"/>
      <c r="T257" s="8"/>
      <c r="U257" s="8"/>
    </row>
    <row r="258" spans="1:21" ht="14.25">
      <c r="A258" s="10"/>
      <c r="B258" s="343"/>
      <c r="C258" s="347"/>
      <c r="D258" s="352"/>
      <c r="E258" s="12"/>
      <c r="F258" s="376"/>
      <c r="G258" s="357"/>
      <c r="H258" s="357"/>
      <c r="I258" s="357"/>
      <c r="J258" s="357"/>
      <c r="K258" s="12"/>
      <c r="L258" s="70" t="str">
        <f t="shared" si="1"/>
        <v/>
      </c>
      <c r="M258" s="12"/>
      <c r="N258" s="12"/>
      <c r="O258" s="12"/>
      <c r="P258" s="15"/>
      <c r="Q258" s="7"/>
      <c r="R258" s="7"/>
      <c r="S258" s="7"/>
      <c r="T258" s="8"/>
      <c r="U258" s="8"/>
    </row>
    <row r="259" spans="1:21" ht="14.25">
      <c r="A259" s="10"/>
      <c r="B259" s="343"/>
      <c r="C259" s="347"/>
      <c r="D259" s="352"/>
      <c r="E259" s="12"/>
      <c r="F259" s="376"/>
      <c r="G259" s="357"/>
      <c r="H259" s="357"/>
      <c r="I259" s="357"/>
      <c r="J259" s="357"/>
      <c r="K259" s="12"/>
      <c r="L259" s="70" t="str">
        <f t="shared" si="1"/>
        <v/>
      </c>
      <c r="M259" s="12"/>
      <c r="N259" s="12"/>
      <c r="O259" s="12"/>
      <c r="P259" s="15"/>
      <c r="Q259" s="7"/>
      <c r="R259" s="7"/>
      <c r="S259" s="7"/>
      <c r="T259" s="8"/>
      <c r="U259" s="8"/>
    </row>
    <row r="260" spans="1:21" ht="14.25">
      <c r="A260" s="10"/>
      <c r="B260" s="343"/>
      <c r="C260" s="347"/>
      <c r="D260" s="352"/>
      <c r="E260" s="12"/>
      <c r="F260" s="376"/>
      <c r="G260" s="357"/>
      <c r="H260" s="357"/>
      <c r="I260" s="357"/>
      <c r="J260" s="357"/>
      <c r="K260" s="12"/>
      <c r="L260" s="70" t="str">
        <f t="shared" si="1"/>
        <v/>
      </c>
      <c r="M260" s="12"/>
      <c r="N260" s="12"/>
      <c r="O260" s="12"/>
      <c r="P260" s="15"/>
      <c r="Q260" s="7"/>
      <c r="R260" s="7"/>
      <c r="S260" s="7"/>
      <c r="T260" s="8"/>
      <c r="U260" s="8"/>
    </row>
    <row r="261" spans="1:21" ht="14.25">
      <c r="A261" s="10"/>
      <c r="B261" s="343"/>
      <c r="C261" s="347"/>
      <c r="D261" s="352"/>
      <c r="E261" s="12"/>
      <c r="F261" s="376"/>
      <c r="G261" s="357"/>
      <c r="H261" s="357"/>
      <c r="I261" s="357"/>
      <c r="J261" s="357"/>
      <c r="K261" s="12"/>
      <c r="L261" s="70" t="str">
        <f t="shared" si="1"/>
        <v/>
      </c>
      <c r="M261" s="12"/>
      <c r="N261" s="12"/>
      <c r="O261" s="12"/>
      <c r="P261" s="15"/>
      <c r="Q261" s="7"/>
      <c r="R261" s="7"/>
      <c r="S261" s="7"/>
      <c r="T261" s="8"/>
      <c r="U261" s="8"/>
    </row>
    <row r="262" spans="1:21" ht="14.25">
      <c r="A262" s="10"/>
      <c r="B262" s="343"/>
      <c r="C262" s="347"/>
      <c r="D262" s="352"/>
      <c r="E262" s="12"/>
      <c r="F262" s="376"/>
      <c r="G262" s="357"/>
      <c r="H262" s="357"/>
      <c r="I262" s="357"/>
      <c r="J262" s="357"/>
      <c r="K262" s="12"/>
      <c r="L262" s="70" t="str">
        <f t="shared" si="1"/>
        <v/>
      </c>
      <c r="M262" s="12"/>
      <c r="N262" s="12"/>
      <c r="O262" s="12"/>
      <c r="P262" s="15"/>
      <c r="Q262" s="7"/>
      <c r="R262" s="7"/>
      <c r="S262" s="7"/>
      <c r="T262" s="8"/>
      <c r="U262" s="8"/>
    </row>
    <row r="263" spans="1:21" ht="14.25">
      <c r="A263" s="10"/>
      <c r="B263" s="343"/>
      <c r="C263" s="347"/>
      <c r="D263" s="352"/>
      <c r="E263" s="12"/>
      <c r="F263" s="376"/>
      <c r="G263" s="357"/>
      <c r="H263" s="357"/>
      <c r="I263" s="357"/>
      <c r="J263" s="357"/>
      <c r="K263" s="12"/>
      <c r="L263" s="70" t="str">
        <f t="shared" si="1"/>
        <v/>
      </c>
      <c r="M263" s="12"/>
      <c r="N263" s="12"/>
      <c r="O263" s="12"/>
      <c r="P263" s="15"/>
      <c r="Q263" s="7"/>
      <c r="R263" s="7"/>
      <c r="S263" s="7"/>
      <c r="T263" s="8"/>
      <c r="U263" s="8"/>
    </row>
    <row r="264" spans="1:21" ht="14.25">
      <c r="A264" s="10"/>
      <c r="B264" s="343"/>
      <c r="C264" s="347"/>
      <c r="D264" s="352"/>
      <c r="E264" s="12"/>
      <c r="F264" s="376"/>
      <c r="G264" s="357"/>
      <c r="H264" s="357"/>
      <c r="I264" s="357"/>
      <c r="J264" s="357"/>
      <c r="K264" s="12"/>
      <c r="L264" s="70" t="str">
        <f t="shared" si="1"/>
        <v/>
      </c>
      <c r="M264" s="12"/>
      <c r="N264" s="12"/>
      <c r="O264" s="12"/>
      <c r="P264" s="15"/>
      <c r="Q264" s="7"/>
      <c r="R264" s="7"/>
      <c r="S264" s="7"/>
      <c r="T264" s="8"/>
      <c r="U264" s="8"/>
    </row>
    <row r="265" spans="1:21" ht="14.25">
      <c r="A265" s="10"/>
      <c r="B265" s="343"/>
      <c r="C265" s="347"/>
      <c r="D265" s="352"/>
      <c r="E265" s="12"/>
      <c r="F265" s="376"/>
      <c r="G265" s="357"/>
      <c r="H265" s="357"/>
      <c r="I265" s="357"/>
      <c r="J265" s="357"/>
      <c r="K265" s="12"/>
      <c r="L265" s="70" t="str">
        <f t="shared" si="1"/>
        <v/>
      </c>
      <c r="M265" s="12"/>
      <c r="N265" s="12"/>
      <c r="O265" s="12"/>
      <c r="P265" s="15"/>
      <c r="Q265" s="7"/>
      <c r="R265" s="7"/>
      <c r="S265" s="7"/>
      <c r="T265" s="8"/>
      <c r="U265" s="8"/>
    </row>
    <row r="266" spans="1:21" ht="14.25">
      <c r="A266" s="10"/>
      <c r="B266" s="343"/>
      <c r="C266" s="347"/>
      <c r="D266" s="352"/>
      <c r="E266" s="12"/>
      <c r="F266" s="376"/>
      <c r="G266" s="357"/>
      <c r="H266" s="357"/>
      <c r="I266" s="357"/>
      <c r="J266" s="357"/>
      <c r="K266" s="12"/>
      <c r="L266" s="70" t="str">
        <f t="shared" si="1"/>
        <v/>
      </c>
      <c r="M266" s="12"/>
      <c r="N266" s="12"/>
      <c r="O266" s="12"/>
      <c r="P266" s="15"/>
      <c r="Q266" s="7"/>
      <c r="R266" s="7"/>
      <c r="S266" s="7"/>
      <c r="T266" s="8"/>
      <c r="U266" s="8"/>
    </row>
    <row r="267" spans="1:21" ht="14.25">
      <c r="A267" s="10"/>
      <c r="B267" s="343"/>
      <c r="C267" s="347"/>
      <c r="D267" s="352"/>
      <c r="E267" s="12"/>
      <c r="F267" s="376"/>
      <c r="G267" s="357"/>
      <c r="H267" s="357"/>
      <c r="I267" s="357"/>
      <c r="J267" s="357"/>
      <c r="K267" s="12"/>
      <c r="L267" s="70" t="str">
        <f t="shared" si="1"/>
        <v/>
      </c>
      <c r="M267" s="12"/>
      <c r="N267" s="12"/>
      <c r="O267" s="12"/>
      <c r="P267" s="15"/>
      <c r="Q267" s="7"/>
      <c r="R267" s="7"/>
      <c r="S267" s="7"/>
      <c r="T267" s="8"/>
      <c r="U267" s="8"/>
    </row>
    <row r="268" spans="1:21" ht="14.25">
      <c r="A268" s="10"/>
      <c r="B268" s="343"/>
      <c r="C268" s="347"/>
      <c r="D268" s="352"/>
      <c r="E268" s="12"/>
      <c r="F268" s="376"/>
      <c r="G268" s="357"/>
      <c r="H268" s="357"/>
      <c r="I268" s="357"/>
      <c r="J268" s="357"/>
      <c r="K268" s="12"/>
      <c r="L268" s="70" t="str">
        <f t="shared" si="1"/>
        <v/>
      </c>
      <c r="M268" s="12"/>
      <c r="N268" s="12"/>
      <c r="O268" s="12"/>
      <c r="P268" s="15"/>
      <c r="Q268" s="7"/>
      <c r="R268" s="7"/>
      <c r="S268" s="7"/>
      <c r="T268" s="8"/>
      <c r="U268" s="8"/>
    </row>
    <row r="269" spans="1:21" ht="14.25">
      <c r="A269" s="10"/>
      <c r="B269" s="343"/>
      <c r="C269" s="347"/>
      <c r="D269" s="352"/>
      <c r="E269" s="12"/>
      <c r="F269" s="376"/>
      <c r="G269" s="357"/>
      <c r="H269" s="357"/>
      <c r="I269" s="357"/>
      <c r="J269" s="357"/>
      <c r="K269" s="12"/>
      <c r="L269" s="70" t="str">
        <f t="shared" si="1"/>
        <v/>
      </c>
      <c r="M269" s="12"/>
      <c r="N269" s="12"/>
      <c r="O269" s="12"/>
      <c r="P269" s="15"/>
      <c r="Q269" s="7"/>
      <c r="R269" s="7"/>
      <c r="S269" s="7"/>
      <c r="T269" s="8"/>
      <c r="U269" s="8"/>
    </row>
    <row r="270" spans="1:21" ht="14.25">
      <c r="A270" s="10"/>
      <c r="B270" s="343"/>
      <c r="C270" s="347"/>
      <c r="D270" s="352"/>
      <c r="E270" s="12"/>
      <c r="F270" s="376"/>
      <c r="G270" s="357"/>
      <c r="H270" s="357"/>
      <c r="I270" s="357"/>
      <c r="J270" s="357"/>
      <c r="K270" s="12"/>
      <c r="L270" s="70" t="str">
        <f t="shared" si="1"/>
        <v/>
      </c>
      <c r="M270" s="12"/>
      <c r="N270" s="12"/>
      <c r="O270" s="12"/>
      <c r="P270" s="15"/>
      <c r="Q270" s="7"/>
      <c r="R270" s="7"/>
      <c r="S270" s="7"/>
      <c r="T270" s="8"/>
      <c r="U270" s="8"/>
    </row>
    <row r="271" spans="1:21" ht="14.25">
      <c r="A271" s="10"/>
      <c r="B271" s="343"/>
      <c r="C271" s="347"/>
      <c r="D271" s="352"/>
      <c r="E271" s="12"/>
      <c r="F271" s="376"/>
      <c r="G271" s="357"/>
      <c r="H271" s="357"/>
      <c r="I271" s="357"/>
      <c r="J271" s="357"/>
      <c r="K271" s="12"/>
      <c r="L271" s="70" t="str">
        <f t="shared" si="1"/>
        <v/>
      </c>
      <c r="M271" s="12"/>
      <c r="N271" s="12"/>
      <c r="O271" s="12"/>
      <c r="P271" s="15"/>
      <c r="Q271" s="7"/>
      <c r="R271" s="7"/>
      <c r="S271" s="7"/>
      <c r="T271" s="8"/>
      <c r="U271" s="8"/>
    </row>
    <row r="272" spans="1:21" ht="14.25">
      <c r="A272" s="10"/>
      <c r="B272" s="343"/>
      <c r="C272" s="347"/>
      <c r="D272" s="352"/>
      <c r="E272" s="12"/>
      <c r="F272" s="376"/>
      <c r="G272" s="357"/>
      <c r="H272" s="357"/>
      <c r="I272" s="357"/>
      <c r="J272" s="357"/>
      <c r="K272" s="12"/>
      <c r="L272" s="70" t="str">
        <f t="shared" si="1"/>
        <v/>
      </c>
      <c r="M272" s="12"/>
      <c r="N272" s="12"/>
      <c r="O272" s="12"/>
      <c r="P272" s="15"/>
      <c r="Q272" s="7"/>
      <c r="R272" s="7"/>
      <c r="S272" s="7"/>
      <c r="T272" s="8"/>
      <c r="U272" s="8"/>
    </row>
    <row r="273" spans="1:21" ht="14.25">
      <c r="A273" s="10"/>
      <c r="B273" s="343"/>
      <c r="C273" s="347"/>
      <c r="D273" s="352"/>
      <c r="E273" s="12"/>
      <c r="F273" s="376"/>
      <c r="G273" s="357"/>
      <c r="H273" s="357"/>
      <c r="I273" s="357"/>
      <c r="J273" s="357"/>
      <c r="K273" s="12"/>
      <c r="L273" s="70" t="str">
        <f t="shared" si="1"/>
        <v/>
      </c>
      <c r="M273" s="12"/>
      <c r="N273" s="12"/>
      <c r="O273" s="12"/>
      <c r="P273" s="15"/>
      <c r="Q273" s="7"/>
      <c r="R273" s="7"/>
      <c r="S273" s="7"/>
      <c r="T273" s="8"/>
      <c r="U273" s="8"/>
    </row>
    <row r="274" spans="1:21" ht="14.25">
      <c r="A274" s="10"/>
      <c r="B274" s="343"/>
      <c r="C274" s="347"/>
      <c r="D274" s="352"/>
      <c r="E274" s="12"/>
      <c r="F274" s="376"/>
      <c r="G274" s="357"/>
      <c r="H274" s="357"/>
      <c r="I274" s="357"/>
      <c r="J274" s="357"/>
      <c r="K274" s="12"/>
      <c r="L274" s="70" t="str">
        <f t="shared" si="1"/>
        <v/>
      </c>
      <c r="M274" s="12"/>
      <c r="N274" s="12"/>
      <c r="O274" s="12"/>
      <c r="P274" s="15"/>
      <c r="Q274" s="7"/>
      <c r="R274" s="7"/>
      <c r="S274" s="7"/>
      <c r="T274" s="8"/>
      <c r="U274" s="8"/>
    </row>
    <row r="275" spans="1:21" ht="14.25">
      <c r="A275" s="10"/>
      <c r="B275" s="343"/>
      <c r="C275" s="347"/>
      <c r="D275" s="352"/>
      <c r="E275" s="12"/>
      <c r="F275" s="376"/>
      <c r="G275" s="357"/>
      <c r="H275" s="357"/>
      <c r="I275" s="357"/>
      <c r="J275" s="357"/>
      <c r="K275" s="12"/>
      <c r="L275" s="70" t="str">
        <f t="shared" si="1"/>
        <v/>
      </c>
      <c r="M275" s="12"/>
      <c r="N275" s="12"/>
      <c r="O275" s="12"/>
      <c r="P275" s="15"/>
      <c r="Q275" s="7"/>
      <c r="R275" s="7"/>
      <c r="S275" s="7"/>
      <c r="T275" s="8"/>
      <c r="U275" s="8"/>
    </row>
    <row r="276" spans="1:21" ht="14.25">
      <c r="A276" s="10"/>
      <c r="B276" s="343"/>
      <c r="C276" s="347"/>
      <c r="D276" s="352"/>
      <c r="E276" s="12"/>
      <c r="F276" s="376"/>
      <c r="G276" s="357"/>
      <c r="H276" s="357"/>
      <c r="I276" s="357"/>
      <c r="J276" s="357"/>
      <c r="K276" s="12"/>
      <c r="L276" s="70" t="str">
        <f t="shared" si="1"/>
        <v/>
      </c>
      <c r="M276" s="12"/>
      <c r="N276" s="12"/>
      <c r="O276" s="12"/>
      <c r="P276" s="15"/>
      <c r="Q276" s="7"/>
      <c r="R276" s="7"/>
      <c r="S276" s="7"/>
      <c r="T276" s="8"/>
      <c r="U276" s="8"/>
    </row>
    <row r="277" spans="1:21" ht="14.25">
      <c r="A277" s="10"/>
      <c r="B277" s="343"/>
      <c r="C277" s="347"/>
      <c r="D277" s="352"/>
      <c r="E277" s="12"/>
      <c r="F277" s="376"/>
      <c r="G277" s="357"/>
      <c r="H277" s="357"/>
      <c r="I277" s="357"/>
      <c r="J277" s="357"/>
      <c r="K277" s="12"/>
      <c r="L277" s="70" t="str">
        <f t="shared" si="1"/>
        <v/>
      </c>
      <c r="M277" s="12"/>
      <c r="N277" s="12"/>
      <c r="O277" s="12"/>
      <c r="P277" s="15"/>
      <c r="Q277" s="7"/>
      <c r="R277" s="7"/>
      <c r="S277" s="7"/>
      <c r="T277" s="8"/>
      <c r="U277" s="8"/>
    </row>
    <row r="278" spans="1:21" ht="14.25">
      <c r="A278" s="10"/>
      <c r="B278" s="343"/>
      <c r="C278" s="347"/>
      <c r="D278" s="352"/>
      <c r="E278" s="12"/>
      <c r="F278" s="376"/>
      <c r="G278" s="357"/>
      <c r="H278" s="357"/>
      <c r="I278" s="357"/>
      <c r="J278" s="357"/>
      <c r="K278" s="12"/>
      <c r="L278" s="70" t="str">
        <f t="shared" si="1"/>
        <v/>
      </c>
      <c r="M278" s="12"/>
      <c r="N278" s="12"/>
      <c r="O278" s="12"/>
      <c r="P278" s="15"/>
      <c r="Q278" s="7"/>
      <c r="R278" s="7"/>
      <c r="S278" s="7"/>
      <c r="T278" s="8"/>
      <c r="U278" s="8"/>
    </row>
    <row r="279" spans="1:21" ht="14.25">
      <c r="A279" s="10"/>
      <c r="B279" s="343"/>
      <c r="C279" s="347"/>
      <c r="D279" s="352"/>
      <c r="E279" s="12"/>
      <c r="F279" s="376"/>
      <c r="G279" s="357"/>
      <c r="H279" s="357"/>
      <c r="I279" s="357"/>
      <c r="J279" s="357"/>
      <c r="K279" s="12"/>
      <c r="L279" s="70" t="str">
        <f t="shared" si="1"/>
        <v/>
      </c>
      <c r="M279" s="12"/>
      <c r="N279" s="12"/>
      <c r="O279" s="12"/>
      <c r="P279" s="15"/>
      <c r="Q279" s="7"/>
      <c r="R279" s="7"/>
      <c r="S279" s="7"/>
      <c r="T279" s="8"/>
      <c r="U279" s="8"/>
    </row>
    <row r="280" spans="1:21" ht="14.25">
      <c r="A280" s="10"/>
      <c r="B280" s="343"/>
      <c r="C280" s="347"/>
      <c r="D280" s="352"/>
      <c r="E280" s="12"/>
      <c r="F280" s="376"/>
      <c r="G280" s="357"/>
      <c r="H280" s="357"/>
      <c r="I280" s="357"/>
      <c r="J280" s="357"/>
      <c r="K280" s="12"/>
      <c r="L280" s="70" t="str">
        <f t="shared" si="1"/>
        <v/>
      </c>
      <c r="M280" s="12"/>
      <c r="N280" s="12"/>
      <c r="O280" s="12"/>
      <c r="P280" s="15"/>
      <c r="Q280" s="7"/>
      <c r="R280" s="7"/>
      <c r="S280" s="7"/>
      <c r="T280" s="8"/>
      <c r="U280" s="8"/>
    </row>
    <row r="281" spans="1:21" ht="14.25">
      <c r="A281" s="10"/>
      <c r="B281" s="343"/>
      <c r="C281" s="347"/>
      <c r="D281" s="352"/>
      <c r="E281" s="12"/>
      <c r="F281" s="376"/>
      <c r="G281" s="357"/>
      <c r="H281" s="357"/>
      <c r="I281" s="357"/>
      <c r="J281" s="357"/>
      <c r="K281" s="12"/>
      <c r="L281" s="70" t="str">
        <f t="shared" si="1"/>
        <v/>
      </c>
      <c r="M281" s="12"/>
      <c r="N281" s="12"/>
      <c r="O281" s="12"/>
      <c r="P281" s="15"/>
      <c r="Q281" s="7"/>
      <c r="R281" s="7"/>
      <c r="S281" s="7"/>
      <c r="T281" s="8"/>
      <c r="U281" s="8"/>
    </row>
    <row r="282" spans="1:21" ht="14.25">
      <c r="A282" s="10"/>
      <c r="B282" s="343"/>
      <c r="C282" s="347"/>
      <c r="D282" s="352"/>
      <c r="E282" s="12"/>
      <c r="F282" s="376"/>
      <c r="G282" s="357"/>
      <c r="H282" s="357"/>
      <c r="I282" s="357"/>
      <c r="J282" s="357"/>
      <c r="K282" s="12"/>
      <c r="L282" s="70" t="str">
        <f t="shared" si="1"/>
        <v/>
      </c>
      <c r="M282" s="12"/>
      <c r="N282" s="12"/>
      <c r="O282" s="12"/>
      <c r="P282" s="15"/>
      <c r="Q282" s="7"/>
      <c r="R282" s="7"/>
      <c r="S282" s="7"/>
      <c r="T282" s="8"/>
      <c r="U282" s="8"/>
    </row>
    <row r="283" spans="1:21" ht="14.25">
      <c r="A283" s="10"/>
      <c r="B283" s="343"/>
      <c r="C283" s="347"/>
      <c r="D283" s="352"/>
      <c r="E283" s="12"/>
      <c r="F283" s="376"/>
      <c r="G283" s="340"/>
      <c r="H283" s="340"/>
      <c r="I283" s="340"/>
      <c r="J283" s="340"/>
      <c r="K283" s="12"/>
      <c r="L283" s="70" t="str">
        <f t="shared" si="1"/>
        <v/>
      </c>
      <c r="M283" s="12"/>
      <c r="N283" s="12"/>
      <c r="O283" s="12"/>
      <c r="P283" s="15"/>
      <c r="Q283" s="7"/>
      <c r="R283" s="7"/>
      <c r="S283" s="7"/>
      <c r="T283" s="8"/>
      <c r="U283" s="8"/>
    </row>
    <row r="284" spans="1:21" ht="14.25">
      <c r="A284" s="10"/>
      <c r="B284" s="343"/>
      <c r="C284" s="347"/>
      <c r="D284" s="352"/>
      <c r="E284" s="12"/>
      <c r="F284" s="376"/>
      <c r="G284" s="340"/>
      <c r="H284" s="340"/>
      <c r="I284" s="340"/>
      <c r="J284" s="340"/>
      <c r="K284" s="12"/>
      <c r="L284" s="70" t="str">
        <f t="shared" si="1"/>
        <v/>
      </c>
      <c r="M284" s="12"/>
      <c r="N284" s="12"/>
      <c r="O284" s="12"/>
      <c r="P284" s="15"/>
      <c r="Q284" s="7"/>
      <c r="R284" s="7"/>
      <c r="S284" s="7"/>
      <c r="T284" s="8"/>
      <c r="U284" s="8"/>
    </row>
    <row r="285" spans="1:21" ht="14.25">
      <c r="A285" s="10"/>
      <c r="B285" s="343"/>
      <c r="C285" s="347"/>
      <c r="D285" s="352"/>
      <c r="E285" s="12"/>
      <c r="F285" s="376"/>
      <c r="G285" s="340"/>
      <c r="H285" s="340"/>
      <c r="I285" s="340"/>
      <c r="J285" s="340"/>
      <c r="K285" s="12"/>
      <c r="L285" s="70" t="str">
        <f t="shared" si="1"/>
        <v/>
      </c>
      <c r="M285" s="12"/>
      <c r="N285" s="12"/>
      <c r="O285" s="12"/>
      <c r="P285" s="15"/>
      <c r="Q285" s="7"/>
      <c r="R285" s="7"/>
      <c r="S285" s="7"/>
      <c r="T285" s="8"/>
      <c r="U285" s="8"/>
    </row>
    <row r="286" spans="1:21" ht="14.25">
      <c r="A286" s="10"/>
      <c r="B286" s="343"/>
      <c r="C286" s="347"/>
      <c r="D286" s="352"/>
      <c r="E286" s="12"/>
      <c r="F286" s="376"/>
      <c r="G286" s="340"/>
      <c r="H286" s="340"/>
      <c r="I286" s="340"/>
      <c r="J286" s="340"/>
      <c r="K286" s="12"/>
      <c r="L286" s="70" t="str">
        <f t="shared" si="1"/>
        <v/>
      </c>
      <c r="M286" s="12"/>
      <c r="N286" s="12"/>
      <c r="O286" s="12"/>
      <c r="P286" s="15"/>
      <c r="Q286" s="7"/>
      <c r="R286" s="7"/>
      <c r="S286" s="7"/>
      <c r="T286" s="8"/>
      <c r="U286" s="8"/>
    </row>
    <row r="287" spans="1:21" ht="14.25">
      <c r="A287" s="10"/>
      <c r="B287" s="343"/>
      <c r="C287" s="347"/>
      <c r="D287" s="352"/>
      <c r="E287" s="12"/>
      <c r="F287" s="376"/>
      <c r="G287" s="340"/>
      <c r="H287" s="340"/>
      <c r="I287" s="340"/>
      <c r="J287" s="340"/>
      <c r="K287" s="12"/>
      <c r="L287" s="70" t="str">
        <f t="shared" si="1"/>
        <v/>
      </c>
      <c r="M287" s="12"/>
      <c r="N287" s="12"/>
      <c r="O287" s="12"/>
      <c r="P287" s="15"/>
      <c r="Q287" s="7"/>
      <c r="R287" s="7"/>
      <c r="S287" s="7"/>
      <c r="T287" s="8"/>
      <c r="U287" s="8"/>
    </row>
    <row r="288" spans="1:21" ht="14.25">
      <c r="A288" s="10"/>
      <c r="B288" s="343"/>
      <c r="C288" s="347"/>
      <c r="D288" s="352"/>
      <c r="E288" s="12"/>
      <c r="F288" s="376"/>
      <c r="G288" s="340"/>
      <c r="H288" s="340"/>
      <c r="I288" s="340"/>
      <c r="J288" s="340"/>
      <c r="K288" s="12"/>
      <c r="L288" s="70" t="str">
        <f t="shared" si="1"/>
        <v/>
      </c>
      <c r="M288" s="12"/>
      <c r="N288" s="12"/>
      <c r="O288" s="12"/>
      <c r="P288" s="15"/>
      <c r="Q288" s="7"/>
      <c r="R288" s="7"/>
      <c r="S288" s="7"/>
      <c r="T288" s="8"/>
      <c r="U288" s="8"/>
    </row>
    <row r="289" spans="1:21" ht="14.25">
      <c r="A289" s="10"/>
      <c r="B289" s="343"/>
      <c r="C289" s="347"/>
      <c r="D289" s="352"/>
      <c r="E289" s="12"/>
      <c r="F289" s="376"/>
      <c r="G289" s="340"/>
      <c r="H289" s="340"/>
      <c r="I289" s="340"/>
      <c r="J289" s="340"/>
      <c r="K289" s="12"/>
      <c r="L289" s="70" t="str">
        <f t="shared" si="1"/>
        <v/>
      </c>
      <c r="M289" s="12"/>
      <c r="N289" s="12"/>
      <c r="O289" s="12"/>
      <c r="P289" s="15"/>
      <c r="Q289" s="7"/>
      <c r="R289" s="7"/>
      <c r="S289" s="7"/>
      <c r="T289" s="8"/>
      <c r="U289" s="8"/>
    </row>
    <row r="290" spans="1:21" ht="14.25">
      <c r="A290" s="10"/>
      <c r="B290" s="343"/>
      <c r="C290" s="347"/>
      <c r="D290" s="352"/>
      <c r="E290" s="12"/>
      <c r="F290" s="376"/>
      <c r="G290" s="340"/>
      <c r="H290" s="340"/>
      <c r="I290" s="340"/>
      <c r="J290" s="340"/>
      <c r="K290" s="12"/>
      <c r="L290" s="70" t="str">
        <f t="shared" si="1"/>
        <v/>
      </c>
      <c r="M290" s="12"/>
      <c r="N290" s="12"/>
      <c r="O290" s="12"/>
      <c r="P290" s="15"/>
      <c r="Q290" s="7"/>
      <c r="R290" s="7"/>
      <c r="S290" s="7"/>
      <c r="T290" s="8"/>
      <c r="U290" s="8"/>
    </row>
    <row r="291" spans="1:21" ht="12.75">
      <c r="A291" s="10"/>
      <c r="B291" s="343"/>
      <c r="C291" s="348"/>
      <c r="D291" s="352"/>
      <c r="E291" s="12"/>
      <c r="F291" s="376"/>
      <c r="G291" s="340"/>
      <c r="H291" s="340"/>
      <c r="I291" s="340"/>
      <c r="J291" s="340"/>
      <c r="K291" s="12"/>
      <c r="L291" s="70" t="str">
        <f t="shared" si="1"/>
        <v/>
      </c>
      <c r="M291" s="12"/>
      <c r="N291" s="12"/>
      <c r="O291" s="12"/>
      <c r="P291" s="15"/>
      <c r="Q291" s="7"/>
      <c r="R291" s="7"/>
      <c r="S291" s="7"/>
      <c r="T291" s="8"/>
      <c r="U291" s="8"/>
    </row>
    <row r="292" spans="1:21" ht="12.75">
      <c r="A292" s="10"/>
      <c r="B292" s="343"/>
      <c r="C292" s="348"/>
      <c r="D292" s="352"/>
      <c r="E292" s="12"/>
      <c r="F292" s="376"/>
      <c r="G292" s="340"/>
      <c r="H292" s="340"/>
      <c r="I292" s="340"/>
      <c r="J292" s="340"/>
      <c r="K292" s="18"/>
      <c r="L292" s="70" t="str">
        <f t="shared" si="1"/>
        <v/>
      </c>
      <c r="M292" s="12"/>
      <c r="N292" s="12"/>
      <c r="O292" s="12"/>
      <c r="P292" s="15"/>
      <c r="Q292" s="7"/>
      <c r="R292" s="7"/>
      <c r="S292" s="7"/>
      <c r="T292" s="8"/>
      <c r="U292" s="8"/>
    </row>
    <row r="293" spans="1:21" ht="12.75">
      <c r="A293" s="10"/>
      <c r="B293" s="343"/>
      <c r="C293" s="348"/>
      <c r="D293" s="352"/>
      <c r="E293" s="12"/>
      <c r="F293" s="376"/>
      <c r="G293" s="340"/>
      <c r="H293" s="340"/>
      <c r="I293" s="340"/>
      <c r="J293" s="340"/>
      <c r="K293" s="12"/>
      <c r="L293" s="70" t="str">
        <f t="shared" si="1"/>
        <v/>
      </c>
      <c r="M293" s="12"/>
      <c r="N293" s="12"/>
      <c r="O293" s="12"/>
      <c r="P293" s="15"/>
      <c r="Q293" s="7"/>
      <c r="R293" s="7"/>
      <c r="S293" s="7"/>
      <c r="T293" s="8"/>
      <c r="U293" s="8"/>
    </row>
    <row r="294" spans="1:21" ht="12.75">
      <c r="A294" s="10"/>
      <c r="B294" s="343"/>
      <c r="C294" s="348"/>
      <c r="D294" s="352"/>
      <c r="E294" s="12"/>
      <c r="F294" s="376"/>
      <c r="G294" s="340"/>
      <c r="H294" s="340"/>
      <c r="I294" s="340"/>
      <c r="J294" s="340"/>
      <c r="K294" s="12"/>
      <c r="L294" s="70" t="str">
        <f t="shared" si="1"/>
        <v/>
      </c>
      <c r="M294" s="12"/>
      <c r="N294" s="12"/>
      <c r="O294" s="12"/>
      <c r="P294" s="15"/>
      <c r="Q294" s="7"/>
      <c r="R294" s="7"/>
      <c r="S294" s="7"/>
      <c r="T294" s="8"/>
      <c r="U294" s="8"/>
    </row>
    <row r="295" spans="1:21" ht="12.75">
      <c r="A295" s="10"/>
      <c r="B295" s="343"/>
      <c r="C295" s="348"/>
      <c r="D295" s="352"/>
      <c r="E295" s="12"/>
      <c r="F295" s="376"/>
      <c r="G295" s="340"/>
      <c r="H295" s="340"/>
      <c r="I295" s="340"/>
      <c r="J295" s="340"/>
      <c r="K295" s="12"/>
      <c r="L295" s="70" t="str">
        <f t="shared" si="1"/>
        <v/>
      </c>
      <c r="M295" s="12"/>
      <c r="N295" s="12"/>
      <c r="O295" s="12"/>
      <c r="P295" s="15"/>
      <c r="Q295" s="7"/>
      <c r="R295" s="7"/>
      <c r="S295" s="7"/>
      <c r="T295" s="8"/>
      <c r="U295" s="8"/>
    </row>
    <row r="296" spans="1:21" ht="12.75">
      <c r="A296" s="10"/>
      <c r="B296" s="343"/>
      <c r="C296" s="348"/>
      <c r="D296" s="352"/>
      <c r="E296" s="12"/>
      <c r="F296" s="376"/>
      <c r="G296" s="340"/>
      <c r="H296" s="340"/>
      <c r="I296" s="340"/>
      <c r="J296" s="340"/>
      <c r="K296" s="12"/>
      <c r="L296" s="70" t="str">
        <f t="shared" si="1"/>
        <v/>
      </c>
      <c r="M296" s="12"/>
      <c r="N296" s="12"/>
      <c r="O296" s="12"/>
      <c r="P296" s="15"/>
      <c r="Q296" s="7"/>
      <c r="R296" s="7"/>
      <c r="S296" s="7"/>
      <c r="T296" s="8"/>
      <c r="U296" s="8"/>
    </row>
    <row r="297" spans="1:21" ht="12.75">
      <c r="A297" s="10"/>
      <c r="B297" s="343"/>
      <c r="C297" s="348"/>
      <c r="D297" s="352"/>
      <c r="E297" s="12"/>
      <c r="F297" s="376"/>
      <c r="G297" s="340"/>
      <c r="H297" s="340"/>
      <c r="I297" s="340"/>
      <c r="J297" s="340"/>
      <c r="K297" s="12"/>
      <c r="L297" s="70" t="str">
        <f t="shared" si="1"/>
        <v/>
      </c>
      <c r="M297" s="12"/>
      <c r="N297" s="12"/>
      <c r="O297" s="12"/>
      <c r="P297" s="15"/>
      <c r="Q297" s="7"/>
      <c r="R297" s="7"/>
      <c r="S297" s="7"/>
      <c r="T297" s="8"/>
      <c r="U297" s="8"/>
    </row>
    <row r="298" spans="1:21" ht="12.75">
      <c r="A298" s="10"/>
      <c r="B298" s="343"/>
      <c r="C298" s="348"/>
      <c r="D298" s="352"/>
      <c r="E298" s="12"/>
      <c r="F298" s="376"/>
      <c r="G298" s="340"/>
      <c r="H298" s="340"/>
      <c r="I298" s="340"/>
      <c r="J298" s="340"/>
      <c r="K298" s="12"/>
      <c r="L298" s="70" t="str">
        <f t="shared" si="1"/>
        <v/>
      </c>
      <c r="M298" s="12"/>
      <c r="N298" s="12"/>
      <c r="O298" s="12"/>
      <c r="P298" s="15"/>
      <c r="Q298" s="7"/>
      <c r="R298" s="7"/>
      <c r="S298" s="7"/>
      <c r="T298" s="8"/>
      <c r="U298" s="8"/>
    </row>
    <row r="299" spans="1:21" ht="12.75">
      <c r="A299" s="10"/>
      <c r="B299" s="343"/>
      <c r="C299" s="348"/>
      <c r="D299" s="352"/>
      <c r="E299" s="12"/>
      <c r="F299" s="376"/>
      <c r="G299" s="340"/>
      <c r="H299" s="340"/>
      <c r="I299" s="340"/>
      <c r="J299" s="340"/>
      <c r="K299" s="12"/>
      <c r="L299" s="70" t="str">
        <f t="shared" si="1"/>
        <v/>
      </c>
      <c r="M299" s="12"/>
      <c r="N299" s="12"/>
      <c r="O299" s="12"/>
      <c r="P299" s="15"/>
      <c r="Q299" s="7"/>
      <c r="R299" s="7"/>
      <c r="S299" s="7"/>
      <c r="T299" s="8"/>
      <c r="U299" s="8"/>
    </row>
    <row r="300" spans="1:21" ht="12.75">
      <c r="A300" s="10"/>
      <c r="B300" s="343"/>
      <c r="C300" s="348"/>
      <c r="D300" s="352"/>
      <c r="E300" s="12"/>
      <c r="F300" s="376"/>
      <c r="G300" s="340"/>
      <c r="H300" s="340"/>
      <c r="I300" s="340"/>
      <c r="J300" s="340"/>
      <c r="K300" s="12"/>
      <c r="L300" s="70" t="str">
        <f t="shared" si="1"/>
        <v/>
      </c>
      <c r="M300" s="12"/>
      <c r="N300" s="12"/>
      <c r="O300" s="12"/>
      <c r="P300" s="15"/>
      <c r="Q300" s="7"/>
      <c r="R300" s="7"/>
      <c r="S300" s="7"/>
      <c r="T300" s="8"/>
      <c r="U300" s="8"/>
    </row>
    <row r="301" spans="1:21" ht="12.75">
      <c r="A301" s="10"/>
      <c r="B301" s="343"/>
      <c r="C301" s="348"/>
      <c r="D301" s="352"/>
      <c r="E301" s="12"/>
      <c r="F301" s="376"/>
      <c r="G301" s="340"/>
      <c r="H301" s="340"/>
      <c r="I301" s="340"/>
      <c r="J301" s="340"/>
      <c r="K301" s="12"/>
      <c r="L301" s="70" t="str">
        <f t="shared" si="1"/>
        <v/>
      </c>
      <c r="M301" s="12"/>
      <c r="N301" s="12"/>
      <c r="O301" s="12"/>
      <c r="P301" s="15"/>
      <c r="Q301" s="7"/>
      <c r="R301" s="7"/>
      <c r="S301" s="7"/>
      <c r="T301" s="8"/>
      <c r="U301" s="8"/>
    </row>
    <row r="302" spans="1:21" ht="12.75">
      <c r="A302" s="10"/>
      <c r="B302" s="343"/>
      <c r="C302" s="348"/>
      <c r="D302" s="352"/>
      <c r="E302" s="12"/>
      <c r="F302" s="376"/>
      <c r="G302" s="340"/>
      <c r="H302" s="340"/>
      <c r="I302" s="340"/>
      <c r="J302" s="340"/>
      <c r="K302" s="12"/>
      <c r="L302" s="12"/>
      <c r="M302" s="12"/>
      <c r="N302" s="12"/>
      <c r="O302" s="12"/>
      <c r="P302" s="15"/>
      <c r="Q302" s="7"/>
      <c r="R302" s="7"/>
      <c r="S302" s="7"/>
      <c r="T302" s="8"/>
      <c r="U302" s="8"/>
    </row>
    <row r="303" spans="1:21" ht="12.75">
      <c r="A303" s="10"/>
      <c r="B303" s="343"/>
      <c r="C303" s="348"/>
      <c r="D303" s="352"/>
      <c r="E303" s="12"/>
      <c r="F303" s="376"/>
      <c r="G303" s="340"/>
      <c r="H303" s="340"/>
      <c r="I303" s="340"/>
      <c r="J303" s="340"/>
      <c r="K303" s="12"/>
      <c r="L303" s="12"/>
      <c r="M303" s="12"/>
      <c r="N303" s="12"/>
      <c r="O303" s="12"/>
      <c r="P303" s="15"/>
      <c r="Q303" s="7"/>
      <c r="R303" s="7"/>
      <c r="S303" s="7"/>
      <c r="T303" s="8"/>
      <c r="U303" s="8"/>
    </row>
    <row r="304" spans="1:21" ht="12.75">
      <c r="A304" s="10"/>
      <c r="B304" s="343"/>
      <c r="C304" s="348"/>
      <c r="D304" s="352"/>
      <c r="E304" s="12"/>
      <c r="F304" s="376"/>
      <c r="G304" s="340"/>
      <c r="H304" s="340"/>
      <c r="I304" s="340"/>
      <c r="J304" s="340"/>
      <c r="K304" s="12"/>
      <c r="L304" s="12"/>
      <c r="M304" s="12"/>
      <c r="N304" s="12"/>
      <c r="O304" s="12"/>
      <c r="P304" s="15"/>
      <c r="Q304" s="7"/>
      <c r="R304" s="7"/>
      <c r="S304" s="7"/>
      <c r="T304" s="8"/>
      <c r="U304" s="8"/>
    </row>
    <row r="305" spans="1:21" ht="12.75">
      <c r="A305" s="10"/>
      <c r="B305" s="343"/>
      <c r="C305" s="348"/>
      <c r="D305" s="352"/>
      <c r="E305" s="12"/>
      <c r="F305" s="376"/>
      <c r="G305" s="340"/>
      <c r="H305" s="340"/>
      <c r="I305" s="340"/>
      <c r="J305" s="340"/>
      <c r="K305" s="12"/>
      <c r="L305" s="12"/>
      <c r="M305" s="12"/>
      <c r="N305" s="12"/>
      <c r="O305" s="12"/>
      <c r="P305" s="15"/>
      <c r="Q305" s="7"/>
      <c r="R305" s="7"/>
      <c r="S305" s="7"/>
      <c r="T305" s="8"/>
      <c r="U305" s="8"/>
    </row>
    <row r="306" spans="1:21" ht="12.75">
      <c r="A306" s="10"/>
      <c r="B306" s="343"/>
      <c r="C306" s="348"/>
      <c r="D306" s="352"/>
      <c r="E306" s="12"/>
      <c r="F306" s="376"/>
      <c r="G306" s="340"/>
      <c r="H306" s="340"/>
      <c r="I306" s="340"/>
      <c r="J306" s="340"/>
      <c r="K306" s="12"/>
      <c r="L306" s="12"/>
      <c r="M306" s="12"/>
      <c r="N306" s="12"/>
      <c r="O306" s="12"/>
      <c r="P306" s="15"/>
      <c r="Q306" s="7"/>
      <c r="R306" s="7"/>
      <c r="S306" s="7"/>
      <c r="T306" s="8"/>
      <c r="U306" s="8"/>
    </row>
    <row r="307" spans="1:21" ht="12.75">
      <c r="A307" s="10"/>
      <c r="B307" s="343"/>
      <c r="C307" s="348"/>
      <c r="D307" s="352"/>
      <c r="E307" s="12"/>
      <c r="F307" s="376"/>
      <c r="G307" s="340"/>
      <c r="H307" s="340"/>
      <c r="I307" s="340"/>
      <c r="J307" s="340"/>
      <c r="K307" s="12"/>
      <c r="L307" s="12"/>
      <c r="M307" s="12"/>
      <c r="N307" s="12"/>
      <c r="O307" s="12"/>
      <c r="P307" s="15"/>
      <c r="Q307" s="7"/>
      <c r="R307" s="7"/>
      <c r="S307" s="7"/>
      <c r="T307" s="8"/>
      <c r="U307" s="8"/>
    </row>
    <row r="308" spans="1:21" ht="12.75">
      <c r="A308" s="10"/>
      <c r="B308" s="343"/>
      <c r="C308" s="348"/>
      <c r="D308" s="352"/>
      <c r="E308" s="12"/>
      <c r="F308" s="376"/>
      <c r="G308" s="340"/>
      <c r="H308" s="340"/>
      <c r="I308" s="340"/>
      <c r="J308" s="340"/>
      <c r="K308" s="12"/>
      <c r="L308" s="12"/>
      <c r="M308" s="12"/>
      <c r="N308" s="12"/>
      <c r="O308" s="12"/>
      <c r="P308" s="15"/>
      <c r="Q308" s="7"/>
      <c r="R308" s="7"/>
      <c r="S308" s="7"/>
      <c r="T308" s="8"/>
      <c r="U308" s="8"/>
    </row>
    <row r="309" spans="1:21" ht="12.75">
      <c r="A309" s="10"/>
      <c r="B309" s="343"/>
      <c r="C309" s="348"/>
      <c r="D309" s="352"/>
      <c r="E309" s="12"/>
      <c r="F309" s="376"/>
      <c r="G309" s="340"/>
      <c r="H309" s="340"/>
      <c r="I309" s="340"/>
      <c r="J309" s="340"/>
      <c r="K309" s="12"/>
      <c r="L309" s="12"/>
      <c r="M309" s="12"/>
      <c r="N309" s="12"/>
      <c r="O309" s="12"/>
      <c r="P309" s="15"/>
      <c r="Q309" s="7"/>
      <c r="R309" s="7"/>
      <c r="S309" s="7"/>
      <c r="T309" s="8"/>
      <c r="U309" s="8"/>
    </row>
    <row r="310" spans="1:21" ht="12.75">
      <c r="A310" s="10"/>
      <c r="B310" s="343"/>
      <c r="C310" s="348"/>
      <c r="D310" s="352"/>
      <c r="E310" s="12"/>
      <c r="F310" s="376"/>
      <c r="G310" s="340"/>
      <c r="H310" s="340"/>
      <c r="I310" s="340"/>
      <c r="J310" s="340"/>
      <c r="K310" s="12"/>
      <c r="L310" s="12"/>
      <c r="M310" s="12"/>
      <c r="N310" s="12"/>
      <c r="O310" s="12"/>
      <c r="P310" s="15"/>
      <c r="Q310" s="7"/>
      <c r="R310" s="7"/>
      <c r="S310" s="7"/>
      <c r="T310" s="8"/>
      <c r="U310" s="8"/>
    </row>
    <row r="311" spans="1:21" ht="12.75">
      <c r="A311" s="10"/>
      <c r="B311" s="343"/>
      <c r="C311" s="348"/>
      <c r="D311" s="352"/>
      <c r="E311" s="12"/>
      <c r="F311" s="376"/>
      <c r="G311" s="340"/>
      <c r="H311" s="340"/>
      <c r="I311" s="340"/>
      <c r="J311" s="340"/>
      <c r="K311" s="12"/>
      <c r="L311" s="12"/>
      <c r="M311" s="12"/>
      <c r="N311" s="12"/>
      <c r="O311" s="12"/>
      <c r="P311" s="15"/>
      <c r="Q311" s="7"/>
      <c r="R311" s="7"/>
      <c r="S311" s="7"/>
      <c r="T311" s="8"/>
      <c r="U311" s="8"/>
    </row>
    <row r="312" spans="1:21" ht="12.75">
      <c r="A312" s="10"/>
      <c r="B312" s="343"/>
      <c r="C312" s="348"/>
      <c r="D312" s="352"/>
      <c r="E312" s="12"/>
      <c r="F312" s="376"/>
      <c r="G312" s="340"/>
      <c r="H312" s="340"/>
      <c r="I312" s="340"/>
      <c r="J312" s="340"/>
      <c r="K312" s="12"/>
      <c r="L312" s="12"/>
      <c r="M312" s="12"/>
      <c r="N312" s="12"/>
      <c r="O312" s="12"/>
      <c r="P312" s="15"/>
      <c r="Q312" s="7"/>
      <c r="R312" s="7"/>
      <c r="S312" s="7"/>
      <c r="T312" s="8"/>
      <c r="U312" s="8"/>
    </row>
    <row r="313" spans="1:21" ht="12.75">
      <c r="A313" s="10"/>
      <c r="B313" s="343"/>
      <c r="C313" s="348"/>
      <c r="D313" s="352"/>
      <c r="E313" s="12"/>
      <c r="F313" s="376"/>
      <c r="G313" s="340"/>
      <c r="H313" s="340"/>
      <c r="I313" s="340"/>
      <c r="J313" s="340"/>
      <c r="K313" s="12"/>
      <c r="L313" s="12"/>
      <c r="M313" s="12"/>
      <c r="N313" s="12"/>
      <c r="O313" s="12"/>
      <c r="P313" s="15"/>
      <c r="Q313" s="7"/>
      <c r="R313" s="7"/>
      <c r="S313" s="7"/>
      <c r="T313" s="8"/>
      <c r="U313" s="8"/>
    </row>
    <row r="314" spans="1:21" ht="12.75">
      <c r="A314" s="10"/>
      <c r="B314" s="343"/>
      <c r="C314" s="348"/>
      <c r="D314" s="352"/>
      <c r="E314" s="12"/>
      <c r="F314" s="376"/>
      <c r="G314" s="340"/>
      <c r="H314" s="340"/>
      <c r="I314" s="340"/>
      <c r="J314" s="340"/>
      <c r="K314" s="12"/>
      <c r="L314" s="12"/>
      <c r="M314" s="12"/>
      <c r="N314" s="12"/>
      <c r="O314" s="12"/>
      <c r="P314" s="15"/>
      <c r="Q314" s="7"/>
      <c r="R314" s="7"/>
      <c r="S314" s="7"/>
      <c r="T314" s="8"/>
      <c r="U314" s="8"/>
    </row>
    <row r="315" spans="1:21" ht="12.75">
      <c r="A315" s="10"/>
      <c r="B315" s="343"/>
      <c r="C315" s="348"/>
      <c r="D315" s="352"/>
      <c r="E315" s="12"/>
      <c r="F315" s="376"/>
      <c r="G315" s="340"/>
      <c r="H315" s="340"/>
      <c r="I315" s="340"/>
      <c r="J315" s="340"/>
      <c r="K315" s="12"/>
      <c r="L315" s="12"/>
      <c r="M315" s="12"/>
      <c r="N315" s="12"/>
      <c r="O315" s="12"/>
      <c r="P315" s="15"/>
      <c r="Q315" s="7"/>
      <c r="R315" s="7"/>
      <c r="S315" s="7"/>
      <c r="T315" s="8"/>
      <c r="U315" s="8"/>
    </row>
    <row r="316" spans="1:21" ht="12.75">
      <c r="A316" s="10"/>
      <c r="B316" s="343"/>
      <c r="C316" s="348"/>
      <c r="D316" s="352"/>
      <c r="E316" s="12"/>
      <c r="F316" s="376"/>
      <c r="G316" s="340"/>
      <c r="H316" s="340"/>
      <c r="I316" s="340"/>
      <c r="J316" s="340"/>
      <c r="K316" s="12"/>
      <c r="L316" s="12"/>
      <c r="M316" s="12"/>
      <c r="N316" s="12"/>
      <c r="O316" s="12"/>
      <c r="P316" s="15"/>
      <c r="Q316" s="7"/>
      <c r="R316" s="7"/>
      <c r="S316" s="7"/>
      <c r="T316" s="8"/>
      <c r="U316" s="8"/>
    </row>
    <row r="317" spans="1:21" ht="12.75">
      <c r="A317" s="10"/>
      <c r="B317" s="343"/>
      <c r="C317" s="348"/>
      <c r="D317" s="352"/>
      <c r="E317" s="12"/>
      <c r="F317" s="376"/>
      <c r="G317" s="340"/>
      <c r="H317" s="340"/>
      <c r="I317" s="340"/>
      <c r="J317" s="340"/>
      <c r="K317" s="12"/>
      <c r="L317" s="12"/>
      <c r="M317" s="12"/>
      <c r="N317" s="12"/>
      <c r="O317" s="12"/>
      <c r="P317" s="15"/>
      <c r="Q317" s="7"/>
      <c r="R317" s="7"/>
      <c r="S317" s="7"/>
      <c r="T317" s="8"/>
      <c r="U317" s="8"/>
    </row>
    <row r="318" spans="1:21" ht="12.75">
      <c r="A318" s="10"/>
      <c r="B318" s="343"/>
      <c r="C318" s="348"/>
      <c r="D318" s="352"/>
      <c r="E318" s="12"/>
      <c r="F318" s="376"/>
      <c r="G318" s="340"/>
      <c r="H318" s="340"/>
      <c r="I318" s="340"/>
      <c r="J318" s="340"/>
      <c r="K318" s="12"/>
      <c r="L318" s="12"/>
      <c r="M318" s="12"/>
      <c r="N318" s="12"/>
      <c r="O318" s="12"/>
      <c r="P318" s="15"/>
      <c r="Q318" s="7"/>
      <c r="R318" s="7"/>
      <c r="S318" s="7"/>
      <c r="T318" s="8"/>
      <c r="U318" s="8"/>
    </row>
    <row r="319" spans="1:21" ht="12.75">
      <c r="A319" s="10"/>
      <c r="B319" s="343"/>
      <c r="C319" s="348"/>
      <c r="D319" s="352"/>
      <c r="E319" s="12"/>
      <c r="F319" s="376"/>
      <c r="G319" s="340"/>
      <c r="H319" s="340"/>
      <c r="I319" s="340"/>
      <c r="J319" s="340"/>
      <c r="K319" s="12"/>
      <c r="L319" s="12"/>
      <c r="M319" s="12"/>
      <c r="N319" s="12"/>
      <c r="O319" s="12"/>
      <c r="P319" s="15"/>
      <c r="Q319" s="7"/>
      <c r="R319" s="7"/>
      <c r="S319" s="7"/>
      <c r="T319" s="8"/>
      <c r="U319" s="8"/>
    </row>
    <row r="320" spans="1:21" ht="12.75">
      <c r="A320" s="10"/>
      <c r="B320" s="343"/>
      <c r="C320" s="348"/>
      <c r="D320" s="352"/>
      <c r="E320" s="12"/>
      <c r="F320" s="376"/>
      <c r="G320" s="340"/>
      <c r="H320" s="340"/>
      <c r="I320" s="340"/>
      <c r="J320" s="340"/>
      <c r="K320" s="12"/>
      <c r="L320" s="12"/>
      <c r="M320" s="12"/>
      <c r="N320" s="12"/>
      <c r="O320" s="12"/>
      <c r="P320" s="15"/>
      <c r="Q320" s="7"/>
      <c r="R320" s="7"/>
      <c r="S320" s="7"/>
      <c r="T320" s="8"/>
      <c r="U320" s="8"/>
    </row>
    <row r="321" spans="1:21" ht="12.75">
      <c r="A321" s="10"/>
      <c r="B321" s="343"/>
      <c r="C321" s="348"/>
      <c r="D321" s="352"/>
      <c r="E321" s="12"/>
      <c r="F321" s="376"/>
      <c r="G321" s="340"/>
      <c r="H321" s="340"/>
      <c r="I321" s="340"/>
      <c r="J321" s="340"/>
      <c r="K321" s="12"/>
      <c r="L321" s="12"/>
      <c r="M321" s="12"/>
      <c r="N321" s="12"/>
      <c r="O321" s="12"/>
      <c r="P321" s="15"/>
      <c r="Q321" s="7"/>
      <c r="R321" s="7"/>
      <c r="S321" s="7"/>
      <c r="T321" s="8"/>
      <c r="U321" s="8"/>
    </row>
    <row r="322" spans="1:21" ht="12.75">
      <c r="A322" s="10"/>
      <c r="B322" s="343"/>
      <c r="C322" s="348"/>
      <c r="D322" s="352"/>
      <c r="E322" s="12"/>
      <c r="F322" s="376"/>
      <c r="G322" s="340"/>
      <c r="H322" s="340"/>
      <c r="I322" s="340"/>
      <c r="J322" s="340"/>
      <c r="K322" s="12"/>
      <c r="L322" s="12"/>
      <c r="M322" s="12"/>
      <c r="N322" s="12"/>
      <c r="O322" s="12"/>
      <c r="P322" s="15"/>
      <c r="Q322" s="7"/>
      <c r="R322" s="7"/>
      <c r="S322" s="7"/>
      <c r="T322" s="8"/>
      <c r="U322" s="8"/>
    </row>
    <row r="323" spans="1:21" ht="12.75">
      <c r="A323" s="10"/>
      <c r="B323" s="343"/>
      <c r="C323" s="348"/>
      <c r="D323" s="352"/>
      <c r="E323" s="12"/>
      <c r="F323" s="376"/>
      <c r="G323" s="340"/>
      <c r="H323" s="340"/>
      <c r="I323" s="340"/>
      <c r="J323" s="340"/>
      <c r="K323" s="12"/>
      <c r="L323" s="12"/>
      <c r="M323" s="12"/>
      <c r="N323" s="12"/>
      <c r="O323" s="12"/>
      <c r="P323" s="15"/>
      <c r="Q323" s="7"/>
      <c r="R323" s="7"/>
      <c r="S323" s="7"/>
      <c r="T323" s="8"/>
      <c r="U323" s="8"/>
    </row>
    <row r="324" spans="1:21" ht="12.75">
      <c r="A324" s="10"/>
      <c r="B324" s="343"/>
      <c r="C324" s="348"/>
      <c r="D324" s="352"/>
      <c r="E324" s="12"/>
      <c r="F324" s="376"/>
      <c r="G324" s="340"/>
      <c r="H324" s="340"/>
      <c r="I324" s="340"/>
      <c r="J324" s="340"/>
      <c r="K324" s="12"/>
      <c r="L324" s="12"/>
      <c r="M324" s="12"/>
      <c r="N324" s="12"/>
      <c r="O324" s="12"/>
      <c r="P324" s="15"/>
      <c r="Q324" s="7"/>
      <c r="R324" s="7"/>
      <c r="S324" s="7"/>
      <c r="T324" s="8"/>
      <c r="U324" s="8"/>
    </row>
    <row r="325" spans="1:21" ht="12.75">
      <c r="A325" s="10"/>
      <c r="B325" s="343"/>
      <c r="C325" s="348"/>
      <c r="D325" s="352"/>
      <c r="E325" s="12"/>
      <c r="F325" s="376"/>
      <c r="G325" s="340"/>
      <c r="H325" s="340"/>
      <c r="I325" s="340"/>
      <c r="J325" s="340"/>
      <c r="K325" s="12"/>
      <c r="L325" s="12"/>
      <c r="M325" s="12"/>
      <c r="N325" s="12"/>
      <c r="O325" s="12"/>
      <c r="P325" s="15"/>
      <c r="Q325" s="7"/>
      <c r="R325" s="7"/>
      <c r="S325" s="7"/>
      <c r="T325" s="8"/>
      <c r="U325" s="8"/>
    </row>
    <row r="326" spans="1:21" ht="12.75">
      <c r="A326" s="10"/>
      <c r="B326" s="343"/>
      <c r="C326" s="348"/>
      <c r="D326" s="352"/>
      <c r="E326" s="12"/>
      <c r="F326" s="376"/>
      <c r="G326" s="340"/>
      <c r="H326" s="340"/>
      <c r="I326" s="340"/>
      <c r="J326" s="340"/>
      <c r="K326" s="12"/>
      <c r="L326" s="12"/>
      <c r="M326" s="12"/>
      <c r="N326" s="12"/>
      <c r="O326" s="12"/>
      <c r="P326" s="15"/>
      <c r="Q326" s="7"/>
      <c r="R326" s="7"/>
      <c r="S326" s="7"/>
      <c r="T326" s="8"/>
      <c r="U326" s="8"/>
    </row>
    <row r="327" spans="1:21" ht="12.75">
      <c r="A327" s="10"/>
      <c r="B327" s="343"/>
      <c r="C327" s="348"/>
      <c r="D327" s="352"/>
      <c r="E327" s="12"/>
      <c r="F327" s="376"/>
      <c r="G327" s="340"/>
      <c r="H327" s="340"/>
      <c r="I327" s="340"/>
      <c r="J327" s="340"/>
      <c r="K327" s="12"/>
      <c r="L327" s="12"/>
      <c r="M327" s="12"/>
      <c r="N327" s="12"/>
      <c r="O327" s="12"/>
      <c r="P327" s="15"/>
      <c r="Q327" s="7"/>
      <c r="R327" s="7"/>
      <c r="S327" s="7"/>
      <c r="T327" s="8"/>
      <c r="U327" s="8"/>
    </row>
    <row r="328" spans="1:21" ht="12.75">
      <c r="A328" s="10"/>
      <c r="B328" s="343"/>
      <c r="C328" s="348"/>
      <c r="D328" s="352"/>
      <c r="E328" s="12"/>
      <c r="F328" s="376"/>
      <c r="G328" s="340"/>
      <c r="H328" s="340"/>
      <c r="I328" s="340"/>
      <c r="J328" s="340"/>
      <c r="K328" s="12"/>
      <c r="L328" s="12"/>
      <c r="M328" s="12"/>
      <c r="N328" s="12"/>
      <c r="O328" s="12"/>
      <c r="P328" s="15"/>
      <c r="Q328" s="7"/>
      <c r="R328" s="7"/>
      <c r="S328" s="7"/>
      <c r="T328" s="8"/>
      <c r="U328" s="8"/>
    </row>
    <row r="329" spans="1:21" ht="12.75">
      <c r="A329" s="10"/>
      <c r="B329" s="343"/>
      <c r="C329" s="348"/>
      <c r="D329" s="352"/>
      <c r="E329" s="12"/>
      <c r="F329" s="376"/>
      <c r="G329" s="340"/>
      <c r="H329" s="340"/>
      <c r="I329" s="340"/>
      <c r="J329" s="340"/>
      <c r="K329" s="12"/>
      <c r="L329" s="12"/>
      <c r="M329" s="12"/>
      <c r="N329" s="12"/>
      <c r="O329" s="12"/>
      <c r="P329" s="15"/>
      <c r="Q329" s="7"/>
      <c r="R329" s="7"/>
      <c r="S329" s="7"/>
      <c r="T329" s="8"/>
      <c r="U329" s="8"/>
    </row>
    <row r="330" spans="1:21" ht="12.75">
      <c r="A330" s="10"/>
      <c r="B330" s="343"/>
      <c r="C330" s="348"/>
      <c r="D330" s="352"/>
      <c r="E330" s="12"/>
      <c r="F330" s="376"/>
      <c r="G330" s="340"/>
      <c r="H330" s="340"/>
      <c r="I330" s="340"/>
      <c r="J330" s="340"/>
      <c r="K330" s="12"/>
      <c r="L330" s="12"/>
      <c r="M330" s="12"/>
      <c r="N330" s="12"/>
      <c r="O330" s="12"/>
      <c r="P330" s="15"/>
      <c r="Q330" s="7"/>
      <c r="R330" s="7"/>
      <c r="S330" s="7"/>
      <c r="T330" s="8"/>
      <c r="U330" s="8"/>
    </row>
    <row r="331" spans="1:21" ht="12.75">
      <c r="A331" s="10"/>
      <c r="B331" s="343"/>
      <c r="C331" s="348"/>
      <c r="D331" s="352"/>
      <c r="E331" s="12"/>
      <c r="F331" s="376"/>
      <c r="G331" s="340"/>
      <c r="H331" s="340"/>
      <c r="I331" s="340"/>
      <c r="J331" s="340"/>
      <c r="K331" s="12"/>
      <c r="L331" s="12"/>
      <c r="M331" s="12"/>
      <c r="N331" s="12"/>
      <c r="O331" s="12"/>
      <c r="P331" s="15"/>
      <c r="Q331" s="7"/>
      <c r="R331" s="7"/>
      <c r="S331" s="7"/>
      <c r="T331" s="8"/>
      <c r="U331" s="8"/>
    </row>
    <row r="332" spans="1:21" ht="12.75">
      <c r="A332" s="10"/>
      <c r="B332" s="343"/>
      <c r="C332" s="348"/>
      <c r="D332" s="352"/>
      <c r="E332" s="12"/>
      <c r="F332" s="376"/>
      <c r="G332" s="340"/>
      <c r="H332" s="340"/>
      <c r="I332" s="340"/>
      <c r="J332" s="340"/>
      <c r="K332" s="12"/>
      <c r="L332" s="12"/>
      <c r="M332" s="12"/>
      <c r="N332" s="12"/>
      <c r="O332" s="12"/>
      <c r="P332" s="15"/>
      <c r="Q332" s="7"/>
      <c r="R332" s="7"/>
      <c r="S332" s="7"/>
      <c r="T332" s="8"/>
      <c r="U332" s="8"/>
    </row>
    <row r="333" spans="1:21" ht="12.75">
      <c r="A333" s="10"/>
      <c r="B333" s="343"/>
      <c r="C333" s="348"/>
      <c r="D333" s="352"/>
      <c r="E333" s="12"/>
      <c r="F333" s="376"/>
      <c r="G333" s="340"/>
      <c r="H333" s="340"/>
      <c r="I333" s="340"/>
      <c r="J333" s="340"/>
      <c r="K333" s="12"/>
      <c r="L333" s="12"/>
      <c r="M333" s="12"/>
      <c r="N333" s="12"/>
      <c r="O333" s="12"/>
      <c r="P333" s="15"/>
      <c r="Q333" s="7"/>
      <c r="R333" s="7"/>
      <c r="S333" s="7"/>
      <c r="T333" s="8"/>
      <c r="U333" s="8"/>
    </row>
    <row r="334" spans="1:21" ht="12.75">
      <c r="A334" s="10"/>
      <c r="B334" s="343"/>
      <c r="C334" s="348"/>
      <c r="D334" s="352"/>
      <c r="E334" s="12"/>
      <c r="F334" s="376"/>
      <c r="G334" s="340"/>
      <c r="H334" s="340"/>
      <c r="I334" s="340"/>
      <c r="J334" s="340"/>
      <c r="K334" s="12"/>
      <c r="L334" s="12"/>
      <c r="M334" s="12"/>
      <c r="N334" s="12"/>
      <c r="O334" s="12"/>
      <c r="P334" s="15"/>
      <c r="Q334" s="7"/>
      <c r="R334" s="7"/>
      <c r="S334" s="7"/>
      <c r="T334" s="8"/>
      <c r="U334" s="8"/>
    </row>
    <row r="335" spans="1:21" ht="12.75">
      <c r="A335" s="10"/>
      <c r="B335" s="343"/>
      <c r="C335" s="348"/>
      <c r="D335" s="352"/>
      <c r="E335" s="12"/>
      <c r="F335" s="376"/>
      <c r="G335" s="340"/>
      <c r="H335" s="340"/>
      <c r="I335" s="340"/>
      <c r="J335" s="340"/>
      <c r="K335" s="12"/>
      <c r="L335" s="12"/>
      <c r="M335" s="12"/>
      <c r="N335" s="12"/>
      <c r="O335" s="12"/>
      <c r="P335" s="15"/>
      <c r="Q335" s="7"/>
      <c r="R335" s="7"/>
      <c r="S335" s="7"/>
      <c r="T335" s="8"/>
      <c r="U335" s="8"/>
    </row>
    <row r="336" spans="1:21" ht="12.75">
      <c r="A336" s="10"/>
      <c r="B336" s="343"/>
      <c r="C336" s="348"/>
      <c r="D336" s="352"/>
      <c r="E336" s="12"/>
      <c r="F336" s="376"/>
      <c r="G336" s="340"/>
      <c r="H336" s="340"/>
      <c r="I336" s="340"/>
      <c r="J336" s="340"/>
      <c r="K336" s="12"/>
      <c r="L336" s="12"/>
      <c r="M336" s="12"/>
      <c r="N336" s="12"/>
      <c r="O336" s="12"/>
      <c r="P336" s="15"/>
      <c r="Q336" s="7"/>
      <c r="R336" s="7"/>
      <c r="S336" s="7"/>
      <c r="T336" s="8"/>
      <c r="U336" s="8"/>
    </row>
    <row r="337" spans="1:21" ht="12.75">
      <c r="A337" s="10"/>
      <c r="B337" s="343"/>
      <c r="C337" s="348"/>
      <c r="D337" s="352"/>
      <c r="E337" s="12"/>
      <c r="F337" s="376"/>
      <c r="G337" s="340"/>
      <c r="H337" s="340"/>
      <c r="I337" s="340"/>
      <c r="J337" s="340"/>
      <c r="K337" s="12"/>
      <c r="L337" s="12"/>
      <c r="M337" s="12"/>
      <c r="N337" s="12"/>
      <c r="O337" s="12"/>
      <c r="P337" s="15"/>
      <c r="Q337" s="7"/>
      <c r="R337" s="7"/>
      <c r="S337" s="7"/>
      <c r="T337" s="8"/>
      <c r="U337" s="8"/>
    </row>
    <row r="338" spans="1:21" ht="12.75">
      <c r="A338" s="10"/>
      <c r="B338" s="343"/>
      <c r="C338" s="348"/>
      <c r="D338" s="352"/>
      <c r="E338" s="12"/>
      <c r="F338" s="376"/>
      <c r="G338" s="340"/>
      <c r="H338" s="340"/>
      <c r="I338" s="340"/>
      <c r="J338" s="340"/>
      <c r="K338" s="12"/>
      <c r="L338" s="12"/>
      <c r="M338" s="12"/>
      <c r="N338" s="12"/>
      <c r="O338" s="12"/>
      <c r="P338" s="15"/>
      <c r="Q338" s="7"/>
      <c r="R338" s="7"/>
      <c r="S338" s="7"/>
      <c r="T338" s="8"/>
      <c r="U338" s="8"/>
    </row>
    <row r="339" spans="1:21" ht="12.75">
      <c r="A339" s="10"/>
      <c r="B339" s="343"/>
      <c r="C339" s="348"/>
      <c r="D339" s="352"/>
      <c r="E339" s="12"/>
      <c r="F339" s="376"/>
      <c r="G339" s="340"/>
      <c r="H339" s="340"/>
      <c r="I339" s="340"/>
      <c r="J339" s="340"/>
      <c r="K339" s="12"/>
      <c r="L339" s="12"/>
      <c r="M339" s="12"/>
      <c r="N339" s="12"/>
      <c r="O339" s="12"/>
      <c r="P339" s="15"/>
      <c r="Q339" s="7"/>
      <c r="R339" s="7"/>
      <c r="S339" s="7"/>
      <c r="T339" s="8"/>
      <c r="U339" s="8"/>
    </row>
    <row r="340" spans="1:21" ht="12.75">
      <c r="A340" s="10"/>
      <c r="B340" s="343"/>
      <c r="C340" s="348"/>
      <c r="D340" s="352"/>
      <c r="E340" s="12"/>
      <c r="F340" s="376"/>
      <c r="G340" s="340"/>
      <c r="H340" s="340"/>
      <c r="I340" s="340"/>
      <c r="J340" s="340"/>
      <c r="K340" s="12"/>
      <c r="L340" s="12"/>
      <c r="M340" s="12"/>
      <c r="N340" s="12"/>
      <c r="O340" s="12"/>
      <c r="P340" s="15"/>
      <c r="Q340" s="7"/>
      <c r="R340" s="7"/>
      <c r="S340" s="7"/>
      <c r="T340" s="8"/>
      <c r="U340" s="8"/>
    </row>
    <row r="341" spans="1:21" ht="12.75">
      <c r="A341" s="10"/>
      <c r="B341" s="343"/>
      <c r="C341" s="348"/>
      <c r="D341" s="352"/>
      <c r="E341" s="12"/>
      <c r="F341" s="376"/>
      <c r="G341" s="340"/>
      <c r="H341" s="340"/>
      <c r="I341" s="340"/>
      <c r="J341" s="340"/>
      <c r="K341" s="12"/>
      <c r="L341" s="12"/>
      <c r="M341" s="12"/>
      <c r="N341" s="12"/>
      <c r="O341" s="12"/>
      <c r="P341" s="15"/>
      <c r="Q341" s="7"/>
      <c r="R341" s="7"/>
      <c r="S341" s="7"/>
      <c r="T341" s="8"/>
      <c r="U341" s="8"/>
    </row>
    <row r="342" spans="1:21" ht="12.75">
      <c r="A342" s="10"/>
      <c r="B342" s="343"/>
      <c r="C342" s="348"/>
      <c r="D342" s="352"/>
      <c r="E342" s="12"/>
      <c r="F342" s="376"/>
      <c r="G342" s="340"/>
      <c r="H342" s="340"/>
      <c r="I342" s="340"/>
      <c r="J342" s="340"/>
      <c r="K342" s="12"/>
      <c r="L342" s="12"/>
      <c r="M342" s="12"/>
      <c r="N342" s="12"/>
      <c r="O342" s="12"/>
      <c r="P342" s="15"/>
      <c r="Q342" s="7"/>
      <c r="R342" s="7"/>
      <c r="S342" s="7"/>
      <c r="T342" s="8"/>
      <c r="U342" s="8"/>
    </row>
    <row r="343" spans="1:21" ht="12.75">
      <c r="A343" s="10"/>
      <c r="B343" s="343"/>
      <c r="C343" s="348"/>
      <c r="D343" s="352"/>
      <c r="E343" s="12"/>
      <c r="F343" s="376"/>
      <c r="G343" s="340"/>
      <c r="H343" s="340"/>
      <c r="I343" s="340"/>
      <c r="J343" s="340"/>
      <c r="K343" s="12"/>
      <c r="L343" s="12"/>
      <c r="M343" s="12"/>
      <c r="N343" s="12"/>
      <c r="O343" s="12"/>
      <c r="P343" s="15"/>
      <c r="Q343" s="7"/>
      <c r="R343" s="7"/>
      <c r="S343" s="7"/>
      <c r="T343" s="8"/>
      <c r="U343" s="8"/>
    </row>
    <row r="344" spans="1:21" ht="12.75">
      <c r="A344" s="10"/>
      <c r="B344" s="343"/>
      <c r="C344" s="348"/>
      <c r="D344" s="352"/>
      <c r="E344" s="12"/>
      <c r="F344" s="376"/>
      <c r="G344" s="340"/>
      <c r="H344" s="340"/>
      <c r="I344" s="340"/>
      <c r="J344" s="340"/>
      <c r="K344" s="12"/>
      <c r="L344" s="12"/>
      <c r="M344" s="12"/>
      <c r="N344" s="12"/>
      <c r="O344" s="12"/>
      <c r="P344" s="15"/>
      <c r="Q344" s="7"/>
      <c r="R344" s="7"/>
      <c r="S344" s="7"/>
      <c r="T344" s="8"/>
      <c r="U344" s="8"/>
    </row>
    <row r="345" spans="1:21" ht="12.75">
      <c r="A345" s="10"/>
      <c r="B345" s="343"/>
      <c r="C345" s="348"/>
      <c r="D345" s="352"/>
      <c r="E345" s="12"/>
      <c r="F345" s="376"/>
      <c r="G345" s="340"/>
      <c r="H345" s="340"/>
      <c r="I345" s="340"/>
      <c r="J345" s="340"/>
      <c r="K345" s="12"/>
      <c r="L345" s="12"/>
      <c r="M345" s="12"/>
      <c r="N345" s="12"/>
      <c r="O345" s="12"/>
      <c r="P345" s="15"/>
      <c r="Q345" s="7"/>
      <c r="R345" s="7"/>
      <c r="S345" s="7"/>
      <c r="T345" s="8"/>
      <c r="U345" s="8"/>
    </row>
    <row r="346" spans="1:21" ht="12.75">
      <c r="A346" s="10"/>
      <c r="B346" s="343"/>
      <c r="C346" s="348"/>
      <c r="D346" s="352"/>
      <c r="E346" s="12"/>
      <c r="F346" s="376"/>
      <c r="G346" s="340"/>
      <c r="H346" s="340"/>
      <c r="I346" s="340"/>
      <c r="J346" s="340"/>
      <c r="K346" s="12"/>
      <c r="L346" s="12"/>
      <c r="M346" s="12"/>
      <c r="N346" s="12"/>
      <c r="O346" s="12"/>
      <c r="P346" s="15"/>
      <c r="Q346" s="7"/>
      <c r="R346" s="7"/>
      <c r="S346" s="7"/>
      <c r="T346" s="8"/>
      <c r="U346" s="8"/>
    </row>
    <row r="347" spans="1:21" ht="12.75">
      <c r="A347" s="10"/>
      <c r="B347" s="343"/>
      <c r="C347" s="348"/>
      <c r="D347" s="352"/>
      <c r="E347" s="12"/>
      <c r="F347" s="376"/>
      <c r="G347" s="340"/>
      <c r="H347" s="340"/>
      <c r="I347" s="340"/>
      <c r="J347" s="340"/>
      <c r="K347" s="12"/>
      <c r="L347" s="12"/>
      <c r="M347" s="12"/>
      <c r="N347" s="12"/>
      <c r="O347" s="12"/>
      <c r="P347" s="15"/>
      <c r="Q347" s="7"/>
      <c r="R347" s="7"/>
      <c r="S347" s="7"/>
      <c r="T347" s="8"/>
      <c r="U347" s="8"/>
    </row>
    <row r="348" spans="1:21" ht="12.75">
      <c r="A348" s="10"/>
      <c r="B348" s="343"/>
      <c r="C348" s="348"/>
      <c r="D348" s="352"/>
      <c r="E348" s="12"/>
      <c r="F348" s="376"/>
      <c r="G348" s="340"/>
      <c r="H348" s="340"/>
      <c r="I348" s="340"/>
      <c r="J348" s="340"/>
      <c r="K348" s="12"/>
      <c r="L348" s="12"/>
      <c r="M348" s="12"/>
      <c r="N348" s="12"/>
      <c r="O348" s="12"/>
      <c r="P348" s="15"/>
      <c r="Q348" s="7"/>
      <c r="R348" s="7"/>
      <c r="S348" s="7"/>
      <c r="T348" s="8"/>
      <c r="U348" s="8"/>
    </row>
    <row r="349" spans="1:21" ht="12.75">
      <c r="A349" s="10"/>
      <c r="B349" s="343"/>
      <c r="C349" s="348"/>
      <c r="D349" s="352"/>
      <c r="E349" s="12"/>
      <c r="F349" s="376"/>
      <c r="G349" s="340"/>
      <c r="H349" s="340"/>
      <c r="I349" s="340"/>
      <c r="J349" s="340"/>
      <c r="K349" s="12"/>
      <c r="L349" s="12"/>
      <c r="M349" s="12"/>
      <c r="N349" s="12"/>
      <c r="O349" s="12"/>
      <c r="P349" s="15"/>
      <c r="Q349" s="7"/>
      <c r="R349" s="7"/>
      <c r="S349" s="7"/>
      <c r="T349" s="8"/>
      <c r="U349" s="8"/>
    </row>
    <row r="350" spans="1:21" ht="12.75">
      <c r="A350" s="10"/>
      <c r="B350" s="343"/>
      <c r="C350" s="348"/>
      <c r="D350" s="352"/>
      <c r="E350" s="12"/>
      <c r="F350" s="376"/>
      <c r="G350" s="340"/>
      <c r="H350" s="340"/>
      <c r="I350" s="340"/>
      <c r="J350" s="340"/>
      <c r="K350" s="12"/>
      <c r="L350" s="12"/>
      <c r="M350" s="12"/>
      <c r="N350" s="12"/>
      <c r="O350" s="12"/>
      <c r="P350" s="15"/>
      <c r="Q350" s="7"/>
      <c r="R350" s="7"/>
      <c r="S350" s="7"/>
      <c r="T350" s="8"/>
      <c r="U350" s="8"/>
    </row>
    <row r="351" spans="1:21" ht="12.75">
      <c r="A351" s="10"/>
      <c r="B351" s="343"/>
      <c r="C351" s="348"/>
      <c r="D351" s="352"/>
      <c r="E351" s="12"/>
      <c r="F351" s="376"/>
      <c r="G351" s="340"/>
      <c r="H351" s="340"/>
      <c r="I351" s="340"/>
      <c r="J351" s="340"/>
      <c r="K351" s="12"/>
      <c r="L351" s="12"/>
      <c r="M351" s="12"/>
      <c r="N351" s="12"/>
      <c r="O351" s="12"/>
      <c r="P351" s="15"/>
      <c r="Q351" s="7"/>
      <c r="R351" s="7"/>
      <c r="S351" s="7"/>
      <c r="T351" s="8"/>
      <c r="U351" s="8"/>
    </row>
    <row r="352" spans="1:21" ht="12.75">
      <c r="A352" s="10"/>
      <c r="B352" s="343"/>
      <c r="C352" s="348"/>
      <c r="D352" s="352"/>
      <c r="E352" s="12"/>
      <c r="F352" s="376"/>
      <c r="G352" s="340"/>
      <c r="H352" s="340"/>
      <c r="I352" s="340"/>
      <c r="J352" s="340"/>
      <c r="K352" s="12"/>
      <c r="L352" s="12"/>
      <c r="M352" s="12"/>
      <c r="N352" s="12"/>
      <c r="O352" s="12"/>
      <c r="P352" s="15"/>
      <c r="Q352" s="7"/>
      <c r="R352" s="7"/>
      <c r="S352" s="7"/>
      <c r="T352" s="8"/>
      <c r="U352" s="8"/>
    </row>
    <row r="353" spans="1:21" ht="12.75">
      <c r="A353" s="10"/>
      <c r="B353" s="343"/>
      <c r="C353" s="348"/>
      <c r="D353" s="352"/>
      <c r="E353" s="12"/>
      <c r="F353" s="376"/>
      <c r="G353" s="340"/>
      <c r="H353" s="340"/>
      <c r="I353" s="340"/>
      <c r="J353" s="340"/>
      <c r="K353" s="12"/>
      <c r="L353" s="12"/>
      <c r="M353" s="12"/>
      <c r="N353" s="12"/>
      <c r="O353" s="12"/>
      <c r="P353" s="15"/>
      <c r="Q353" s="7"/>
      <c r="R353" s="7"/>
      <c r="S353" s="7"/>
      <c r="T353" s="8"/>
      <c r="U353" s="8"/>
    </row>
    <row r="354" spans="1:21" ht="12.75">
      <c r="A354" s="10"/>
      <c r="B354" s="343"/>
      <c r="C354" s="348"/>
      <c r="D354" s="352"/>
      <c r="E354" s="12"/>
      <c r="F354" s="376"/>
      <c r="G354" s="340"/>
      <c r="H354" s="340"/>
      <c r="I354" s="340"/>
      <c r="J354" s="340"/>
      <c r="K354" s="12"/>
      <c r="L354" s="12"/>
      <c r="M354" s="12"/>
      <c r="N354" s="12"/>
      <c r="O354" s="12"/>
      <c r="P354" s="15"/>
      <c r="Q354" s="7"/>
      <c r="R354" s="7"/>
      <c r="S354" s="7"/>
      <c r="T354" s="8"/>
      <c r="U354" s="8"/>
    </row>
    <row r="355" spans="1:21" ht="12.75">
      <c r="A355" s="10"/>
      <c r="B355" s="343"/>
      <c r="C355" s="348"/>
      <c r="D355" s="352"/>
      <c r="E355" s="12"/>
      <c r="F355" s="376"/>
      <c r="G355" s="340"/>
      <c r="H355" s="340"/>
      <c r="I355" s="340"/>
      <c r="J355" s="340"/>
      <c r="K355" s="12"/>
      <c r="L355" s="12"/>
      <c r="M355" s="12"/>
      <c r="N355" s="12"/>
      <c r="O355" s="12"/>
      <c r="P355" s="15"/>
      <c r="Q355" s="7"/>
      <c r="R355" s="7"/>
      <c r="S355" s="7"/>
      <c r="T355" s="8"/>
      <c r="U355" s="8"/>
    </row>
    <row r="356" spans="1:21" ht="12.75">
      <c r="A356" s="10"/>
      <c r="B356" s="343"/>
      <c r="C356" s="348"/>
      <c r="D356" s="352"/>
      <c r="E356" s="12"/>
      <c r="F356" s="376"/>
      <c r="G356" s="340"/>
      <c r="H356" s="340"/>
      <c r="I356" s="340"/>
      <c r="J356" s="340"/>
      <c r="K356" s="12"/>
      <c r="L356" s="12"/>
      <c r="M356" s="12"/>
      <c r="N356" s="12"/>
      <c r="O356" s="12"/>
      <c r="P356" s="15"/>
      <c r="Q356" s="7"/>
      <c r="R356" s="7"/>
      <c r="S356" s="7"/>
      <c r="T356" s="8"/>
      <c r="U356" s="8"/>
    </row>
    <row r="357" spans="1:21" ht="12.75">
      <c r="A357" s="10"/>
      <c r="B357" s="343"/>
      <c r="C357" s="348"/>
      <c r="D357" s="352"/>
      <c r="E357" s="12"/>
      <c r="F357" s="376"/>
      <c r="G357" s="340"/>
      <c r="H357" s="340"/>
      <c r="I357" s="340"/>
      <c r="J357" s="340"/>
      <c r="K357" s="12"/>
      <c r="L357" s="12"/>
      <c r="M357" s="12"/>
      <c r="N357" s="12"/>
      <c r="O357" s="12"/>
      <c r="P357" s="15"/>
      <c r="Q357" s="7"/>
      <c r="R357" s="7"/>
      <c r="S357" s="7"/>
      <c r="T357" s="8"/>
      <c r="U357" s="8"/>
    </row>
    <row r="358" spans="1:21" ht="12.75">
      <c r="A358" s="10"/>
      <c r="B358" s="343"/>
      <c r="C358" s="348"/>
      <c r="D358" s="352"/>
      <c r="E358" s="12"/>
      <c r="F358" s="376"/>
      <c r="G358" s="340"/>
      <c r="H358" s="340"/>
      <c r="I358" s="340"/>
      <c r="J358" s="340"/>
      <c r="K358" s="12"/>
      <c r="L358" s="12"/>
      <c r="M358" s="12"/>
      <c r="N358" s="12"/>
      <c r="O358" s="12"/>
      <c r="P358" s="15"/>
      <c r="Q358" s="7"/>
      <c r="R358" s="7"/>
      <c r="S358" s="7"/>
      <c r="T358" s="8"/>
      <c r="U358" s="8"/>
    </row>
    <row r="359" spans="1:21" ht="12.75">
      <c r="A359" s="10"/>
      <c r="B359" s="343"/>
      <c r="C359" s="348"/>
      <c r="D359" s="352"/>
      <c r="E359" s="12"/>
      <c r="F359" s="376"/>
      <c r="G359" s="340"/>
      <c r="H359" s="340"/>
      <c r="I359" s="340"/>
      <c r="J359" s="340"/>
      <c r="K359" s="12"/>
      <c r="L359" s="12"/>
      <c r="M359" s="12"/>
      <c r="N359" s="12"/>
      <c r="O359" s="12"/>
      <c r="P359" s="15"/>
      <c r="Q359" s="7"/>
      <c r="R359" s="7"/>
      <c r="S359" s="7"/>
      <c r="T359" s="8"/>
      <c r="U359" s="8"/>
    </row>
    <row r="360" spans="1:21" ht="12.75">
      <c r="A360" s="10"/>
      <c r="B360" s="343"/>
      <c r="C360" s="348"/>
      <c r="D360" s="352"/>
      <c r="E360" s="12"/>
      <c r="F360" s="376"/>
      <c r="G360" s="340"/>
      <c r="H360" s="340"/>
      <c r="I360" s="340"/>
      <c r="J360" s="340"/>
      <c r="K360" s="12"/>
      <c r="L360" s="12"/>
      <c r="M360" s="12"/>
      <c r="N360" s="12"/>
      <c r="O360" s="12"/>
      <c r="P360" s="15"/>
      <c r="Q360" s="7"/>
      <c r="R360" s="7"/>
      <c r="S360" s="7"/>
      <c r="T360" s="8"/>
      <c r="U360" s="8"/>
    </row>
    <row r="361" spans="1:21" ht="12.75">
      <c r="A361" s="10"/>
      <c r="B361" s="343"/>
      <c r="C361" s="348"/>
      <c r="D361" s="352"/>
      <c r="E361" s="12"/>
      <c r="F361" s="376"/>
      <c r="G361" s="340"/>
      <c r="H361" s="340"/>
      <c r="I361" s="340"/>
      <c r="J361" s="340"/>
      <c r="K361" s="12"/>
      <c r="L361" s="12"/>
      <c r="M361" s="12"/>
      <c r="N361" s="12"/>
      <c r="O361" s="12"/>
      <c r="P361" s="15"/>
      <c r="Q361" s="7"/>
      <c r="R361" s="7"/>
      <c r="S361" s="7"/>
      <c r="T361" s="8"/>
      <c r="U361" s="8"/>
    </row>
    <row r="362" spans="1:21" ht="12.75">
      <c r="A362" s="10"/>
      <c r="B362" s="343"/>
      <c r="C362" s="348"/>
      <c r="D362" s="352"/>
      <c r="E362" s="12"/>
      <c r="F362" s="376"/>
      <c r="G362" s="340"/>
      <c r="H362" s="340"/>
      <c r="I362" s="340"/>
      <c r="J362" s="340"/>
      <c r="K362" s="12"/>
      <c r="L362" s="12"/>
      <c r="M362" s="12"/>
      <c r="N362" s="12"/>
      <c r="O362" s="12"/>
      <c r="P362" s="15"/>
      <c r="Q362" s="7"/>
      <c r="R362" s="7"/>
      <c r="S362" s="7"/>
      <c r="T362" s="8"/>
      <c r="U362" s="8"/>
    </row>
    <row r="363" spans="1:21" ht="12.75">
      <c r="A363" s="10"/>
      <c r="B363" s="343"/>
      <c r="C363" s="348"/>
      <c r="D363" s="352"/>
      <c r="E363" s="12"/>
      <c r="F363" s="376"/>
      <c r="G363" s="340"/>
      <c r="H363" s="340"/>
      <c r="I363" s="340"/>
      <c r="J363" s="340"/>
      <c r="K363" s="12"/>
      <c r="L363" s="12"/>
      <c r="M363" s="12"/>
      <c r="N363" s="12"/>
      <c r="O363" s="12"/>
      <c r="P363" s="15"/>
      <c r="Q363" s="7"/>
      <c r="R363" s="7"/>
      <c r="S363" s="7"/>
      <c r="T363" s="8"/>
      <c r="U363" s="8"/>
    </row>
    <row r="364" spans="1:21" ht="12.75">
      <c r="A364" s="10"/>
      <c r="B364" s="343"/>
      <c r="C364" s="348"/>
      <c r="D364" s="352"/>
      <c r="E364" s="12"/>
      <c r="F364" s="376"/>
      <c r="G364" s="340"/>
      <c r="H364" s="340"/>
      <c r="I364" s="340"/>
      <c r="J364" s="340"/>
      <c r="K364" s="12"/>
      <c r="L364" s="12"/>
      <c r="M364" s="12"/>
      <c r="N364" s="12"/>
      <c r="O364" s="12"/>
      <c r="P364" s="15"/>
      <c r="Q364" s="7"/>
      <c r="R364" s="7"/>
      <c r="S364" s="7"/>
      <c r="T364" s="8"/>
      <c r="U364" s="8"/>
    </row>
    <row r="365" spans="1:21" ht="12.75">
      <c r="A365" s="10"/>
      <c r="B365" s="343"/>
      <c r="C365" s="348"/>
      <c r="D365" s="352"/>
      <c r="E365" s="12"/>
      <c r="F365" s="376"/>
      <c r="G365" s="340"/>
      <c r="H365" s="340"/>
      <c r="I365" s="340"/>
      <c r="J365" s="340"/>
      <c r="K365" s="12"/>
      <c r="L365" s="12"/>
      <c r="M365" s="12"/>
      <c r="N365" s="12"/>
      <c r="O365" s="12"/>
      <c r="P365" s="15"/>
      <c r="Q365" s="7"/>
      <c r="R365" s="7"/>
      <c r="S365" s="7"/>
      <c r="T365" s="8"/>
      <c r="U365" s="8"/>
    </row>
    <row r="366" spans="1:21" ht="12.75">
      <c r="A366" s="10"/>
      <c r="B366" s="343"/>
      <c r="C366" s="348"/>
      <c r="D366" s="352"/>
      <c r="E366" s="12"/>
      <c r="F366" s="376"/>
      <c r="G366" s="340"/>
      <c r="H366" s="340"/>
      <c r="I366" s="340"/>
      <c r="J366" s="340"/>
      <c r="K366" s="12"/>
      <c r="L366" s="12"/>
      <c r="M366" s="12"/>
      <c r="N366" s="12"/>
      <c r="O366" s="12"/>
      <c r="P366" s="15"/>
      <c r="Q366" s="7"/>
      <c r="R366" s="7"/>
      <c r="S366" s="7"/>
      <c r="T366" s="8"/>
      <c r="U366" s="8"/>
    </row>
    <row r="367" spans="1:21" ht="12.75">
      <c r="A367" s="10"/>
      <c r="B367" s="344"/>
      <c r="C367" s="348"/>
      <c r="D367" s="352"/>
      <c r="E367" s="12"/>
      <c r="F367" s="376"/>
      <c r="G367" s="340"/>
      <c r="H367" s="340"/>
      <c r="I367" s="340"/>
      <c r="J367" s="340"/>
      <c r="K367" s="12"/>
      <c r="L367" s="12"/>
      <c r="M367" s="12"/>
      <c r="N367" s="12"/>
      <c r="O367" s="12"/>
      <c r="P367" s="15"/>
      <c r="Q367" s="7"/>
      <c r="R367" s="7"/>
      <c r="S367" s="7"/>
      <c r="T367" s="8"/>
      <c r="U367" s="8"/>
    </row>
    <row r="368" spans="1:21" ht="12.75">
      <c r="A368" s="10"/>
      <c r="B368" s="344"/>
      <c r="C368" s="348"/>
      <c r="D368" s="352"/>
      <c r="E368" s="12"/>
      <c r="F368" s="376"/>
      <c r="G368" s="340"/>
      <c r="H368" s="340"/>
      <c r="I368" s="340"/>
      <c r="J368" s="340"/>
      <c r="K368" s="12"/>
      <c r="L368" s="12"/>
      <c r="M368" s="12"/>
      <c r="N368" s="12"/>
      <c r="O368" s="12"/>
      <c r="P368" s="15"/>
      <c r="Q368" s="7"/>
      <c r="R368" s="7"/>
      <c r="S368" s="7"/>
      <c r="T368" s="8"/>
      <c r="U368" s="8"/>
    </row>
    <row r="369" spans="1:21" ht="12.75">
      <c r="A369" s="10"/>
      <c r="B369" s="344"/>
      <c r="C369" s="348"/>
      <c r="D369" s="352"/>
      <c r="E369" s="12"/>
      <c r="F369" s="376"/>
      <c r="G369" s="340"/>
      <c r="H369" s="340"/>
      <c r="I369" s="340"/>
      <c r="J369" s="340"/>
      <c r="K369" s="12"/>
      <c r="L369" s="12"/>
      <c r="M369" s="12"/>
      <c r="N369" s="12"/>
      <c r="O369" s="12"/>
      <c r="P369" s="15"/>
      <c r="Q369" s="7"/>
      <c r="R369" s="7"/>
      <c r="S369" s="7"/>
      <c r="T369" s="8"/>
      <c r="U369" s="8"/>
    </row>
    <row r="370" spans="1:21" ht="12.75">
      <c r="A370" s="10"/>
      <c r="B370" s="344"/>
      <c r="C370" s="348"/>
      <c r="D370" s="352"/>
      <c r="E370" s="12"/>
      <c r="F370" s="376"/>
      <c r="G370" s="340"/>
      <c r="H370" s="340"/>
      <c r="I370" s="340"/>
      <c r="J370" s="340"/>
      <c r="K370" s="12"/>
      <c r="L370" s="12"/>
      <c r="M370" s="12"/>
      <c r="N370" s="12"/>
      <c r="O370" s="12"/>
      <c r="P370" s="15"/>
      <c r="Q370" s="7"/>
      <c r="R370" s="7"/>
      <c r="S370" s="7"/>
      <c r="T370" s="8"/>
      <c r="U370" s="8"/>
    </row>
    <row r="371" spans="1:21" ht="12.75">
      <c r="A371" s="10"/>
      <c r="B371" s="344"/>
      <c r="C371" s="348"/>
      <c r="D371" s="352"/>
      <c r="E371" s="12"/>
      <c r="F371" s="376"/>
      <c r="G371" s="340"/>
      <c r="H371" s="340"/>
      <c r="I371" s="340"/>
      <c r="J371" s="340"/>
      <c r="K371" s="12"/>
      <c r="L371" s="12"/>
      <c r="M371" s="12"/>
      <c r="N371" s="12"/>
      <c r="O371" s="12"/>
      <c r="P371" s="15"/>
      <c r="Q371" s="7"/>
      <c r="R371" s="7"/>
      <c r="S371" s="7"/>
      <c r="T371" s="8"/>
      <c r="U371" s="8"/>
    </row>
    <row r="372" spans="1:21" ht="12.75">
      <c r="A372" s="10"/>
      <c r="B372" s="344"/>
      <c r="C372" s="348"/>
      <c r="D372" s="352"/>
      <c r="E372" s="12"/>
      <c r="F372" s="376"/>
      <c r="G372" s="340"/>
      <c r="H372" s="340"/>
      <c r="I372" s="340"/>
      <c r="J372" s="340"/>
      <c r="K372" s="12"/>
      <c r="L372" s="12"/>
      <c r="M372" s="12"/>
      <c r="N372" s="12"/>
      <c r="O372" s="12"/>
      <c r="P372" s="15"/>
      <c r="Q372" s="7"/>
      <c r="R372" s="7"/>
      <c r="S372" s="7"/>
      <c r="T372" s="8"/>
      <c r="U372" s="8"/>
    </row>
    <row r="373" spans="1:21" ht="12.75">
      <c r="A373" s="10"/>
      <c r="B373" s="344"/>
      <c r="C373" s="348"/>
      <c r="D373" s="352"/>
      <c r="E373" s="12"/>
      <c r="F373" s="376"/>
      <c r="G373" s="340"/>
      <c r="H373" s="340"/>
      <c r="I373" s="340"/>
      <c r="J373" s="340"/>
      <c r="K373" s="12"/>
      <c r="L373" s="12"/>
      <c r="M373" s="12"/>
      <c r="N373" s="12"/>
      <c r="O373" s="12"/>
      <c r="P373" s="15"/>
      <c r="Q373" s="7"/>
      <c r="R373" s="7"/>
      <c r="S373" s="7"/>
      <c r="T373" s="8"/>
      <c r="U373" s="8"/>
    </row>
    <row r="374" spans="1:21" ht="12.75">
      <c r="A374" s="10"/>
      <c r="B374" s="344"/>
      <c r="C374" s="348"/>
      <c r="D374" s="352"/>
      <c r="E374" s="12"/>
      <c r="F374" s="376"/>
      <c r="G374" s="340"/>
      <c r="H374" s="340"/>
      <c r="I374" s="340"/>
      <c r="J374" s="340"/>
      <c r="K374" s="12"/>
      <c r="L374" s="12"/>
      <c r="M374" s="12"/>
      <c r="N374" s="12"/>
      <c r="O374" s="12"/>
      <c r="P374" s="15"/>
      <c r="Q374" s="7"/>
      <c r="R374" s="7"/>
      <c r="S374" s="7"/>
      <c r="T374" s="8"/>
      <c r="U374" s="8"/>
    </row>
    <row r="375" spans="1:21" ht="12.75">
      <c r="A375" s="10"/>
      <c r="B375" s="344"/>
      <c r="C375" s="348"/>
      <c r="D375" s="352"/>
      <c r="E375" s="12"/>
      <c r="F375" s="376"/>
      <c r="G375" s="340"/>
      <c r="H375" s="340"/>
      <c r="I375" s="340"/>
      <c r="J375" s="340"/>
      <c r="K375" s="12"/>
      <c r="L375" s="12"/>
      <c r="M375" s="12"/>
      <c r="N375" s="12"/>
      <c r="O375" s="12"/>
      <c r="P375" s="15"/>
      <c r="Q375" s="7"/>
      <c r="R375" s="7"/>
      <c r="S375" s="7"/>
      <c r="T375" s="8"/>
      <c r="U375" s="8"/>
    </row>
    <row r="376" spans="1:21" ht="12.75">
      <c r="A376" s="10"/>
      <c r="B376" s="344"/>
      <c r="C376" s="348"/>
      <c r="D376" s="352"/>
      <c r="E376" s="12"/>
      <c r="F376" s="376"/>
      <c r="G376" s="340"/>
      <c r="H376" s="340"/>
      <c r="I376" s="340"/>
      <c r="J376" s="340"/>
      <c r="K376" s="12"/>
      <c r="L376" s="12"/>
      <c r="M376" s="12"/>
      <c r="N376" s="12"/>
      <c r="O376" s="12"/>
      <c r="P376" s="15"/>
      <c r="Q376" s="7"/>
      <c r="R376" s="7"/>
      <c r="S376" s="7"/>
      <c r="T376" s="8"/>
      <c r="U376" s="8"/>
    </row>
    <row r="377" spans="1:21" ht="12.75">
      <c r="A377" s="10"/>
      <c r="B377" s="344"/>
      <c r="C377" s="348"/>
      <c r="D377" s="352"/>
      <c r="E377" s="12"/>
      <c r="F377" s="376"/>
      <c r="G377" s="340"/>
      <c r="H377" s="340"/>
      <c r="I377" s="340"/>
      <c r="J377" s="340"/>
      <c r="K377" s="12"/>
      <c r="L377" s="12"/>
      <c r="M377" s="12"/>
      <c r="N377" s="12"/>
      <c r="O377" s="12"/>
      <c r="P377" s="15"/>
      <c r="Q377" s="7"/>
      <c r="R377" s="7"/>
      <c r="S377" s="7"/>
      <c r="T377" s="8"/>
      <c r="U377" s="8"/>
    </row>
    <row r="378" spans="1:21" ht="12.75">
      <c r="A378" s="10"/>
      <c r="B378" s="344"/>
      <c r="C378" s="348"/>
      <c r="D378" s="352"/>
      <c r="E378" s="12"/>
      <c r="F378" s="376"/>
      <c r="G378" s="340"/>
      <c r="H378" s="340"/>
      <c r="I378" s="340"/>
      <c r="J378" s="340"/>
      <c r="K378" s="12"/>
      <c r="L378" s="12"/>
      <c r="M378" s="12"/>
      <c r="N378" s="12"/>
      <c r="O378" s="12"/>
      <c r="P378" s="15"/>
      <c r="Q378" s="7"/>
      <c r="R378" s="7"/>
      <c r="S378" s="7"/>
      <c r="T378" s="8"/>
      <c r="U378" s="8"/>
    </row>
    <row r="379" spans="1:21" ht="12.75">
      <c r="A379" s="10"/>
      <c r="B379" s="344"/>
      <c r="C379" s="348"/>
      <c r="D379" s="352"/>
      <c r="E379" s="12"/>
      <c r="F379" s="376"/>
      <c r="G379" s="340"/>
      <c r="H379" s="340"/>
      <c r="I379" s="340"/>
      <c r="J379" s="340"/>
      <c r="K379" s="12"/>
      <c r="L379" s="12"/>
      <c r="M379" s="12"/>
      <c r="N379" s="12"/>
      <c r="O379" s="12"/>
      <c r="P379" s="15"/>
      <c r="Q379" s="7"/>
      <c r="R379" s="7"/>
      <c r="S379" s="7"/>
      <c r="T379" s="8"/>
      <c r="U379" s="8"/>
    </row>
    <row r="380" spans="1:21" ht="12.75">
      <c r="A380" s="10"/>
      <c r="B380" s="344"/>
      <c r="C380" s="348"/>
      <c r="D380" s="352"/>
      <c r="E380" s="12"/>
      <c r="F380" s="376"/>
      <c r="G380" s="340"/>
      <c r="H380" s="340"/>
      <c r="I380" s="340"/>
      <c r="J380" s="340"/>
      <c r="K380" s="12"/>
      <c r="L380" s="12"/>
      <c r="M380" s="12"/>
      <c r="N380" s="12"/>
      <c r="O380" s="12"/>
      <c r="P380" s="15"/>
      <c r="Q380" s="7"/>
      <c r="R380" s="7"/>
      <c r="S380" s="7"/>
      <c r="T380" s="8"/>
      <c r="U380" s="8"/>
    </row>
    <row r="381" spans="1:21" ht="12.75">
      <c r="A381" s="10"/>
      <c r="B381" s="344"/>
      <c r="C381" s="348"/>
      <c r="D381" s="352"/>
      <c r="E381" s="12"/>
      <c r="F381" s="376"/>
      <c r="G381" s="340"/>
      <c r="H381" s="340"/>
      <c r="I381" s="340"/>
      <c r="J381" s="340"/>
      <c r="K381" s="12"/>
      <c r="L381" s="12"/>
      <c r="M381" s="12"/>
      <c r="N381" s="12"/>
      <c r="O381" s="12"/>
      <c r="P381" s="15"/>
      <c r="Q381" s="7"/>
      <c r="R381" s="7"/>
      <c r="S381" s="7"/>
      <c r="T381" s="8"/>
      <c r="U381" s="8"/>
    </row>
    <row r="382" spans="1:21" ht="12.75">
      <c r="A382" s="10"/>
      <c r="B382" s="344"/>
      <c r="C382" s="348"/>
      <c r="D382" s="352"/>
      <c r="E382" s="12"/>
      <c r="F382" s="376"/>
      <c r="G382" s="340"/>
      <c r="H382" s="340"/>
      <c r="I382" s="340"/>
      <c r="J382" s="340"/>
      <c r="K382" s="12"/>
      <c r="L382" s="12"/>
      <c r="M382" s="12"/>
      <c r="N382" s="12"/>
      <c r="O382" s="12"/>
      <c r="P382" s="15"/>
      <c r="Q382" s="7"/>
      <c r="R382" s="7"/>
      <c r="S382" s="7"/>
      <c r="T382" s="8"/>
      <c r="U382" s="8"/>
    </row>
    <row r="383" spans="1:21" ht="12.75">
      <c r="A383" s="10"/>
      <c r="B383" s="344"/>
      <c r="C383" s="348"/>
      <c r="D383" s="352"/>
      <c r="E383" s="12"/>
      <c r="F383" s="376"/>
      <c r="G383" s="340"/>
      <c r="H383" s="340"/>
      <c r="I383" s="340"/>
      <c r="J383" s="340"/>
      <c r="K383" s="12"/>
      <c r="L383" s="12"/>
      <c r="M383" s="12"/>
      <c r="N383" s="12"/>
      <c r="O383" s="12"/>
      <c r="P383" s="15"/>
      <c r="Q383" s="7"/>
      <c r="R383" s="7"/>
      <c r="S383" s="7"/>
      <c r="T383" s="8"/>
      <c r="U383" s="8"/>
    </row>
    <row r="384" spans="1:21" ht="12.75">
      <c r="A384" s="10"/>
      <c r="B384" s="344"/>
      <c r="C384" s="348"/>
      <c r="D384" s="352"/>
      <c r="E384" s="12"/>
      <c r="F384" s="376"/>
      <c r="G384" s="340"/>
      <c r="H384" s="340"/>
      <c r="I384" s="340"/>
      <c r="J384" s="340"/>
      <c r="K384" s="12"/>
      <c r="L384" s="12"/>
      <c r="M384" s="12"/>
      <c r="N384" s="12"/>
      <c r="O384" s="12"/>
      <c r="P384" s="15"/>
      <c r="Q384" s="7"/>
      <c r="R384" s="7"/>
      <c r="S384" s="7"/>
      <c r="T384" s="8"/>
      <c r="U384" s="8"/>
    </row>
    <row r="385" spans="1:21" ht="12.75">
      <c r="A385" s="10"/>
      <c r="B385" s="344"/>
      <c r="C385" s="348"/>
      <c r="D385" s="352"/>
      <c r="E385" s="12"/>
      <c r="F385" s="376"/>
      <c r="G385" s="340"/>
      <c r="H385" s="340"/>
      <c r="I385" s="340"/>
      <c r="J385" s="340"/>
      <c r="K385" s="12"/>
      <c r="L385" s="12"/>
      <c r="M385" s="12"/>
      <c r="N385" s="12"/>
      <c r="O385" s="12"/>
      <c r="P385" s="15"/>
      <c r="Q385" s="7"/>
      <c r="R385" s="7"/>
      <c r="S385" s="7"/>
      <c r="T385" s="8"/>
      <c r="U385" s="8"/>
    </row>
    <row r="386" spans="1:21" ht="12.75">
      <c r="A386" s="10"/>
      <c r="B386" s="344"/>
      <c r="C386" s="348"/>
      <c r="D386" s="352"/>
      <c r="E386" s="12"/>
      <c r="F386" s="376"/>
      <c r="G386" s="340"/>
      <c r="H386" s="340"/>
      <c r="I386" s="340"/>
      <c r="J386" s="340"/>
      <c r="K386" s="12"/>
      <c r="L386" s="12"/>
      <c r="M386" s="12"/>
      <c r="N386" s="12"/>
      <c r="O386" s="12"/>
      <c r="P386" s="15"/>
      <c r="Q386" s="7"/>
      <c r="R386" s="7"/>
      <c r="S386" s="7"/>
      <c r="T386" s="8"/>
      <c r="U386" s="8"/>
    </row>
    <row r="387" spans="1:21" ht="12.75">
      <c r="A387" s="10"/>
      <c r="B387" s="344"/>
      <c r="C387" s="348"/>
      <c r="D387" s="352"/>
      <c r="E387" s="12"/>
      <c r="F387" s="376"/>
      <c r="G387" s="340"/>
      <c r="H387" s="340"/>
      <c r="I387" s="340"/>
      <c r="J387" s="340"/>
      <c r="K387" s="12"/>
      <c r="L387" s="12"/>
      <c r="M387" s="12"/>
      <c r="N387" s="12"/>
      <c r="O387" s="12"/>
      <c r="P387" s="15"/>
      <c r="Q387" s="7"/>
      <c r="R387" s="7"/>
      <c r="S387" s="7"/>
      <c r="T387" s="8"/>
      <c r="U387" s="8"/>
    </row>
    <row r="388" spans="1:21" ht="12.75">
      <c r="A388" s="10"/>
      <c r="B388" s="344"/>
      <c r="C388" s="348"/>
      <c r="D388" s="352"/>
      <c r="E388" s="12"/>
      <c r="F388" s="376"/>
      <c r="G388" s="340"/>
      <c r="H388" s="340"/>
      <c r="I388" s="340"/>
      <c r="J388" s="340"/>
      <c r="K388" s="12"/>
      <c r="L388" s="12"/>
      <c r="M388" s="12"/>
      <c r="N388" s="12"/>
      <c r="O388" s="12"/>
      <c r="P388" s="15"/>
      <c r="Q388" s="7"/>
      <c r="R388" s="7"/>
      <c r="S388" s="7"/>
      <c r="T388" s="8"/>
      <c r="U388" s="8"/>
    </row>
    <row r="389" spans="1:21" ht="12.75">
      <c r="A389" s="10"/>
      <c r="B389" s="344"/>
      <c r="C389" s="348"/>
      <c r="D389" s="352"/>
      <c r="E389" s="12"/>
      <c r="F389" s="376"/>
      <c r="G389" s="340"/>
      <c r="H389" s="340"/>
      <c r="I389" s="340"/>
      <c r="J389" s="340"/>
      <c r="K389" s="12"/>
      <c r="L389" s="12"/>
      <c r="M389" s="12"/>
      <c r="N389" s="12"/>
      <c r="O389" s="12"/>
      <c r="P389" s="15"/>
      <c r="Q389" s="7"/>
      <c r="R389" s="7"/>
      <c r="S389" s="7"/>
      <c r="T389" s="8"/>
      <c r="U389" s="8"/>
    </row>
    <row r="390" spans="1:21" ht="12.75">
      <c r="A390" s="10"/>
      <c r="B390" s="344"/>
      <c r="C390" s="348"/>
      <c r="D390" s="352"/>
      <c r="E390" s="12"/>
      <c r="F390" s="376"/>
      <c r="G390" s="340"/>
      <c r="H390" s="340"/>
      <c r="I390" s="340"/>
      <c r="J390" s="340"/>
      <c r="K390" s="12"/>
      <c r="L390" s="12"/>
      <c r="M390" s="12"/>
      <c r="N390" s="12"/>
      <c r="O390" s="12"/>
      <c r="P390" s="15"/>
      <c r="Q390" s="7"/>
      <c r="R390" s="7"/>
      <c r="S390" s="7"/>
      <c r="T390" s="8"/>
      <c r="U390" s="8"/>
    </row>
    <row r="391" spans="1:21" ht="12.75">
      <c r="A391" s="10"/>
      <c r="B391" s="344"/>
      <c r="C391" s="348"/>
      <c r="D391" s="352"/>
      <c r="E391" s="12"/>
      <c r="F391" s="376"/>
      <c r="G391" s="340"/>
      <c r="H391" s="340"/>
      <c r="I391" s="340"/>
      <c r="J391" s="340"/>
      <c r="K391" s="12"/>
      <c r="L391" s="12"/>
      <c r="M391" s="12"/>
      <c r="N391" s="12"/>
      <c r="O391" s="12"/>
      <c r="P391" s="15"/>
      <c r="Q391" s="7"/>
      <c r="R391" s="7"/>
      <c r="S391" s="7"/>
      <c r="T391" s="8"/>
      <c r="U391" s="8"/>
    </row>
    <row r="392" spans="1:21" ht="12.75">
      <c r="A392" s="10"/>
      <c r="B392" s="344"/>
      <c r="C392" s="348"/>
      <c r="D392" s="352"/>
      <c r="E392" s="12"/>
      <c r="F392" s="376"/>
      <c r="G392" s="340"/>
      <c r="H392" s="340"/>
      <c r="I392" s="340"/>
      <c r="J392" s="340"/>
      <c r="K392" s="12"/>
      <c r="L392" s="12"/>
      <c r="M392" s="12"/>
      <c r="N392" s="12"/>
      <c r="O392" s="12"/>
      <c r="P392" s="15"/>
      <c r="Q392" s="7"/>
      <c r="R392" s="7"/>
      <c r="S392" s="7"/>
      <c r="T392" s="8"/>
      <c r="U392" s="8"/>
    </row>
    <row r="393" spans="1:21" ht="12.75">
      <c r="A393" s="10"/>
      <c r="B393" s="344"/>
      <c r="C393" s="348"/>
      <c r="D393" s="352"/>
      <c r="E393" s="12"/>
      <c r="F393" s="376"/>
      <c r="G393" s="340"/>
      <c r="H393" s="340"/>
      <c r="I393" s="340"/>
      <c r="J393" s="340"/>
      <c r="K393" s="12"/>
      <c r="L393" s="12"/>
      <c r="M393" s="12"/>
      <c r="N393" s="12"/>
      <c r="O393" s="12"/>
      <c r="P393" s="15"/>
      <c r="Q393" s="7"/>
      <c r="R393" s="7"/>
      <c r="S393" s="7"/>
      <c r="T393" s="8"/>
      <c r="U393" s="8"/>
    </row>
    <row r="394" spans="1:21" ht="12.75">
      <c r="A394" s="10"/>
      <c r="B394" s="344"/>
      <c r="C394" s="348"/>
      <c r="D394" s="352"/>
      <c r="E394" s="12"/>
      <c r="F394" s="376"/>
      <c r="G394" s="340"/>
      <c r="H394" s="340"/>
      <c r="I394" s="340"/>
      <c r="J394" s="340"/>
      <c r="K394" s="12"/>
      <c r="L394" s="12"/>
      <c r="M394" s="12"/>
      <c r="N394" s="12"/>
      <c r="O394" s="12"/>
      <c r="P394" s="15"/>
      <c r="Q394" s="7"/>
      <c r="R394" s="7"/>
      <c r="S394" s="7"/>
      <c r="T394" s="8"/>
      <c r="U394" s="8"/>
    </row>
    <row r="395" spans="1:21" ht="12.75">
      <c r="A395" s="10"/>
      <c r="B395" s="344"/>
      <c r="C395" s="348"/>
      <c r="D395" s="352"/>
      <c r="E395" s="12"/>
      <c r="F395" s="376"/>
      <c r="G395" s="340"/>
      <c r="H395" s="340"/>
      <c r="I395" s="340"/>
      <c r="J395" s="340"/>
      <c r="K395" s="12"/>
      <c r="L395" s="12"/>
      <c r="M395" s="12"/>
      <c r="N395" s="12"/>
      <c r="O395" s="12"/>
      <c r="P395" s="15"/>
      <c r="Q395" s="7"/>
      <c r="R395" s="7"/>
      <c r="S395" s="7"/>
      <c r="T395" s="8"/>
      <c r="U395" s="8"/>
    </row>
    <row r="396" spans="1:21" ht="12.75">
      <c r="A396" s="10"/>
      <c r="B396" s="344"/>
      <c r="C396" s="348"/>
      <c r="D396" s="352"/>
      <c r="E396" s="12"/>
      <c r="F396" s="376"/>
      <c r="G396" s="340"/>
      <c r="H396" s="340"/>
      <c r="I396" s="340"/>
      <c r="J396" s="340"/>
      <c r="K396" s="12"/>
      <c r="L396" s="12"/>
      <c r="M396" s="12"/>
      <c r="N396" s="12"/>
      <c r="O396" s="12"/>
      <c r="P396" s="15"/>
      <c r="Q396" s="7"/>
      <c r="R396" s="7"/>
      <c r="S396" s="7"/>
      <c r="T396" s="8"/>
      <c r="U396" s="8"/>
    </row>
    <row r="397" spans="1:21" ht="12.75">
      <c r="A397" s="10"/>
      <c r="B397" s="344"/>
      <c r="C397" s="348"/>
      <c r="D397" s="352"/>
      <c r="E397" s="12"/>
      <c r="F397" s="376"/>
      <c r="G397" s="340"/>
      <c r="H397" s="340"/>
      <c r="I397" s="340"/>
      <c r="J397" s="340"/>
      <c r="K397" s="12"/>
      <c r="L397" s="12"/>
      <c r="M397" s="12"/>
      <c r="N397" s="12"/>
      <c r="O397" s="12"/>
      <c r="P397" s="15"/>
      <c r="Q397" s="7"/>
      <c r="R397" s="7"/>
      <c r="S397" s="7"/>
      <c r="T397" s="8"/>
      <c r="U397" s="8"/>
    </row>
    <row r="398" spans="1:21" ht="12.75">
      <c r="A398" s="10"/>
      <c r="B398" s="344"/>
      <c r="C398" s="348"/>
      <c r="D398" s="352"/>
      <c r="E398" s="12"/>
      <c r="F398" s="376"/>
      <c r="G398" s="340"/>
      <c r="H398" s="340"/>
      <c r="I398" s="340"/>
      <c r="J398" s="340"/>
      <c r="K398" s="12"/>
      <c r="L398" s="12"/>
      <c r="M398" s="12"/>
      <c r="N398" s="12"/>
      <c r="O398" s="12"/>
      <c r="P398" s="15"/>
      <c r="Q398" s="7"/>
      <c r="R398" s="7"/>
      <c r="S398" s="7"/>
      <c r="T398" s="8"/>
      <c r="U398" s="8"/>
    </row>
    <row r="399" spans="1:21" ht="12.75">
      <c r="A399" s="10"/>
      <c r="B399" s="344"/>
      <c r="C399" s="348"/>
      <c r="D399" s="352"/>
      <c r="E399" s="12"/>
      <c r="F399" s="376"/>
      <c r="G399" s="340"/>
      <c r="H399" s="340"/>
      <c r="I399" s="340"/>
      <c r="J399" s="340"/>
      <c r="K399" s="12"/>
      <c r="L399" s="12"/>
      <c r="M399" s="12"/>
      <c r="N399" s="12"/>
      <c r="O399" s="12"/>
      <c r="P399" s="15"/>
      <c r="Q399" s="7"/>
      <c r="R399" s="7"/>
      <c r="S399" s="7"/>
      <c r="T399" s="8"/>
      <c r="U399" s="8"/>
    </row>
    <row r="400" spans="1:21" ht="12.75">
      <c r="A400" s="10"/>
      <c r="B400" s="344"/>
      <c r="C400" s="348"/>
      <c r="D400" s="352"/>
      <c r="E400" s="12"/>
      <c r="F400" s="376"/>
      <c r="G400" s="340"/>
      <c r="H400" s="340"/>
      <c r="I400" s="340"/>
      <c r="J400" s="340"/>
      <c r="K400" s="12"/>
      <c r="L400" s="12"/>
      <c r="M400" s="12"/>
      <c r="N400" s="12"/>
      <c r="O400" s="12"/>
      <c r="P400" s="15"/>
      <c r="Q400" s="7"/>
      <c r="R400" s="7"/>
      <c r="S400" s="7"/>
      <c r="T400" s="8"/>
      <c r="U400" s="8"/>
    </row>
    <row r="401" spans="1:21" ht="12.75">
      <c r="A401" s="10"/>
      <c r="B401" s="344"/>
      <c r="C401" s="348"/>
      <c r="D401" s="352"/>
      <c r="E401" s="12"/>
      <c r="F401" s="376"/>
      <c r="G401" s="340"/>
      <c r="H401" s="340"/>
      <c r="I401" s="340"/>
      <c r="J401" s="340"/>
      <c r="K401" s="12"/>
      <c r="L401" s="12"/>
      <c r="M401" s="12"/>
      <c r="N401" s="12"/>
      <c r="O401" s="12"/>
      <c r="P401" s="15"/>
      <c r="Q401" s="7"/>
      <c r="R401" s="7"/>
      <c r="S401" s="7"/>
      <c r="T401" s="8"/>
      <c r="U401" s="8"/>
    </row>
    <row r="402" spans="1:21" ht="12.75">
      <c r="A402" s="10"/>
      <c r="B402" s="344"/>
      <c r="C402" s="348"/>
      <c r="D402" s="352"/>
      <c r="E402" s="12"/>
      <c r="F402" s="376"/>
      <c r="G402" s="340"/>
      <c r="H402" s="340"/>
      <c r="I402" s="340"/>
      <c r="J402" s="340"/>
      <c r="K402" s="12"/>
      <c r="L402" s="12"/>
      <c r="M402" s="12"/>
      <c r="N402" s="12"/>
      <c r="O402" s="12"/>
      <c r="P402" s="15"/>
      <c r="Q402" s="7"/>
      <c r="R402" s="7"/>
      <c r="S402" s="7"/>
      <c r="T402" s="8"/>
      <c r="U402" s="8"/>
    </row>
    <row r="403" spans="1:21" ht="12.75">
      <c r="A403" s="10"/>
      <c r="B403" s="344"/>
      <c r="C403" s="348"/>
      <c r="D403" s="352"/>
      <c r="E403" s="12"/>
      <c r="F403" s="376"/>
      <c r="G403" s="340"/>
      <c r="H403" s="340"/>
      <c r="I403" s="340"/>
      <c r="J403" s="340"/>
      <c r="K403" s="12"/>
      <c r="L403" s="12"/>
      <c r="M403" s="12"/>
      <c r="N403" s="12"/>
      <c r="O403" s="12"/>
      <c r="P403" s="15"/>
      <c r="Q403" s="7"/>
      <c r="R403" s="7"/>
      <c r="S403" s="7"/>
      <c r="T403" s="8"/>
      <c r="U403" s="8"/>
    </row>
    <row r="404" spans="1:21" ht="12.75">
      <c r="A404" s="10"/>
      <c r="B404" s="344"/>
      <c r="C404" s="348"/>
      <c r="D404" s="352"/>
      <c r="E404" s="12"/>
      <c r="F404" s="376"/>
      <c r="G404" s="340"/>
      <c r="H404" s="340"/>
      <c r="I404" s="340"/>
      <c r="J404" s="340"/>
      <c r="K404" s="12"/>
      <c r="L404" s="12"/>
      <c r="M404" s="12"/>
      <c r="N404" s="12"/>
      <c r="O404" s="12"/>
      <c r="P404" s="15"/>
      <c r="Q404" s="7"/>
      <c r="R404" s="7"/>
      <c r="S404" s="7"/>
      <c r="T404" s="8"/>
      <c r="U404" s="8"/>
    </row>
    <row r="405" spans="1:21" ht="12.75">
      <c r="A405" s="10"/>
      <c r="B405" s="344"/>
      <c r="C405" s="348"/>
      <c r="D405" s="352"/>
      <c r="E405" s="12"/>
      <c r="F405" s="376"/>
      <c r="G405" s="340"/>
      <c r="H405" s="340"/>
      <c r="I405" s="340"/>
      <c r="J405" s="340"/>
      <c r="K405" s="12"/>
      <c r="L405" s="12"/>
      <c r="M405" s="12"/>
      <c r="N405" s="12"/>
      <c r="O405" s="12"/>
      <c r="P405" s="15"/>
      <c r="Q405" s="7"/>
      <c r="R405" s="7"/>
      <c r="S405" s="7"/>
      <c r="T405" s="8"/>
      <c r="U405" s="8"/>
    </row>
    <row r="406" spans="1:21" ht="12.75">
      <c r="A406" s="10"/>
      <c r="B406" s="344"/>
      <c r="C406" s="348"/>
      <c r="D406" s="352"/>
      <c r="E406" s="12"/>
      <c r="F406" s="376"/>
      <c r="G406" s="340"/>
      <c r="H406" s="340"/>
      <c r="I406" s="340"/>
      <c r="J406" s="340"/>
      <c r="K406" s="12"/>
      <c r="L406" s="12"/>
      <c r="M406" s="12"/>
      <c r="N406" s="12"/>
      <c r="O406" s="12"/>
      <c r="P406" s="15"/>
      <c r="Q406" s="7"/>
      <c r="R406" s="7"/>
      <c r="S406" s="7"/>
      <c r="T406" s="8"/>
      <c r="U406" s="8"/>
    </row>
    <row r="407" spans="1:21" ht="12.75">
      <c r="A407" s="10"/>
      <c r="B407" s="344"/>
      <c r="C407" s="348"/>
      <c r="D407" s="352"/>
      <c r="E407" s="12"/>
      <c r="F407" s="376"/>
      <c r="G407" s="340"/>
      <c r="H407" s="340"/>
      <c r="I407" s="340"/>
      <c r="J407" s="340"/>
      <c r="K407" s="12"/>
      <c r="L407" s="12"/>
      <c r="M407" s="12"/>
      <c r="N407" s="12"/>
      <c r="O407" s="12"/>
      <c r="P407" s="15"/>
      <c r="Q407" s="7"/>
      <c r="R407" s="7"/>
      <c r="S407" s="7"/>
      <c r="T407" s="8"/>
      <c r="U407" s="8"/>
    </row>
    <row r="408" spans="1:21" ht="12.75">
      <c r="A408" s="10"/>
      <c r="B408" s="344"/>
      <c r="C408" s="348"/>
      <c r="D408" s="352"/>
      <c r="E408" s="12"/>
      <c r="F408" s="376"/>
      <c r="G408" s="340"/>
      <c r="H408" s="340"/>
      <c r="I408" s="340"/>
      <c r="J408" s="340"/>
      <c r="K408" s="12"/>
      <c r="L408" s="12"/>
      <c r="M408" s="12"/>
      <c r="N408" s="12"/>
      <c r="O408" s="12"/>
      <c r="P408" s="15"/>
      <c r="Q408" s="7"/>
      <c r="R408" s="7"/>
      <c r="S408" s="7"/>
      <c r="T408" s="8"/>
      <c r="U408" s="8"/>
    </row>
    <row r="409" spans="1:21" ht="12.75">
      <c r="A409" s="10"/>
      <c r="B409" s="344"/>
      <c r="C409" s="348"/>
      <c r="D409" s="352"/>
      <c r="E409" s="12"/>
      <c r="F409" s="376"/>
      <c r="G409" s="340"/>
      <c r="H409" s="340"/>
      <c r="I409" s="340"/>
      <c r="J409" s="340"/>
      <c r="K409" s="12"/>
      <c r="L409" s="12"/>
      <c r="M409" s="12"/>
      <c r="N409" s="12"/>
      <c r="O409" s="12"/>
      <c r="P409" s="15"/>
      <c r="Q409" s="7"/>
      <c r="R409" s="7"/>
      <c r="S409" s="7"/>
      <c r="T409" s="8"/>
      <c r="U409" s="8"/>
    </row>
    <row r="410" spans="1:21" ht="12.75">
      <c r="A410" s="10"/>
      <c r="B410" s="344"/>
      <c r="C410" s="348"/>
      <c r="D410" s="352"/>
      <c r="E410" s="12"/>
      <c r="F410" s="376"/>
      <c r="G410" s="340"/>
      <c r="H410" s="340"/>
      <c r="I410" s="340"/>
      <c r="J410" s="340"/>
      <c r="K410" s="12"/>
      <c r="L410" s="12"/>
      <c r="M410" s="12"/>
      <c r="N410" s="12"/>
      <c r="O410" s="12"/>
      <c r="P410" s="15"/>
      <c r="Q410" s="7"/>
      <c r="R410" s="7"/>
      <c r="S410" s="7"/>
      <c r="T410" s="8"/>
      <c r="U410" s="8"/>
    </row>
    <row r="411" spans="1:21" ht="12.75">
      <c r="A411" s="10"/>
      <c r="B411" s="344"/>
      <c r="C411" s="348"/>
      <c r="D411" s="352"/>
      <c r="E411" s="12"/>
      <c r="F411" s="376"/>
      <c r="G411" s="340"/>
      <c r="H411" s="340"/>
      <c r="I411" s="340"/>
      <c r="J411" s="340"/>
      <c r="K411" s="12"/>
      <c r="L411" s="12"/>
      <c r="M411" s="12"/>
      <c r="N411" s="12"/>
      <c r="O411" s="12"/>
      <c r="P411" s="15"/>
      <c r="Q411" s="7"/>
      <c r="R411" s="7"/>
      <c r="S411" s="7"/>
      <c r="T411" s="8"/>
      <c r="U411" s="8"/>
    </row>
    <row r="412" spans="1:21" ht="12.75">
      <c r="A412" s="10"/>
      <c r="B412" s="344"/>
      <c r="C412" s="348"/>
      <c r="D412" s="352"/>
      <c r="E412" s="12"/>
      <c r="F412" s="376"/>
      <c r="G412" s="340"/>
      <c r="H412" s="340"/>
      <c r="I412" s="340"/>
      <c r="J412" s="340"/>
      <c r="K412" s="12"/>
      <c r="L412" s="12"/>
      <c r="M412" s="12"/>
      <c r="N412" s="12"/>
      <c r="O412" s="12"/>
      <c r="P412" s="15"/>
      <c r="Q412" s="7"/>
      <c r="R412" s="7"/>
      <c r="S412" s="7"/>
      <c r="T412" s="8"/>
      <c r="U412" s="8"/>
    </row>
    <row r="413" spans="1:21" ht="12.75">
      <c r="A413" s="10"/>
      <c r="B413" s="344"/>
      <c r="C413" s="348"/>
      <c r="D413" s="352"/>
      <c r="E413" s="12"/>
      <c r="F413" s="376"/>
      <c r="G413" s="340"/>
      <c r="H413" s="340"/>
      <c r="I413" s="340"/>
      <c r="J413" s="340"/>
      <c r="K413" s="12"/>
      <c r="L413" s="12"/>
      <c r="M413" s="12"/>
      <c r="N413" s="12"/>
      <c r="O413" s="12"/>
      <c r="P413" s="15"/>
      <c r="Q413" s="7"/>
      <c r="R413" s="7"/>
      <c r="S413" s="7"/>
      <c r="T413" s="8"/>
      <c r="U413" s="8"/>
    </row>
    <row r="414" spans="1:21" ht="12.75">
      <c r="A414" s="10"/>
      <c r="B414" s="344"/>
      <c r="C414" s="348"/>
      <c r="D414" s="352"/>
      <c r="E414" s="12"/>
      <c r="F414" s="376"/>
      <c r="G414" s="340"/>
      <c r="H414" s="340"/>
      <c r="I414" s="340"/>
      <c r="J414" s="340"/>
      <c r="K414" s="12"/>
      <c r="L414" s="12"/>
      <c r="M414" s="12"/>
      <c r="N414" s="12"/>
      <c r="O414" s="12"/>
      <c r="P414" s="15"/>
      <c r="Q414" s="7"/>
      <c r="R414" s="7"/>
      <c r="S414" s="7"/>
      <c r="T414" s="8"/>
      <c r="U414" s="8"/>
    </row>
    <row r="415" spans="1:21" ht="12.75">
      <c r="A415" s="10"/>
      <c r="B415" s="344"/>
      <c r="C415" s="348"/>
      <c r="D415" s="352"/>
      <c r="E415" s="12"/>
      <c r="F415" s="376"/>
      <c r="G415" s="340"/>
      <c r="H415" s="340"/>
      <c r="I415" s="340"/>
      <c r="J415" s="340"/>
      <c r="K415" s="12"/>
      <c r="L415" s="12"/>
      <c r="M415" s="12"/>
      <c r="N415" s="12"/>
      <c r="O415" s="12"/>
      <c r="P415" s="15"/>
      <c r="Q415" s="7"/>
      <c r="R415" s="7"/>
      <c r="S415" s="7"/>
      <c r="T415" s="8"/>
      <c r="U415" s="8"/>
    </row>
    <row r="416" spans="1:21" ht="12.75">
      <c r="A416" s="10"/>
      <c r="B416" s="344"/>
      <c r="C416" s="348"/>
      <c r="D416" s="352"/>
      <c r="E416" s="12"/>
      <c r="F416" s="376"/>
      <c r="G416" s="340"/>
      <c r="H416" s="340"/>
      <c r="I416" s="340"/>
      <c r="J416" s="340"/>
      <c r="K416" s="12"/>
      <c r="L416" s="12"/>
      <c r="M416" s="12"/>
      <c r="N416" s="12"/>
      <c r="O416" s="12"/>
      <c r="P416" s="15"/>
      <c r="Q416" s="7"/>
      <c r="R416" s="7"/>
      <c r="S416" s="7"/>
      <c r="T416" s="8"/>
      <c r="U416" s="8"/>
    </row>
    <row r="417" spans="1:21" ht="12.75">
      <c r="A417" s="10"/>
      <c r="B417" s="344"/>
      <c r="C417" s="348"/>
      <c r="D417" s="352"/>
      <c r="E417" s="12"/>
      <c r="F417" s="376"/>
      <c r="G417" s="340"/>
      <c r="H417" s="340"/>
      <c r="I417" s="340"/>
      <c r="J417" s="340"/>
      <c r="K417" s="12"/>
      <c r="L417" s="12"/>
      <c r="M417" s="12"/>
      <c r="N417" s="12"/>
      <c r="O417" s="12"/>
      <c r="P417" s="15"/>
      <c r="Q417" s="7"/>
      <c r="R417" s="7"/>
      <c r="S417" s="7"/>
      <c r="T417" s="8"/>
      <c r="U417" s="8"/>
    </row>
    <row r="418" spans="1:21" ht="12.75">
      <c r="A418" s="10"/>
      <c r="B418" s="344"/>
      <c r="C418" s="348"/>
      <c r="D418" s="352"/>
      <c r="E418" s="12"/>
      <c r="F418" s="376"/>
      <c r="G418" s="340"/>
      <c r="H418" s="340"/>
      <c r="I418" s="340"/>
      <c r="J418" s="340"/>
      <c r="K418" s="12"/>
      <c r="L418" s="12"/>
      <c r="M418" s="12"/>
      <c r="N418" s="12"/>
      <c r="O418" s="12"/>
      <c r="P418" s="15"/>
      <c r="Q418" s="7"/>
      <c r="R418" s="7"/>
      <c r="S418" s="7"/>
      <c r="T418" s="8"/>
      <c r="U418" s="8"/>
    </row>
    <row r="419" spans="1:21" ht="12.75">
      <c r="A419" s="10"/>
      <c r="B419" s="344"/>
      <c r="C419" s="348"/>
      <c r="D419" s="352"/>
      <c r="E419" s="12"/>
      <c r="F419" s="376"/>
      <c r="G419" s="340"/>
      <c r="H419" s="340"/>
      <c r="I419" s="340"/>
      <c r="J419" s="340"/>
      <c r="K419" s="12"/>
      <c r="L419" s="12"/>
      <c r="M419" s="12"/>
      <c r="N419" s="12"/>
      <c r="O419" s="12"/>
      <c r="P419" s="15"/>
      <c r="Q419" s="7"/>
      <c r="R419" s="7"/>
      <c r="S419" s="7"/>
      <c r="T419" s="8"/>
      <c r="U419" s="8"/>
    </row>
    <row r="420" spans="1:21" ht="12.75">
      <c r="A420" s="10"/>
      <c r="B420" s="344"/>
      <c r="C420" s="348"/>
      <c r="D420" s="352"/>
      <c r="E420" s="12"/>
      <c r="F420" s="376"/>
      <c r="G420" s="340"/>
      <c r="H420" s="340"/>
      <c r="I420" s="340"/>
      <c r="J420" s="340"/>
      <c r="K420" s="12"/>
      <c r="L420" s="12"/>
      <c r="M420" s="12"/>
      <c r="N420" s="12"/>
      <c r="O420" s="12"/>
      <c r="P420" s="15"/>
      <c r="Q420" s="7"/>
      <c r="R420" s="7"/>
      <c r="S420" s="7"/>
      <c r="T420" s="8"/>
      <c r="U420" s="8"/>
    </row>
    <row r="421" spans="1:21" ht="12.75">
      <c r="A421" s="10"/>
      <c r="B421" s="344"/>
      <c r="C421" s="348"/>
      <c r="D421" s="352"/>
      <c r="E421" s="12"/>
      <c r="F421" s="376"/>
      <c r="G421" s="340"/>
      <c r="H421" s="340"/>
      <c r="I421" s="340"/>
      <c r="J421" s="340"/>
      <c r="K421" s="12"/>
      <c r="L421" s="12"/>
      <c r="M421" s="12"/>
      <c r="N421" s="12"/>
      <c r="O421" s="12"/>
      <c r="P421" s="15"/>
      <c r="Q421" s="7"/>
      <c r="R421" s="7"/>
      <c r="S421" s="7"/>
      <c r="T421" s="8"/>
      <c r="U421" s="8"/>
    </row>
    <row r="422" spans="1:21" ht="12.75">
      <c r="A422" s="10"/>
      <c r="B422" s="344"/>
      <c r="C422" s="348"/>
      <c r="D422" s="352"/>
      <c r="E422" s="12"/>
      <c r="F422" s="376"/>
      <c r="G422" s="340"/>
      <c r="H422" s="340"/>
      <c r="I422" s="340"/>
      <c r="J422" s="340"/>
      <c r="K422" s="12"/>
      <c r="L422" s="12"/>
      <c r="M422" s="12"/>
      <c r="N422" s="12"/>
      <c r="O422" s="12"/>
      <c r="P422" s="15"/>
      <c r="Q422" s="7"/>
      <c r="R422" s="7"/>
      <c r="S422" s="7"/>
      <c r="T422" s="8"/>
      <c r="U422" s="8"/>
    </row>
    <row r="423" spans="1:21" ht="12.75">
      <c r="A423" s="10"/>
      <c r="B423" s="344"/>
      <c r="C423" s="348"/>
      <c r="D423" s="352"/>
      <c r="E423" s="12"/>
      <c r="F423" s="376"/>
      <c r="G423" s="340"/>
      <c r="H423" s="340"/>
      <c r="I423" s="340"/>
      <c r="J423" s="340"/>
      <c r="K423" s="12"/>
      <c r="L423" s="12"/>
      <c r="M423" s="12"/>
      <c r="N423" s="12"/>
      <c r="O423" s="12"/>
      <c r="P423" s="15"/>
      <c r="Q423" s="7"/>
      <c r="R423" s="7"/>
      <c r="S423" s="7"/>
      <c r="T423" s="8"/>
      <c r="U423" s="8"/>
    </row>
    <row r="424" spans="1:21" ht="12.75">
      <c r="A424" s="10"/>
      <c r="B424" s="344"/>
      <c r="C424" s="348"/>
      <c r="D424" s="352"/>
      <c r="E424" s="12"/>
      <c r="F424" s="376"/>
      <c r="G424" s="340"/>
      <c r="H424" s="340"/>
      <c r="I424" s="340"/>
      <c r="J424" s="340"/>
      <c r="K424" s="12"/>
      <c r="L424" s="12"/>
      <c r="M424" s="12"/>
      <c r="N424" s="12"/>
      <c r="O424" s="12"/>
      <c r="P424" s="15"/>
      <c r="Q424" s="7"/>
      <c r="R424" s="7"/>
      <c r="S424" s="7"/>
      <c r="T424" s="8"/>
      <c r="U424" s="8"/>
    </row>
    <row r="425" spans="1:21" ht="12.75">
      <c r="A425" s="10"/>
      <c r="B425" s="344"/>
      <c r="C425" s="348"/>
      <c r="D425" s="352"/>
      <c r="E425" s="12"/>
      <c r="F425" s="376"/>
      <c r="G425" s="340"/>
      <c r="H425" s="340"/>
      <c r="I425" s="340"/>
      <c r="J425" s="340"/>
      <c r="K425" s="12"/>
      <c r="L425" s="12"/>
      <c r="M425" s="12"/>
      <c r="N425" s="12"/>
      <c r="O425" s="12"/>
      <c r="P425" s="15"/>
      <c r="Q425" s="7"/>
      <c r="R425" s="7"/>
      <c r="S425" s="7"/>
      <c r="T425" s="8"/>
      <c r="U425" s="8"/>
    </row>
    <row r="426" spans="1:21" ht="12.75">
      <c r="A426" s="10"/>
      <c r="B426" s="344"/>
      <c r="C426" s="348"/>
      <c r="D426" s="352"/>
      <c r="E426" s="12"/>
      <c r="F426" s="376"/>
      <c r="G426" s="340"/>
      <c r="H426" s="340"/>
      <c r="I426" s="340"/>
      <c r="J426" s="340"/>
      <c r="K426" s="12"/>
      <c r="L426" s="12"/>
      <c r="M426" s="12"/>
      <c r="N426" s="12"/>
      <c r="O426" s="12"/>
      <c r="P426" s="15"/>
      <c r="Q426" s="7"/>
      <c r="R426" s="7"/>
      <c r="S426" s="7"/>
      <c r="T426" s="8"/>
      <c r="U426" s="8"/>
    </row>
    <row r="427" spans="1:21" ht="12.75">
      <c r="A427" s="10"/>
      <c r="B427" s="344"/>
      <c r="C427" s="348"/>
      <c r="D427" s="352"/>
      <c r="E427" s="12"/>
      <c r="F427" s="376"/>
      <c r="G427" s="340"/>
      <c r="H427" s="340"/>
      <c r="I427" s="340"/>
      <c r="J427" s="340"/>
      <c r="K427" s="12"/>
      <c r="L427" s="12"/>
      <c r="M427" s="12"/>
      <c r="N427" s="12"/>
      <c r="O427" s="12"/>
      <c r="P427" s="15"/>
      <c r="Q427" s="7"/>
      <c r="R427" s="7"/>
      <c r="S427" s="7"/>
      <c r="T427" s="8"/>
      <c r="U427" s="8"/>
    </row>
    <row r="428" spans="1:21" ht="12.75">
      <c r="A428" s="10"/>
      <c r="B428" s="344"/>
      <c r="C428" s="348"/>
      <c r="D428" s="352"/>
      <c r="E428" s="12"/>
      <c r="F428" s="376"/>
      <c r="G428" s="340"/>
      <c r="H428" s="340"/>
      <c r="I428" s="340"/>
      <c r="J428" s="340"/>
      <c r="K428" s="12"/>
      <c r="L428" s="12"/>
      <c r="M428" s="12"/>
      <c r="N428" s="12"/>
      <c r="O428" s="12"/>
      <c r="P428" s="15"/>
      <c r="Q428" s="7"/>
      <c r="R428" s="7"/>
      <c r="S428" s="7"/>
      <c r="T428" s="8"/>
      <c r="U428" s="8"/>
    </row>
    <row r="429" spans="1:21" ht="12.75">
      <c r="A429" s="10"/>
      <c r="B429" s="344"/>
      <c r="C429" s="348"/>
      <c r="D429" s="352"/>
      <c r="E429" s="12"/>
      <c r="F429" s="376"/>
      <c r="G429" s="340"/>
      <c r="H429" s="340"/>
      <c r="I429" s="340"/>
      <c r="J429" s="340"/>
      <c r="K429" s="12"/>
      <c r="L429" s="12"/>
      <c r="M429" s="12"/>
      <c r="N429" s="12"/>
      <c r="O429" s="12"/>
      <c r="P429" s="15"/>
      <c r="Q429" s="7"/>
      <c r="R429" s="7"/>
      <c r="S429" s="7"/>
      <c r="T429" s="8"/>
      <c r="U429" s="8"/>
    </row>
    <row r="430" spans="1:21" ht="12.75">
      <c r="A430" s="10"/>
      <c r="B430" s="344"/>
      <c r="C430" s="348"/>
      <c r="D430" s="352"/>
      <c r="E430" s="12"/>
      <c r="F430" s="376"/>
      <c r="G430" s="340"/>
      <c r="H430" s="340"/>
      <c r="I430" s="340"/>
      <c r="J430" s="340"/>
      <c r="K430" s="12"/>
      <c r="L430" s="12"/>
      <c r="M430" s="12"/>
      <c r="N430" s="12"/>
      <c r="O430" s="12"/>
      <c r="P430" s="15"/>
      <c r="Q430" s="7"/>
      <c r="R430" s="7"/>
      <c r="S430" s="7"/>
      <c r="T430" s="8"/>
      <c r="U430" s="8"/>
    </row>
    <row r="431" spans="1:21" ht="12.75">
      <c r="A431" s="10"/>
      <c r="B431" s="344"/>
      <c r="C431" s="348"/>
      <c r="D431" s="352"/>
      <c r="E431" s="12"/>
      <c r="F431" s="376"/>
      <c r="G431" s="340"/>
      <c r="H431" s="340"/>
      <c r="I431" s="340"/>
      <c r="J431" s="340"/>
      <c r="K431" s="12"/>
      <c r="L431" s="12"/>
      <c r="M431" s="12"/>
      <c r="N431" s="12"/>
      <c r="O431" s="12"/>
      <c r="P431" s="15"/>
      <c r="Q431" s="7"/>
      <c r="R431" s="7"/>
      <c r="S431" s="7"/>
      <c r="T431" s="8"/>
      <c r="U431" s="8"/>
    </row>
    <row r="432" spans="1:21" ht="12.75">
      <c r="A432" s="10"/>
      <c r="B432" s="344"/>
      <c r="C432" s="348"/>
      <c r="D432" s="352"/>
      <c r="E432" s="12"/>
      <c r="F432" s="376"/>
      <c r="G432" s="340"/>
      <c r="H432" s="340"/>
      <c r="I432" s="340"/>
      <c r="J432" s="340"/>
      <c r="K432" s="12"/>
      <c r="L432" s="12"/>
      <c r="M432" s="12"/>
      <c r="N432" s="12"/>
      <c r="O432" s="12"/>
      <c r="P432" s="15"/>
      <c r="Q432" s="7"/>
      <c r="R432" s="7"/>
      <c r="S432" s="7"/>
      <c r="T432" s="8"/>
      <c r="U432" s="8"/>
    </row>
    <row r="433" spans="1:21" ht="12.75">
      <c r="A433" s="10"/>
      <c r="B433" s="344"/>
      <c r="C433" s="348"/>
      <c r="D433" s="352"/>
      <c r="E433" s="12"/>
      <c r="F433" s="376"/>
      <c r="G433" s="340"/>
      <c r="H433" s="340"/>
      <c r="I433" s="340"/>
      <c r="J433" s="340"/>
      <c r="K433" s="12"/>
      <c r="L433" s="12"/>
      <c r="M433" s="12"/>
      <c r="N433" s="12"/>
      <c r="O433" s="12"/>
      <c r="P433" s="15"/>
      <c r="Q433" s="7"/>
      <c r="R433" s="7"/>
      <c r="S433" s="7"/>
      <c r="T433" s="8"/>
      <c r="U433" s="8"/>
    </row>
    <row r="434" spans="1:21" ht="12.75">
      <c r="A434" s="10"/>
      <c r="B434" s="344"/>
      <c r="C434" s="348"/>
      <c r="D434" s="352"/>
      <c r="E434" s="12"/>
      <c r="F434" s="376"/>
      <c r="G434" s="340"/>
      <c r="H434" s="340"/>
      <c r="I434" s="340"/>
      <c r="J434" s="340"/>
      <c r="K434" s="12"/>
      <c r="L434" s="12"/>
      <c r="M434" s="12"/>
      <c r="N434" s="12"/>
      <c r="O434" s="12"/>
      <c r="P434" s="15"/>
      <c r="Q434" s="7"/>
      <c r="R434" s="7"/>
      <c r="S434" s="7"/>
      <c r="T434" s="8"/>
      <c r="U434" s="8"/>
    </row>
    <row r="435" spans="1:21" ht="12.75">
      <c r="A435" s="10"/>
      <c r="B435" s="344"/>
      <c r="C435" s="348"/>
      <c r="D435" s="352"/>
      <c r="E435" s="12"/>
      <c r="F435" s="376"/>
      <c r="G435" s="340"/>
      <c r="H435" s="340"/>
      <c r="I435" s="340"/>
      <c r="J435" s="340"/>
      <c r="K435" s="12"/>
      <c r="L435" s="12"/>
      <c r="M435" s="12"/>
      <c r="N435" s="12"/>
      <c r="O435" s="12"/>
      <c r="P435" s="15"/>
      <c r="Q435" s="7"/>
      <c r="R435" s="7"/>
      <c r="S435" s="7"/>
      <c r="T435" s="8"/>
      <c r="U435" s="8"/>
    </row>
    <row r="436" spans="1:21" ht="12.75">
      <c r="A436" s="10"/>
      <c r="B436" s="344"/>
      <c r="C436" s="348"/>
      <c r="D436" s="352"/>
      <c r="E436" s="12"/>
      <c r="F436" s="376"/>
      <c r="G436" s="340"/>
      <c r="H436" s="340"/>
      <c r="I436" s="340"/>
      <c r="J436" s="340"/>
      <c r="K436" s="12"/>
      <c r="L436" s="12"/>
      <c r="M436" s="12"/>
      <c r="N436" s="12"/>
      <c r="O436" s="12"/>
      <c r="P436" s="15"/>
      <c r="Q436" s="7"/>
      <c r="R436" s="7"/>
      <c r="S436" s="7"/>
      <c r="T436" s="8"/>
      <c r="U436" s="8"/>
    </row>
    <row r="437" spans="1:21" ht="12.75">
      <c r="A437" s="10"/>
      <c r="B437" s="344"/>
      <c r="C437" s="348"/>
      <c r="D437" s="352"/>
      <c r="E437" s="12"/>
      <c r="F437" s="376"/>
      <c r="G437" s="340"/>
      <c r="H437" s="340"/>
      <c r="I437" s="340"/>
      <c r="J437" s="340"/>
      <c r="K437" s="12"/>
      <c r="L437" s="12"/>
      <c r="M437" s="12"/>
      <c r="N437" s="12"/>
      <c r="O437" s="12"/>
      <c r="P437" s="15"/>
      <c r="Q437" s="7"/>
      <c r="R437" s="7"/>
      <c r="S437" s="7"/>
      <c r="T437" s="8"/>
      <c r="U437" s="8"/>
    </row>
    <row r="438" spans="1:21" ht="12.75">
      <c r="A438" s="10"/>
      <c r="B438" s="344"/>
      <c r="C438" s="348"/>
      <c r="D438" s="352"/>
      <c r="E438" s="12"/>
      <c r="F438" s="376"/>
      <c r="G438" s="340"/>
      <c r="H438" s="340"/>
      <c r="I438" s="340"/>
      <c r="J438" s="340"/>
      <c r="K438" s="12"/>
      <c r="L438" s="12"/>
      <c r="M438" s="12"/>
      <c r="N438" s="12"/>
      <c r="O438" s="12"/>
      <c r="P438" s="15"/>
      <c r="Q438" s="7"/>
      <c r="R438" s="7"/>
      <c r="S438" s="7"/>
      <c r="T438" s="8"/>
      <c r="U438" s="8"/>
    </row>
    <row r="439" spans="1:21" ht="12.75">
      <c r="A439" s="10"/>
      <c r="B439" s="344"/>
      <c r="C439" s="348"/>
      <c r="D439" s="352"/>
      <c r="E439" s="12"/>
      <c r="F439" s="376"/>
      <c r="G439" s="340"/>
      <c r="H439" s="340"/>
      <c r="I439" s="340"/>
      <c r="J439" s="340"/>
      <c r="K439" s="12"/>
      <c r="L439" s="12"/>
      <c r="M439" s="12"/>
      <c r="N439" s="12"/>
      <c r="O439" s="12"/>
      <c r="P439" s="15"/>
      <c r="Q439" s="7"/>
      <c r="R439" s="7"/>
      <c r="S439" s="7"/>
      <c r="T439" s="8"/>
      <c r="U439" s="8"/>
    </row>
    <row r="440" spans="1:21" ht="12.75">
      <c r="A440" s="10"/>
      <c r="B440" s="344"/>
      <c r="C440" s="348"/>
      <c r="D440" s="352"/>
      <c r="E440" s="12"/>
      <c r="F440" s="376"/>
      <c r="G440" s="340"/>
      <c r="H440" s="340"/>
      <c r="I440" s="340"/>
      <c r="J440" s="340"/>
      <c r="K440" s="12"/>
      <c r="L440" s="12"/>
      <c r="M440" s="12"/>
      <c r="N440" s="12"/>
      <c r="O440" s="12"/>
      <c r="P440" s="15"/>
      <c r="Q440" s="7"/>
      <c r="R440" s="7"/>
      <c r="S440" s="7"/>
      <c r="T440" s="8"/>
      <c r="U440" s="8"/>
    </row>
    <row r="441" spans="1:21" ht="12.75">
      <c r="A441" s="10"/>
      <c r="B441" s="344"/>
      <c r="C441" s="348"/>
      <c r="D441" s="352"/>
      <c r="E441" s="12"/>
      <c r="F441" s="376"/>
      <c r="G441" s="340"/>
      <c r="H441" s="340"/>
      <c r="I441" s="340"/>
      <c r="J441" s="340"/>
      <c r="K441" s="12"/>
      <c r="L441" s="12"/>
      <c r="M441" s="12"/>
      <c r="N441" s="12"/>
      <c r="O441" s="12"/>
      <c r="P441" s="15"/>
      <c r="Q441" s="7"/>
      <c r="R441" s="7"/>
      <c r="S441" s="7"/>
      <c r="T441" s="8"/>
      <c r="U441" s="8"/>
    </row>
    <row r="442" spans="1:21" ht="12.75">
      <c r="A442" s="10"/>
      <c r="B442" s="344"/>
      <c r="C442" s="348"/>
      <c r="D442" s="352"/>
      <c r="E442" s="12"/>
      <c r="F442" s="376"/>
      <c r="G442" s="340"/>
      <c r="H442" s="340"/>
      <c r="I442" s="340"/>
      <c r="J442" s="340"/>
      <c r="K442" s="12"/>
      <c r="L442" s="12"/>
      <c r="M442" s="12"/>
      <c r="N442" s="12"/>
      <c r="O442" s="12"/>
      <c r="P442" s="15"/>
      <c r="Q442" s="7"/>
      <c r="R442" s="7"/>
      <c r="S442" s="7"/>
      <c r="T442" s="8"/>
      <c r="U442" s="8"/>
    </row>
    <row r="443" spans="1:21" ht="12.75">
      <c r="A443" s="10"/>
      <c r="B443" s="344"/>
      <c r="C443" s="348"/>
      <c r="D443" s="352"/>
      <c r="E443" s="12"/>
      <c r="F443" s="376"/>
      <c r="G443" s="340"/>
      <c r="H443" s="340"/>
      <c r="I443" s="340"/>
      <c r="J443" s="340"/>
      <c r="K443" s="12"/>
      <c r="L443" s="12"/>
      <c r="M443" s="12"/>
      <c r="N443" s="12"/>
      <c r="O443" s="12"/>
      <c r="P443" s="15"/>
      <c r="Q443" s="7"/>
      <c r="R443" s="7"/>
      <c r="S443" s="7"/>
      <c r="T443" s="8"/>
      <c r="U443" s="8"/>
    </row>
    <row r="444" spans="1:21" ht="12.75">
      <c r="A444" s="10"/>
      <c r="B444" s="344"/>
      <c r="C444" s="348"/>
      <c r="D444" s="352"/>
      <c r="E444" s="12"/>
      <c r="F444" s="376"/>
      <c r="G444" s="340"/>
      <c r="H444" s="340"/>
      <c r="I444" s="340"/>
      <c r="J444" s="340"/>
      <c r="K444" s="12"/>
      <c r="L444" s="12"/>
      <c r="M444" s="12"/>
      <c r="N444" s="12"/>
      <c r="O444" s="12"/>
      <c r="P444" s="15"/>
      <c r="Q444" s="7"/>
      <c r="R444" s="7"/>
      <c r="S444" s="7"/>
      <c r="T444" s="8"/>
      <c r="U444" s="8"/>
    </row>
    <row r="445" spans="1:21" ht="12.75">
      <c r="A445" s="10"/>
      <c r="B445" s="344"/>
      <c r="C445" s="348"/>
      <c r="D445" s="352"/>
      <c r="E445" s="12"/>
      <c r="F445" s="376"/>
      <c r="G445" s="340"/>
      <c r="H445" s="340"/>
      <c r="I445" s="340"/>
      <c r="J445" s="340"/>
      <c r="K445" s="12"/>
      <c r="L445" s="12"/>
      <c r="M445" s="12"/>
      <c r="N445" s="12"/>
      <c r="O445" s="12"/>
      <c r="P445" s="15"/>
      <c r="Q445" s="7"/>
      <c r="R445" s="7"/>
      <c r="S445" s="7"/>
      <c r="T445" s="8"/>
      <c r="U445" s="8"/>
    </row>
    <row r="446" spans="1:21" ht="12.75">
      <c r="A446" s="10"/>
      <c r="B446" s="344"/>
      <c r="C446" s="348"/>
      <c r="D446" s="352"/>
      <c r="E446" s="12"/>
      <c r="F446" s="376"/>
      <c r="G446" s="340"/>
      <c r="H446" s="340"/>
      <c r="I446" s="340"/>
      <c r="J446" s="340"/>
      <c r="K446" s="12"/>
      <c r="L446" s="12"/>
      <c r="M446" s="12"/>
      <c r="N446" s="12"/>
      <c r="O446" s="12"/>
      <c r="P446" s="15"/>
      <c r="Q446" s="7"/>
      <c r="R446" s="7"/>
      <c r="S446" s="7"/>
      <c r="T446" s="8"/>
      <c r="U446" s="8"/>
    </row>
    <row r="447" spans="1:21" ht="12.75">
      <c r="A447" s="10"/>
      <c r="B447" s="344"/>
      <c r="C447" s="348"/>
      <c r="D447" s="352"/>
      <c r="E447" s="12"/>
      <c r="F447" s="376"/>
      <c r="G447" s="340"/>
      <c r="H447" s="340"/>
      <c r="I447" s="340"/>
      <c r="J447" s="340"/>
      <c r="K447" s="12"/>
      <c r="L447" s="12"/>
      <c r="M447" s="12"/>
      <c r="N447" s="12"/>
      <c r="O447" s="12"/>
      <c r="P447" s="15"/>
      <c r="Q447" s="7"/>
      <c r="R447" s="7"/>
      <c r="S447" s="7"/>
      <c r="T447" s="8"/>
      <c r="U447" s="8"/>
    </row>
    <row r="448" spans="1:21" ht="12.75">
      <c r="A448" s="10"/>
      <c r="B448" s="344"/>
      <c r="C448" s="348"/>
      <c r="D448" s="352"/>
      <c r="E448" s="12"/>
      <c r="F448" s="376"/>
      <c r="G448" s="340"/>
      <c r="H448" s="340"/>
      <c r="I448" s="340"/>
      <c r="J448" s="340"/>
      <c r="K448" s="12"/>
      <c r="L448" s="12"/>
      <c r="M448" s="12"/>
      <c r="N448" s="12"/>
      <c r="O448" s="12"/>
      <c r="P448" s="15"/>
      <c r="Q448" s="7"/>
      <c r="R448" s="7"/>
      <c r="S448" s="7"/>
      <c r="T448" s="8"/>
      <c r="U448" s="8"/>
    </row>
    <row r="449" spans="1:21" ht="12.75">
      <c r="A449" s="10"/>
      <c r="B449" s="344"/>
      <c r="C449" s="348"/>
      <c r="D449" s="352"/>
      <c r="E449" s="12"/>
      <c r="F449" s="376"/>
      <c r="G449" s="340"/>
      <c r="H449" s="340"/>
      <c r="I449" s="340"/>
      <c r="J449" s="340"/>
      <c r="K449" s="12"/>
      <c r="L449" s="12"/>
      <c r="M449" s="12"/>
      <c r="N449" s="12"/>
      <c r="O449" s="12"/>
      <c r="P449" s="15"/>
      <c r="Q449" s="7"/>
      <c r="R449" s="7"/>
      <c r="S449" s="7"/>
      <c r="T449" s="8"/>
      <c r="U449" s="8"/>
    </row>
    <row r="450" spans="1:21" ht="12.75">
      <c r="A450" s="10"/>
      <c r="B450" s="344"/>
      <c r="C450" s="348"/>
      <c r="D450" s="352"/>
      <c r="E450" s="12"/>
      <c r="F450" s="376"/>
      <c r="G450" s="340"/>
      <c r="H450" s="340"/>
      <c r="I450" s="340"/>
      <c r="J450" s="340"/>
      <c r="K450" s="12"/>
      <c r="L450" s="12"/>
      <c r="M450" s="12"/>
      <c r="N450" s="12"/>
      <c r="O450" s="12"/>
      <c r="P450" s="15"/>
      <c r="Q450" s="7"/>
      <c r="R450" s="7"/>
      <c r="S450" s="7"/>
      <c r="T450" s="8"/>
      <c r="U450" s="8"/>
    </row>
    <row r="451" spans="1:21" ht="12.75">
      <c r="A451" s="10"/>
      <c r="B451" s="344"/>
      <c r="C451" s="348"/>
      <c r="D451" s="352"/>
      <c r="E451" s="12"/>
      <c r="F451" s="376"/>
      <c r="G451" s="340"/>
      <c r="H451" s="340"/>
      <c r="I451" s="340"/>
      <c r="J451" s="340"/>
      <c r="K451" s="12"/>
      <c r="L451" s="12"/>
      <c r="M451" s="12"/>
      <c r="N451" s="12"/>
      <c r="O451" s="12"/>
      <c r="P451" s="15"/>
      <c r="Q451" s="7"/>
      <c r="R451" s="7"/>
      <c r="S451" s="7"/>
      <c r="T451" s="8"/>
      <c r="U451" s="8"/>
    </row>
    <row r="452" spans="1:21" ht="12.75">
      <c r="A452" s="10"/>
      <c r="B452" s="344"/>
      <c r="C452" s="348"/>
      <c r="D452" s="352"/>
      <c r="E452" s="12"/>
      <c r="F452" s="376"/>
      <c r="G452" s="340"/>
      <c r="H452" s="340"/>
      <c r="I452" s="340"/>
      <c r="J452" s="340"/>
      <c r="K452" s="12"/>
      <c r="L452" s="12"/>
      <c r="M452" s="12"/>
      <c r="N452" s="12"/>
      <c r="O452" s="12"/>
      <c r="P452" s="15"/>
      <c r="Q452" s="7"/>
      <c r="R452" s="7"/>
      <c r="S452" s="7"/>
      <c r="T452" s="8"/>
      <c r="U452" s="8"/>
    </row>
    <row r="453" spans="1:21" ht="12.75">
      <c r="A453" s="10"/>
      <c r="B453" s="344"/>
      <c r="C453" s="348"/>
      <c r="D453" s="352"/>
      <c r="E453" s="12"/>
      <c r="F453" s="376"/>
      <c r="G453" s="340"/>
      <c r="H453" s="340"/>
      <c r="I453" s="340"/>
      <c r="J453" s="340"/>
      <c r="K453" s="12"/>
      <c r="L453" s="12"/>
      <c r="M453" s="12"/>
      <c r="N453" s="12"/>
      <c r="O453" s="12"/>
      <c r="P453" s="15"/>
      <c r="Q453" s="7"/>
      <c r="R453" s="7"/>
      <c r="S453" s="7"/>
      <c r="T453" s="8"/>
      <c r="U453" s="8"/>
    </row>
    <row r="454" spans="1:21" ht="12.75">
      <c r="A454" s="10"/>
      <c r="B454" s="344"/>
      <c r="C454" s="348"/>
      <c r="D454" s="352"/>
      <c r="E454" s="12"/>
      <c r="F454" s="376"/>
      <c r="G454" s="340"/>
      <c r="H454" s="340"/>
      <c r="I454" s="340"/>
      <c r="J454" s="340"/>
      <c r="K454" s="12"/>
      <c r="L454" s="12"/>
      <c r="M454" s="12"/>
      <c r="N454" s="12"/>
      <c r="O454" s="12"/>
      <c r="P454" s="15"/>
      <c r="Q454" s="7"/>
      <c r="R454" s="7"/>
      <c r="S454" s="7"/>
      <c r="T454" s="8"/>
      <c r="U454" s="8"/>
    </row>
    <row r="455" spans="1:21" ht="12.75">
      <c r="A455" s="10"/>
      <c r="B455" s="344"/>
      <c r="C455" s="348"/>
      <c r="D455" s="352"/>
      <c r="E455" s="12"/>
      <c r="F455" s="376"/>
      <c r="G455" s="340"/>
      <c r="H455" s="340"/>
      <c r="I455" s="340"/>
      <c r="J455" s="340"/>
      <c r="K455" s="12"/>
      <c r="L455" s="12"/>
      <c r="M455" s="12"/>
      <c r="N455" s="12"/>
      <c r="O455" s="12"/>
      <c r="P455" s="15"/>
      <c r="Q455" s="7"/>
      <c r="R455" s="7"/>
      <c r="S455" s="7"/>
      <c r="T455" s="8"/>
      <c r="U455" s="8"/>
    </row>
    <row r="456" spans="1:21" ht="12.75">
      <c r="A456" s="10"/>
      <c r="B456" s="344"/>
      <c r="C456" s="348"/>
      <c r="D456" s="352"/>
      <c r="E456" s="12"/>
      <c r="F456" s="376"/>
      <c r="G456" s="340"/>
      <c r="H456" s="340"/>
      <c r="I456" s="340"/>
      <c r="J456" s="340"/>
      <c r="K456" s="12"/>
      <c r="L456" s="12"/>
      <c r="M456" s="12"/>
      <c r="N456" s="12"/>
      <c r="O456" s="12"/>
      <c r="P456" s="15"/>
      <c r="Q456" s="7"/>
      <c r="R456" s="7"/>
      <c r="S456" s="7"/>
      <c r="T456" s="8"/>
      <c r="U456" s="8"/>
    </row>
    <row r="457" spans="1:21" ht="12.75">
      <c r="A457" s="10"/>
      <c r="B457" s="344"/>
      <c r="C457" s="348"/>
      <c r="D457" s="352"/>
      <c r="E457" s="12"/>
      <c r="F457" s="376"/>
      <c r="G457" s="340"/>
      <c r="H457" s="340"/>
      <c r="I457" s="340"/>
      <c r="J457" s="340"/>
      <c r="K457" s="12"/>
      <c r="L457" s="12"/>
      <c r="M457" s="12"/>
      <c r="N457" s="12"/>
      <c r="O457" s="12"/>
      <c r="P457" s="15"/>
      <c r="Q457" s="7"/>
      <c r="R457" s="7"/>
      <c r="S457" s="7"/>
      <c r="T457" s="8"/>
      <c r="U457" s="8"/>
    </row>
    <row r="458" spans="1:21" ht="12.75">
      <c r="A458" s="10"/>
      <c r="B458" s="344"/>
      <c r="C458" s="348"/>
      <c r="D458" s="352"/>
      <c r="E458" s="12"/>
      <c r="F458" s="376"/>
      <c r="G458" s="340"/>
      <c r="H458" s="340"/>
      <c r="I458" s="340"/>
      <c r="J458" s="340"/>
      <c r="K458" s="12"/>
      <c r="L458" s="12"/>
      <c r="M458" s="12"/>
      <c r="N458" s="12"/>
      <c r="O458" s="12"/>
      <c r="P458" s="15"/>
      <c r="Q458" s="7"/>
      <c r="R458" s="7"/>
      <c r="S458" s="7"/>
      <c r="T458" s="8"/>
      <c r="U458" s="8"/>
    </row>
    <row r="459" spans="1:21" ht="12.75">
      <c r="A459" s="10"/>
      <c r="B459" s="344"/>
      <c r="C459" s="348"/>
      <c r="D459" s="352"/>
      <c r="E459" s="12"/>
      <c r="F459" s="376"/>
      <c r="G459" s="340"/>
      <c r="H459" s="340"/>
      <c r="I459" s="340"/>
      <c r="J459" s="340"/>
      <c r="K459" s="12"/>
      <c r="L459" s="12"/>
      <c r="M459" s="12"/>
      <c r="N459" s="12"/>
      <c r="O459" s="12"/>
      <c r="P459" s="15"/>
      <c r="Q459" s="7"/>
      <c r="R459" s="7"/>
      <c r="S459" s="7"/>
      <c r="T459" s="8"/>
      <c r="U459" s="8"/>
    </row>
    <row r="460" spans="1:21" ht="12.75">
      <c r="A460" s="10"/>
      <c r="B460" s="344"/>
      <c r="C460" s="348"/>
      <c r="D460" s="352"/>
      <c r="E460" s="12"/>
      <c r="F460" s="376"/>
      <c r="G460" s="340"/>
      <c r="H460" s="340"/>
      <c r="I460" s="340"/>
      <c r="J460" s="340"/>
      <c r="K460" s="12"/>
      <c r="L460" s="12"/>
      <c r="M460" s="12"/>
      <c r="N460" s="12"/>
      <c r="O460" s="12"/>
      <c r="P460" s="15"/>
      <c r="Q460" s="7"/>
      <c r="R460" s="7"/>
      <c r="S460" s="7"/>
      <c r="T460" s="8"/>
      <c r="U460" s="8"/>
    </row>
    <row r="461" spans="1:21" ht="12.75">
      <c r="A461" s="10"/>
      <c r="B461" s="344"/>
      <c r="C461" s="348"/>
      <c r="D461" s="352"/>
      <c r="E461" s="12"/>
      <c r="F461" s="376"/>
      <c r="G461" s="340"/>
      <c r="H461" s="340"/>
      <c r="I461" s="340"/>
      <c r="J461" s="340"/>
      <c r="K461" s="12"/>
      <c r="L461" s="12"/>
      <c r="M461" s="12"/>
      <c r="N461" s="12"/>
      <c r="O461" s="12"/>
      <c r="P461" s="15"/>
      <c r="Q461" s="7"/>
      <c r="R461" s="7"/>
      <c r="S461" s="7"/>
      <c r="T461" s="8"/>
      <c r="U461" s="8"/>
    </row>
    <row r="462" spans="1:21" ht="12.75">
      <c r="A462" s="10"/>
      <c r="B462" s="344"/>
      <c r="C462" s="348"/>
      <c r="D462" s="352"/>
      <c r="E462" s="12"/>
      <c r="F462" s="376"/>
      <c r="G462" s="340"/>
      <c r="H462" s="340"/>
      <c r="I462" s="340"/>
      <c r="J462" s="340"/>
      <c r="K462" s="12"/>
      <c r="L462" s="12"/>
      <c r="M462" s="12"/>
      <c r="N462" s="12"/>
      <c r="O462" s="12"/>
      <c r="P462" s="15"/>
      <c r="Q462" s="7"/>
      <c r="R462" s="7"/>
      <c r="S462" s="7"/>
      <c r="T462" s="8"/>
      <c r="U462" s="8"/>
    </row>
    <row r="463" spans="1:21" ht="12.75">
      <c r="A463" s="10"/>
      <c r="B463" s="344"/>
      <c r="C463" s="348"/>
      <c r="D463" s="352"/>
      <c r="E463" s="12"/>
      <c r="F463" s="376"/>
      <c r="G463" s="340"/>
      <c r="H463" s="340"/>
      <c r="I463" s="340"/>
      <c r="J463" s="340"/>
      <c r="K463" s="12"/>
      <c r="L463" s="12"/>
      <c r="M463" s="12"/>
      <c r="N463" s="12"/>
      <c r="O463" s="12"/>
      <c r="P463" s="15"/>
      <c r="Q463" s="7"/>
      <c r="R463" s="7"/>
      <c r="S463" s="7"/>
      <c r="T463" s="8"/>
      <c r="U463" s="8"/>
    </row>
    <row r="464" spans="1:21" ht="12.75">
      <c r="A464" s="10"/>
      <c r="B464" s="344"/>
      <c r="C464" s="348"/>
      <c r="D464" s="352"/>
      <c r="E464" s="12"/>
      <c r="F464" s="376"/>
      <c r="G464" s="340"/>
      <c r="H464" s="340"/>
      <c r="I464" s="340"/>
      <c r="J464" s="340"/>
      <c r="K464" s="12"/>
      <c r="L464" s="12"/>
      <c r="M464" s="12"/>
      <c r="N464" s="12"/>
      <c r="O464" s="12"/>
      <c r="P464" s="15"/>
      <c r="Q464" s="7"/>
      <c r="R464" s="7"/>
      <c r="S464" s="7"/>
      <c r="T464" s="8"/>
      <c r="U464" s="8"/>
    </row>
    <row r="465" spans="1:21" ht="12.75">
      <c r="A465" s="10"/>
      <c r="B465" s="344"/>
      <c r="C465" s="348"/>
      <c r="D465" s="352"/>
      <c r="E465" s="12"/>
      <c r="F465" s="376"/>
      <c r="G465" s="340"/>
      <c r="H465" s="340"/>
      <c r="I465" s="340"/>
      <c r="J465" s="340"/>
      <c r="K465" s="12"/>
      <c r="L465" s="12"/>
      <c r="M465" s="12"/>
      <c r="N465" s="12"/>
      <c r="O465" s="12"/>
      <c r="P465" s="15"/>
      <c r="Q465" s="7"/>
      <c r="R465" s="7"/>
      <c r="S465" s="7"/>
      <c r="T465" s="8"/>
      <c r="U465" s="8"/>
    </row>
    <row r="466" spans="1:21" ht="12.75">
      <c r="A466" s="10"/>
      <c r="B466" s="344"/>
      <c r="C466" s="348"/>
      <c r="D466" s="352"/>
      <c r="E466" s="12"/>
      <c r="F466" s="376"/>
      <c r="G466" s="340"/>
      <c r="H466" s="340"/>
      <c r="I466" s="340"/>
      <c r="J466" s="340"/>
      <c r="K466" s="12"/>
      <c r="L466" s="12"/>
      <c r="M466" s="12"/>
      <c r="N466" s="12"/>
      <c r="O466" s="12"/>
      <c r="P466" s="15"/>
      <c r="Q466" s="7"/>
      <c r="R466" s="7"/>
      <c r="S466" s="7"/>
      <c r="T466" s="8"/>
      <c r="U466" s="8"/>
    </row>
    <row r="467" spans="1:21" ht="12.75">
      <c r="A467" s="10"/>
      <c r="B467" s="344"/>
      <c r="C467" s="348"/>
      <c r="D467" s="352"/>
      <c r="E467" s="12"/>
      <c r="F467" s="376"/>
      <c r="G467" s="340"/>
      <c r="H467" s="340"/>
      <c r="I467" s="340"/>
      <c r="J467" s="340"/>
      <c r="K467" s="12"/>
      <c r="L467" s="12"/>
      <c r="M467" s="12"/>
      <c r="N467" s="12"/>
      <c r="O467" s="12"/>
      <c r="P467" s="15"/>
      <c r="Q467" s="7"/>
      <c r="R467" s="7"/>
      <c r="S467" s="7"/>
      <c r="T467" s="8"/>
      <c r="U467" s="8"/>
    </row>
    <row r="468" spans="1:21" ht="12.75">
      <c r="A468" s="10"/>
      <c r="B468" s="344"/>
      <c r="C468" s="348"/>
      <c r="D468" s="352"/>
      <c r="E468" s="12"/>
      <c r="F468" s="376"/>
      <c r="G468" s="340"/>
      <c r="H468" s="340"/>
      <c r="I468" s="340"/>
      <c r="J468" s="340"/>
      <c r="K468" s="12"/>
      <c r="L468" s="12"/>
      <c r="M468" s="12"/>
      <c r="N468" s="12"/>
      <c r="O468" s="12"/>
      <c r="P468" s="15"/>
      <c r="Q468" s="7"/>
      <c r="R468" s="7"/>
      <c r="S468" s="7"/>
      <c r="T468" s="8"/>
      <c r="U468" s="8"/>
    </row>
    <row r="469" spans="1:21" ht="12.75">
      <c r="A469" s="10"/>
      <c r="B469" s="344"/>
      <c r="C469" s="348"/>
      <c r="D469" s="352"/>
      <c r="E469" s="12"/>
      <c r="F469" s="376"/>
      <c r="G469" s="340"/>
      <c r="H469" s="340"/>
      <c r="I469" s="340"/>
      <c r="J469" s="340"/>
      <c r="K469" s="12"/>
      <c r="L469" s="12"/>
      <c r="M469" s="12"/>
      <c r="N469" s="12"/>
      <c r="O469" s="12"/>
      <c r="P469" s="15"/>
      <c r="Q469" s="7"/>
      <c r="R469" s="7"/>
      <c r="S469" s="7"/>
      <c r="T469" s="8"/>
      <c r="U469" s="8"/>
    </row>
    <row r="470" spans="1:21" ht="12.75">
      <c r="A470" s="10"/>
      <c r="B470" s="344"/>
      <c r="C470" s="348"/>
      <c r="D470" s="352"/>
      <c r="E470" s="12"/>
      <c r="F470" s="376"/>
      <c r="G470" s="340"/>
      <c r="H470" s="340"/>
      <c r="I470" s="340"/>
      <c r="J470" s="340"/>
      <c r="K470" s="12"/>
      <c r="L470" s="12"/>
      <c r="M470" s="12"/>
      <c r="N470" s="12"/>
      <c r="O470" s="12"/>
      <c r="P470" s="15"/>
      <c r="Q470" s="7"/>
      <c r="R470" s="7"/>
      <c r="S470" s="7"/>
      <c r="T470" s="8"/>
      <c r="U470" s="8"/>
    </row>
    <row r="471" spans="1:21" ht="12.75">
      <c r="A471" s="10"/>
      <c r="B471" s="344"/>
      <c r="C471" s="348"/>
      <c r="D471" s="352"/>
      <c r="E471" s="12"/>
      <c r="F471" s="376"/>
      <c r="G471" s="340"/>
      <c r="H471" s="340"/>
      <c r="I471" s="340"/>
      <c r="J471" s="340"/>
      <c r="K471" s="12"/>
      <c r="L471" s="12"/>
      <c r="M471" s="12"/>
      <c r="N471" s="12"/>
      <c r="O471" s="12"/>
      <c r="P471" s="15"/>
      <c r="Q471" s="7"/>
      <c r="R471" s="7"/>
      <c r="S471" s="7"/>
      <c r="T471" s="8"/>
      <c r="U471" s="8"/>
    </row>
    <row r="472" spans="1:21" ht="12.75">
      <c r="A472" s="10"/>
      <c r="B472" s="344"/>
      <c r="C472" s="348"/>
      <c r="D472" s="352"/>
      <c r="E472" s="12"/>
      <c r="F472" s="376"/>
      <c r="G472" s="340"/>
      <c r="H472" s="340"/>
      <c r="I472" s="340"/>
      <c r="J472" s="340"/>
      <c r="K472" s="12"/>
      <c r="L472" s="12"/>
      <c r="M472" s="12"/>
      <c r="N472" s="12"/>
      <c r="O472" s="12"/>
      <c r="P472" s="15"/>
      <c r="Q472" s="7"/>
      <c r="R472" s="7"/>
      <c r="S472" s="7"/>
      <c r="T472" s="8"/>
      <c r="U472" s="8"/>
    </row>
    <row r="473" spans="1:21" ht="12.75">
      <c r="A473" s="10"/>
      <c r="B473" s="344"/>
      <c r="C473" s="348"/>
      <c r="D473" s="352"/>
      <c r="E473" s="12"/>
      <c r="F473" s="376"/>
      <c r="G473" s="340"/>
      <c r="H473" s="340"/>
      <c r="I473" s="340"/>
      <c r="J473" s="340"/>
      <c r="K473" s="12"/>
      <c r="L473" s="12"/>
      <c r="M473" s="12"/>
      <c r="N473" s="12"/>
      <c r="O473" s="12"/>
      <c r="P473" s="15"/>
      <c r="Q473" s="7"/>
      <c r="R473" s="7"/>
      <c r="S473" s="7"/>
      <c r="T473" s="8"/>
      <c r="U473" s="8"/>
    </row>
    <row r="474" spans="1:21" ht="12.75">
      <c r="A474" s="10"/>
      <c r="B474" s="344"/>
      <c r="C474" s="348"/>
      <c r="D474" s="352"/>
      <c r="E474" s="12"/>
      <c r="F474" s="376"/>
      <c r="G474" s="340"/>
      <c r="H474" s="340"/>
      <c r="I474" s="340"/>
      <c r="J474" s="340"/>
      <c r="K474" s="12"/>
      <c r="L474" s="12"/>
      <c r="M474" s="12"/>
      <c r="N474" s="12"/>
      <c r="O474" s="12"/>
      <c r="P474" s="15"/>
      <c r="Q474" s="7"/>
      <c r="R474" s="7"/>
      <c r="S474" s="7"/>
      <c r="T474" s="8"/>
      <c r="U474" s="8"/>
    </row>
    <row r="475" spans="1:21" ht="12.75">
      <c r="A475" s="10"/>
      <c r="B475" s="344"/>
      <c r="C475" s="348"/>
      <c r="D475" s="352"/>
      <c r="E475" s="12"/>
      <c r="F475" s="376"/>
      <c r="G475" s="340"/>
      <c r="H475" s="340"/>
      <c r="I475" s="340"/>
      <c r="J475" s="340"/>
      <c r="K475" s="12"/>
      <c r="L475" s="12"/>
      <c r="M475" s="12"/>
      <c r="N475" s="12"/>
      <c r="O475" s="12"/>
      <c r="P475" s="15"/>
      <c r="Q475" s="7"/>
      <c r="R475" s="7"/>
      <c r="S475" s="7"/>
      <c r="T475" s="8"/>
      <c r="U475" s="8"/>
    </row>
    <row r="476" spans="1:21" ht="12.75">
      <c r="A476" s="10"/>
      <c r="B476" s="344"/>
      <c r="C476" s="348"/>
      <c r="D476" s="352"/>
      <c r="E476" s="12"/>
      <c r="F476" s="376"/>
      <c r="G476" s="340"/>
      <c r="H476" s="340"/>
      <c r="I476" s="340"/>
      <c r="J476" s="340"/>
      <c r="K476" s="12"/>
      <c r="L476" s="12"/>
      <c r="M476" s="12"/>
      <c r="N476" s="12"/>
      <c r="O476" s="12"/>
      <c r="P476" s="15"/>
      <c r="Q476" s="7"/>
      <c r="R476" s="7"/>
      <c r="S476" s="7"/>
      <c r="T476" s="8"/>
      <c r="U476" s="8"/>
    </row>
    <row r="477" spans="1:21" ht="12.75">
      <c r="A477" s="10"/>
      <c r="B477" s="344"/>
      <c r="C477" s="348"/>
      <c r="D477" s="352"/>
      <c r="E477" s="12"/>
      <c r="F477" s="376"/>
      <c r="G477" s="340"/>
      <c r="H477" s="340"/>
      <c r="I477" s="340"/>
      <c r="J477" s="340"/>
      <c r="K477" s="12"/>
      <c r="L477" s="12"/>
      <c r="M477" s="12"/>
      <c r="N477" s="12"/>
      <c r="O477" s="12"/>
      <c r="P477" s="15"/>
      <c r="Q477" s="7"/>
      <c r="R477" s="7"/>
      <c r="S477" s="7"/>
      <c r="T477" s="8"/>
      <c r="U477" s="8"/>
    </row>
    <row r="478" spans="1:21" ht="12.75">
      <c r="A478" s="10"/>
      <c r="B478" s="344"/>
      <c r="C478" s="348"/>
      <c r="D478" s="352"/>
      <c r="E478" s="12"/>
      <c r="F478" s="376"/>
      <c r="G478" s="340"/>
      <c r="H478" s="340"/>
      <c r="I478" s="340"/>
      <c r="J478" s="340"/>
      <c r="K478" s="12"/>
      <c r="L478" s="12"/>
      <c r="M478" s="12"/>
      <c r="N478" s="12"/>
      <c r="O478" s="12"/>
      <c r="P478" s="15"/>
      <c r="Q478" s="7"/>
      <c r="R478" s="7"/>
      <c r="S478" s="7"/>
      <c r="T478" s="8"/>
      <c r="U478" s="8"/>
    </row>
    <row r="479" spans="1:21" ht="12.75">
      <c r="A479" s="10"/>
      <c r="B479" s="344"/>
      <c r="C479" s="348"/>
      <c r="D479" s="352"/>
      <c r="E479" s="12"/>
      <c r="F479" s="376"/>
      <c r="G479" s="340"/>
      <c r="H479" s="340"/>
      <c r="I479" s="340"/>
      <c r="J479" s="340"/>
      <c r="K479" s="12"/>
      <c r="L479" s="12"/>
      <c r="M479" s="12"/>
      <c r="N479" s="12"/>
      <c r="O479" s="12"/>
      <c r="P479" s="15"/>
      <c r="Q479" s="7"/>
      <c r="R479" s="7"/>
      <c r="S479" s="7"/>
      <c r="T479" s="8"/>
      <c r="U479" s="8"/>
    </row>
    <row r="480" spans="1:21" ht="12.75">
      <c r="A480" s="10"/>
      <c r="B480" s="344"/>
      <c r="C480" s="348"/>
      <c r="D480" s="352"/>
      <c r="E480" s="12"/>
      <c r="F480" s="376"/>
      <c r="G480" s="340"/>
      <c r="H480" s="340"/>
      <c r="I480" s="340"/>
      <c r="J480" s="340"/>
      <c r="K480" s="12"/>
      <c r="L480" s="12"/>
      <c r="M480" s="12"/>
      <c r="N480" s="12"/>
      <c r="O480" s="12"/>
      <c r="P480" s="15"/>
      <c r="Q480" s="7"/>
      <c r="R480" s="7"/>
      <c r="S480" s="7"/>
      <c r="T480" s="8"/>
      <c r="U480" s="8"/>
    </row>
    <row r="481" spans="1:21" ht="12.75">
      <c r="A481" s="10"/>
      <c r="B481" s="344"/>
      <c r="C481" s="348"/>
      <c r="D481" s="352"/>
      <c r="E481" s="12"/>
      <c r="F481" s="376"/>
      <c r="G481" s="340"/>
      <c r="H481" s="340"/>
      <c r="I481" s="340"/>
      <c r="J481" s="340"/>
      <c r="K481" s="12"/>
      <c r="L481" s="12"/>
      <c r="M481" s="12"/>
      <c r="N481" s="12"/>
      <c r="O481" s="12"/>
      <c r="P481" s="15"/>
      <c r="Q481" s="7"/>
      <c r="R481" s="7"/>
      <c r="S481" s="7"/>
      <c r="T481" s="8"/>
      <c r="U481" s="8"/>
    </row>
    <row r="482" spans="1:21" ht="12.75">
      <c r="A482" s="10"/>
      <c r="B482" s="344"/>
      <c r="C482" s="348"/>
      <c r="D482" s="352"/>
      <c r="E482" s="12"/>
      <c r="F482" s="376"/>
      <c r="G482" s="340"/>
      <c r="H482" s="340"/>
      <c r="I482" s="340"/>
      <c r="J482" s="340"/>
      <c r="K482" s="12"/>
      <c r="L482" s="12"/>
      <c r="M482" s="12"/>
      <c r="N482" s="12"/>
      <c r="O482" s="12"/>
      <c r="P482" s="15"/>
      <c r="Q482" s="7"/>
      <c r="R482" s="7"/>
      <c r="S482" s="7"/>
      <c r="T482" s="8"/>
      <c r="U482" s="8"/>
    </row>
    <row r="483" spans="1:21" ht="12.75">
      <c r="A483" s="10"/>
      <c r="B483" s="344"/>
      <c r="C483" s="348"/>
      <c r="D483" s="352"/>
      <c r="E483" s="12"/>
      <c r="F483" s="376"/>
      <c r="G483" s="340"/>
      <c r="H483" s="340"/>
      <c r="I483" s="340"/>
      <c r="J483" s="340"/>
      <c r="K483" s="12"/>
      <c r="L483" s="12"/>
      <c r="M483" s="12"/>
      <c r="N483" s="12"/>
      <c r="O483" s="12"/>
      <c r="P483" s="15"/>
      <c r="Q483" s="7"/>
      <c r="R483" s="7"/>
      <c r="S483" s="7"/>
      <c r="T483" s="8"/>
      <c r="U483" s="8"/>
    </row>
    <row r="484" spans="1:21" ht="12.75">
      <c r="A484" s="10"/>
      <c r="B484" s="344"/>
      <c r="C484" s="348"/>
      <c r="D484" s="352"/>
      <c r="E484" s="12"/>
      <c r="F484" s="376"/>
      <c r="G484" s="340"/>
      <c r="H484" s="340"/>
      <c r="I484" s="340"/>
      <c r="J484" s="340"/>
      <c r="K484" s="12"/>
      <c r="L484" s="12"/>
      <c r="M484" s="12"/>
      <c r="N484" s="12"/>
      <c r="O484" s="12"/>
      <c r="P484" s="15"/>
      <c r="Q484" s="7"/>
      <c r="R484" s="7"/>
      <c r="S484" s="7"/>
      <c r="T484" s="8"/>
      <c r="U484" s="8"/>
    </row>
    <row r="485" spans="1:21" ht="12.75">
      <c r="A485" s="10"/>
      <c r="B485" s="344"/>
      <c r="C485" s="348"/>
      <c r="D485" s="352"/>
      <c r="E485" s="12"/>
      <c r="F485" s="376"/>
      <c r="G485" s="340"/>
      <c r="H485" s="340"/>
      <c r="I485" s="340"/>
      <c r="J485" s="340"/>
      <c r="K485" s="12"/>
      <c r="L485" s="12"/>
      <c r="M485" s="12"/>
      <c r="N485" s="12"/>
      <c r="O485" s="12"/>
      <c r="P485" s="15"/>
      <c r="Q485" s="7"/>
      <c r="R485" s="7"/>
      <c r="S485" s="7"/>
      <c r="T485" s="8"/>
      <c r="U485" s="8"/>
    </row>
    <row r="486" spans="1:21" ht="12.75">
      <c r="A486" s="10"/>
      <c r="B486" s="344"/>
      <c r="C486" s="348"/>
      <c r="D486" s="352"/>
      <c r="E486" s="12"/>
      <c r="F486" s="376"/>
      <c r="G486" s="340"/>
      <c r="H486" s="340"/>
      <c r="I486" s="340"/>
      <c r="J486" s="340"/>
      <c r="K486" s="12"/>
      <c r="L486" s="12"/>
      <c r="M486" s="12"/>
      <c r="N486" s="12"/>
      <c r="O486" s="12"/>
      <c r="P486" s="15"/>
      <c r="Q486" s="7"/>
      <c r="R486" s="7"/>
      <c r="S486" s="7"/>
      <c r="T486" s="8"/>
      <c r="U486" s="8"/>
    </row>
    <row r="487" spans="1:21" ht="12.75">
      <c r="A487" s="10"/>
      <c r="B487" s="344"/>
      <c r="C487" s="348"/>
      <c r="D487" s="352"/>
      <c r="E487" s="12"/>
      <c r="F487" s="376"/>
      <c r="G487" s="340"/>
      <c r="H487" s="340"/>
      <c r="I487" s="340"/>
      <c r="J487" s="340"/>
      <c r="K487" s="12"/>
      <c r="L487" s="12"/>
      <c r="M487" s="12"/>
      <c r="N487" s="12"/>
      <c r="O487" s="12"/>
      <c r="P487" s="15"/>
      <c r="Q487" s="7"/>
      <c r="R487" s="7"/>
      <c r="S487" s="7"/>
      <c r="T487" s="8"/>
      <c r="U487" s="8"/>
    </row>
    <row r="488" spans="1:21" ht="12.75">
      <c r="A488" s="10"/>
      <c r="B488" s="344"/>
      <c r="C488" s="348"/>
      <c r="D488" s="352"/>
      <c r="E488" s="12"/>
      <c r="F488" s="376"/>
      <c r="G488" s="340"/>
      <c r="H488" s="340"/>
      <c r="I488" s="340"/>
      <c r="J488" s="340"/>
      <c r="K488" s="12"/>
      <c r="L488" s="12"/>
      <c r="M488" s="12"/>
      <c r="N488" s="12"/>
      <c r="O488" s="12"/>
      <c r="P488" s="15"/>
      <c r="Q488" s="7"/>
      <c r="R488" s="7"/>
      <c r="S488" s="7"/>
      <c r="T488" s="8"/>
      <c r="U488" s="8"/>
    </row>
    <row r="489" spans="1:21" ht="12.75">
      <c r="A489" s="10"/>
      <c r="B489" s="344"/>
      <c r="C489" s="348"/>
      <c r="D489" s="352"/>
      <c r="E489" s="12"/>
      <c r="F489" s="376"/>
      <c r="G489" s="340"/>
      <c r="H489" s="340"/>
      <c r="I489" s="340"/>
      <c r="J489" s="340"/>
      <c r="K489" s="12"/>
      <c r="L489" s="12"/>
      <c r="M489" s="12"/>
      <c r="N489" s="12"/>
      <c r="O489" s="12"/>
      <c r="P489" s="15"/>
      <c r="Q489" s="7"/>
      <c r="R489" s="7"/>
      <c r="S489" s="7"/>
      <c r="T489" s="8"/>
      <c r="U489" s="8"/>
    </row>
    <row r="490" spans="1:21" ht="12.75">
      <c r="A490" s="10"/>
      <c r="B490" s="344"/>
      <c r="C490" s="348"/>
      <c r="D490" s="352"/>
      <c r="E490" s="12"/>
      <c r="F490" s="376"/>
      <c r="G490" s="340"/>
      <c r="H490" s="340"/>
      <c r="I490" s="340"/>
      <c r="J490" s="340"/>
      <c r="K490" s="12"/>
      <c r="L490" s="12"/>
      <c r="M490" s="12"/>
      <c r="N490" s="12"/>
      <c r="O490" s="12"/>
      <c r="P490" s="15"/>
      <c r="Q490" s="7"/>
      <c r="R490" s="7"/>
      <c r="S490" s="7"/>
      <c r="T490" s="8"/>
      <c r="U490" s="8"/>
    </row>
    <row r="491" spans="1:21" ht="12.75">
      <c r="A491" s="10"/>
      <c r="B491" s="344"/>
      <c r="C491" s="348"/>
      <c r="D491" s="352"/>
      <c r="E491" s="12"/>
      <c r="F491" s="376"/>
      <c r="G491" s="340"/>
      <c r="H491" s="340"/>
      <c r="I491" s="340"/>
      <c r="J491" s="340"/>
      <c r="K491" s="12"/>
      <c r="L491" s="12"/>
      <c r="M491" s="12"/>
      <c r="N491" s="12"/>
      <c r="O491" s="12"/>
      <c r="P491" s="15"/>
      <c r="Q491" s="7"/>
      <c r="R491" s="7"/>
      <c r="S491" s="7"/>
      <c r="T491" s="8"/>
      <c r="U491" s="8"/>
    </row>
    <row r="492" spans="1:21" ht="12.75">
      <c r="A492" s="10"/>
      <c r="B492" s="344"/>
      <c r="C492" s="348"/>
      <c r="D492" s="352"/>
      <c r="E492" s="12"/>
      <c r="F492" s="376"/>
      <c r="G492" s="340"/>
      <c r="H492" s="340"/>
      <c r="I492" s="340"/>
      <c r="J492" s="340"/>
      <c r="K492" s="12"/>
      <c r="L492" s="12"/>
      <c r="M492" s="12"/>
      <c r="N492" s="12"/>
      <c r="O492" s="12"/>
      <c r="P492" s="15"/>
      <c r="Q492" s="7"/>
      <c r="R492" s="7"/>
      <c r="S492" s="7"/>
      <c r="T492" s="8"/>
      <c r="U492" s="8"/>
    </row>
    <row r="493" spans="1:21" ht="12.75">
      <c r="A493" s="10"/>
      <c r="B493" s="344"/>
      <c r="C493" s="348"/>
      <c r="D493" s="352"/>
      <c r="E493" s="12"/>
      <c r="F493" s="376"/>
      <c r="G493" s="340"/>
      <c r="H493" s="340"/>
      <c r="I493" s="340"/>
      <c r="J493" s="340"/>
      <c r="K493" s="12"/>
      <c r="L493" s="12"/>
      <c r="M493" s="12"/>
      <c r="N493" s="12"/>
      <c r="O493" s="12"/>
      <c r="P493" s="15"/>
      <c r="Q493" s="7"/>
      <c r="R493" s="7"/>
      <c r="S493" s="7"/>
      <c r="T493" s="8"/>
      <c r="U493" s="8"/>
    </row>
    <row r="494" spans="1:21" ht="12.75">
      <c r="A494" s="10"/>
      <c r="B494" s="344"/>
      <c r="C494" s="348"/>
      <c r="D494" s="352"/>
      <c r="E494" s="12"/>
      <c r="F494" s="376"/>
      <c r="G494" s="340"/>
      <c r="H494" s="340"/>
      <c r="I494" s="340"/>
      <c r="J494" s="340"/>
      <c r="K494" s="12"/>
      <c r="L494" s="12"/>
      <c r="M494" s="12"/>
      <c r="N494" s="12"/>
      <c r="O494" s="12"/>
      <c r="P494" s="15"/>
      <c r="Q494" s="7"/>
      <c r="R494" s="7"/>
      <c r="S494" s="7"/>
      <c r="T494" s="8"/>
      <c r="U494" s="8"/>
    </row>
    <row r="495" spans="1:21" ht="12.75">
      <c r="A495" s="10"/>
      <c r="B495" s="344"/>
      <c r="C495" s="348"/>
      <c r="D495" s="352"/>
      <c r="E495" s="12"/>
      <c r="F495" s="376"/>
      <c r="G495" s="340"/>
      <c r="H495" s="340"/>
      <c r="I495" s="340"/>
      <c r="J495" s="340"/>
      <c r="K495" s="12"/>
      <c r="L495" s="12"/>
      <c r="M495" s="12"/>
      <c r="N495" s="12"/>
      <c r="O495" s="12"/>
      <c r="P495" s="15"/>
      <c r="Q495" s="7"/>
      <c r="R495" s="7"/>
      <c r="S495" s="7"/>
      <c r="T495" s="8"/>
      <c r="U495" s="8"/>
    </row>
    <row r="496" spans="1:21" ht="12.75">
      <c r="A496" s="10"/>
      <c r="B496" s="344"/>
      <c r="C496" s="348"/>
      <c r="D496" s="352"/>
      <c r="E496" s="12"/>
      <c r="F496" s="376"/>
      <c r="G496" s="340"/>
      <c r="H496" s="340"/>
      <c r="I496" s="340"/>
      <c r="J496" s="340"/>
      <c r="K496" s="12"/>
      <c r="L496" s="12"/>
      <c r="M496" s="12"/>
      <c r="N496" s="12"/>
      <c r="O496" s="12"/>
      <c r="P496" s="15"/>
      <c r="Q496" s="7"/>
      <c r="R496" s="7"/>
      <c r="S496" s="7"/>
      <c r="T496" s="8"/>
      <c r="U496" s="8"/>
    </row>
    <row r="497" spans="1:21" ht="12.75">
      <c r="A497" s="10"/>
      <c r="B497" s="344"/>
      <c r="C497" s="348"/>
      <c r="D497" s="352"/>
      <c r="E497" s="12"/>
      <c r="F497" s="376"/>
      <c r="G497" s="340"/>
      <c r="H497" s="340"/>
      <c r="I497" s="340"/>
      <c r="J497" s="340"/>
      <c r="K497" s="12"/>
      <c r="L497" s="12"/>
      <c r="M497" s="12"/>
      <c r="N497" s="12"/>
      <c r="O497" s="12"/>
      <c r="P497" s="15"/>
      <c r="Q497" s="7"/>
      <c r="R497" s="7"/>
      <c r="S497" s="7"/>
      <c r="T497" s="8"/>
      <c r="U497" s="8"/>
    </row>
    <row r="498" spans="1:21" ht="12.75">
      <c r="A498" s="10"/>
      <c r="B498" s="344"/>
      <c r="C498" s="348"/>
      <c r="D498" s="352"/>
      <c r="E498" s="12"/>
      <c r="F498" s="376"/>
      <c r="G498" s="340"/>
      <c r="H498" s="340"/>
      <c r="I498" s="340"/>
      <c r="J498" s="340"/>
      <c r="K498" s="12"/>
      <c r="L498" s="12"/>
      <c r="M498" s="12"/>
      <c r="N498" s="12"/>
      <c r="O498" s="12"/>
      <c r="P498" s="15"/>
      <c r="Q498" s="7"/>
      <c r="R498" s="7"/>
      <c r="S498" s="7"/>
      <c r="T498" s="8"/>
      <c r="U498" s="8"/>
    </row>
    <row r="499" spans="1:21" ht="12.75">
      <c r="A499" s="10"/>
      <c r="B499" s="344"/>
      <c r="C499" s="348"/>
      <c r="D499" s="352"/>
      <c r="E499" s="12"/>
      <c r="F499" s="376"/>
      <c r="G499" s="340"/>
      <c r="H499" s="340"/>
      <c r="I499" s="340"/>
      <c r="J499" s="340"/>
      <c r="K499" s="12"/>
      <c r="L499" s="12"/>
      <c r="M499" s="12"/>
      <c r="N499" s="12"/>
      <c r="O499" s="12"/>
      <c r="P499" s="15"/>
      <c r="Q499" s="7"/>
      <c r="R499" s="7"/>
      <c r="S499" s="7"/>
      <c r="T499" s="8"/>
      <c r="U499" s="8"/>
    </row>
    <row r="500" spans="1:21" ht="12.75">
      <c r="A500" s="10"/>
      <c r="B500" s="344"/>
      <c r="C500" s="348"/>
      <c r="D500" s="352"/>
      <c r="E500" s="12"/>
      <c r="F500" s="376"/>
      <c r="G500" s="340"/>
      <c r="H500" s="340"/>
      <c r="I500" s="340"/>
      <c r="J500" s="340"/>
      <c r="K500" s="12"/>
      <c r="L500" s="12"/>
      <c r="M500" s="12"/>
      <c r="N500" s="12"/>
      <c r="O500" s="12"/>
      <c r="P500" s="15"/>
      <c r="Q500" s="7"/>
      <c r="R500" s="7"/>
      <c r="S500" s="7"/>
      <c r="T500" s="8"/>
      <c r="U500" s="8"/>
    </row>
    <row r="501" spans="1:21" ht="12.75">
      <c r="A501" s="10"/>
      <c r="B501" s="344"/>
      <c r="C501" s="348"/>
      <c r="D501" s="352"/>
      <c r="E501" s="12"/>
      <c r="F501" s="376"/>
      <c r="G501" s="340"/>
      <c r="H501" s="340"/>
      <c r="I501" s="340"/>
      <c r="J501" s="340"/>
      <c r="K501" s="12"/>
      <c r="L501" s="12"/>
      <c r="M501" s="12"/>
      <c r="N501" s="12"/>
      <c r="O501" s="12"/>
      <c r="P501" s="15"/>
      <c r="Q501" s="7"/>
      <c r="R501" s="7"/>
      <c r="S501" s="7"/>
      <c r="T501" s="8"/>
      <c r="U501" s="8"/>
    </row>
    <row r="502" spans="1:21" ht="12.75">
      <c r="A502" s="10"/>
      <c r="B502" s="344"/>
      <c r="C502" s="348"/>
      <c r="D502" s="352"/>
      <c r="E502" s="12"/>
      <c r="F502" s="376"/>
      <c r="G502" s="340"/>
      <c r="H502" s="340"/>
      <c r="I502" s="340"/>
      <c r="J502" s="340"/>
      <c r="K502" s="12"/>
      <c r="L502" s="12"/>
      <c r="M502" s="12"/>
      <c r="N502" s="12"/>
      <c r="O502" s="12"/>
      <c r="P502" s="15"/>
      <c r="Q502" s="7"/>
      <c r="R502" s="7"/>
      <c r="S502" s="7"/>
      <c r="T502" s="8"/>
      <c r="U502" s="8"/>
    </row>
    <row r="503" spans="1:21" ht="12.75">
      <c r="A503" s="10"/>
      <c r="B503" s="344"/>
      <c r="C503" s="348"/>
      <c r="D503" s="352"/>
      <c r="E503" s="12"/>
      <c r="F503" s="376"/>
      <c r="G503" s="340"/>
      <c r="H503" s="340"/>
      <c r="I503" s="340"/>
      <c r="J503" s="340"/>
      <c r="K503" s="12"/>
      <c r="L503" s="12"/>
      <c r="M503" s="12"/>
      <c r="N503" s="12"/>
      <c r="O503" s="12"/>
      <c r="P503" s="15"/>
      <c r="Q503" s="7"/>
      <c r="R503" s="7"/>
      <c r="S503" s="7"/>
      <c r="T503" s="8"/>
      <c r="U503" s="8"/>
    </row>
    <row r="504" spans="1:21" ht="12.75">
      <c r="A504" s="10"/>
      <c r="B504" s="344"/>
      <c r="C504" s="348"/>
      <c r="D504" s="352"/>
      <c r="E504" s="12"/>
      <c r="F504" s="376"/>
      <c r="G504" s="340"/>
      <c r="H504" s="340"/>
      <c r="I504" s="340"/>
      <c r="J504" s="340"/>
      <c r="K504" s="12"/>
      <c r="L504" s="12"/>
      <c r="M504" s="12"/>
      <c r="N504" s="12"/>
      <c r="O504" s="12"/>
      <c r="P504" s="15"/>
      <c r="Q504" s="7"/>
      <c r="R504" s="7"/>
      <c r="S504" s="7"/>
      <c r="T504" s="8"/>
      <c r="U504" s="8"/>
    </row>
    <row r="505" spans="1:21" ht="12.75">
      <c r="A505" s="10"/>
      <c r="B505" s="344"/>
      <c r="C505" s="348"/>
      <c r="D505" s="352"/>
      <c r="E505" s="12"/>
      <c r="F505" s="376"/>
      <c r="G505" s="340"/>
      <c r="H505" s="340"/>
      <c r="I505" s="340"/>
      <c r="J505" s="340"/>
      <c r="K505" s="12"/>
      <c r="L505" s="12"/>
      <c r="M505" s="12"/>
      <c r="N505" s="12"/>
      <c r="O505" s="12"/>
      <c r="P505" s="15"/>
      <c r="Q505" s="7"/>
      <c r="R505" s="7"/>
      <c r="S505" s="7"/>
      <c r="T505" s="8"/>
      <c r="U505" s="8"/>
    </row>
    <row r="506" spans="1:21" ht="12.75">
      <c r="A506" s="10"/>
      <c r="B506" s="344"/>
      <c r="C506" s="348"/>
      <c r="D506" s="352"/>
      <c r="E506" s="12"/>
      <c r="F506" s="376"/>
      <c r="G506" s="340"/>
      <c r="H506" s="340"/>
      <c r="I506" s="340"/>
      <c r="J506" s="340"/>
      <c r="K506" s="12"/>
      <c r="L506" s="12"/>
      <c r="M506" s="12"/>
      <c r="N506" s="12"/>
      <c r="O506" s="12"/>
      <c r="P506" s="15"/>
      <c r="Q506" s="7"/>
      <c r="R506" s="7"/>
      <c r="S506" s="7"/>
      <c r="T506" s="8"/>
      <c r="U506" s="8"/>
    </row>
    <row r="507" spans="1:21" ht="12.75">
      <c r="A507" s="10"/>
      <c r="B507" s="344"/>
      <c r="C507" s="348"/>
      <c r="D507" s="352"/>
      <c r="E507" s="12"/>
      <c r="F507" s="376"/>
      <c r="G507" s="340"/>
      <c r="H507" s="340"/>
      <c r="I507" s="340"/>
      <c r="J507" s="340"/>
      <c r="K507" s="12"/>
      <c r="L507" s="12"/>
      <c r="M507" s="12"/>
      <c r="N507" s="12"/>
      <c r="O507" s="12"/>
      <c r="P507" s="15"/>
      <c r="Q507" s="7"/>
      <c r="R507" s="7"/>
      <c r="S507" s="7"/>
      <c r="T507" s="8"/>
      <c r="U507" s="8"/>
    </row>
    <row r="508" spans="1:21" ht="12.75">
      <c r="A508" s="10"/>
      <c r="B508" s="344"/>
      <c r="C508" s="348"/>
      <c r="D508" s="352"/>
      <c r="E508" s="12"/>
      <c r="F508" s="376"/>
      <c r="G508" s="340"/>
      <c r="H508" s="340"/>
      <c r="I508" s="340"/>
      <c r="J508" s="340"/>
      <c r="K508" s="12"/>
      <c r="L508" s="12"/>
      <c r="M508" s="12"/>
      <c r="N508" s="12"/>
      <c r="O508" s="12"/>
      <c r="P508" s="15"/>
      <c r="Q508" s="7"/>
      <c r="R508" s="7"/>
      <c r="S508" s="7"/>
      <c r="T508" s="8"/>
      <c r="U508" s="8"/>
    </row>
    <row r="509" spans="1:21" ht="12.75">
      <c r="A509" s="10"/>
      <c r="B509" s="344"/>
      <c r="C509" s="348"/>
      <c r="D509" s="352"/>
      <c r="E509" s="12"/>
      <c r="F509" s="376"/>
      <c r="G509" s="340"/>
      <c r="H509" s="340"/>
      <c r="I509" s="340"/>
      <c r="J509" s="340"/>
      <c r="K509" s="12"/>
      <c r="L509" s="12"/>
      <c r="M509" s="12"/>
      <c r="N509" s="12"/>
      <c r="O509" s="12"/>
      <c r="P509" s="15"/>
      <c r="Q509" s="7"/>
      <c r="R509" s="7"/>
      <c r="S509" s="7"/>
      <c r="T509" s="8"/>
      <c r="U509" s="8"/>
    </row>
    <row r="510" spans="1:21" ht="12.75">
      <c r="A510" s="10"/>
      <c r="B510" s="344"/>
      <c r="C510" s="348"/>
      <c r="D510" s="352"/>
      <c r="E510" s="12"/>
      <c r="F510" s="376"/>
      <c r="G510" s="340"/>
      <c r="H510" s="340"/>
      <c r="I510" s="340"/>
      <c r="J510" s="340"/>
      <c r="K510" s="12"/>
      <c r="L510" s="12"/>
      <c r="M510" s="12"/>
      <c r="N510" s="12"/>
      <c r="O510" s="12"/>
      <c r="P510" s="15"/>
      <c r="Q510" s="7"/>
      <c r="R510" s="7"/>
      <c r="S510" s="7"/>
      <c r="T510" s="8"/>
      <c r="U510" s="8"/>
    </row>
    <row r="511" spans="1:21" ht="12.75">
      <c r="A511" s="10"/>
      <c r="B511" s="344"/>
      <c r="C511" s="348"/>
      <c r="D511" s="352"/>
      <c r="E511" s="12"/>
      <c r="F511" s="376"/>
      <c r="G511" s="340"/>
      <c r="H511" s="340"/>
      <c r="I511" s="340"/>
      <c r="J511" s="340"/>
      <c r="K511" s="12"/>
      <c r="L511" s="12"/>
      <c r="M511" s="12"/>
      <c r="N511" s="12"/>
      <c r="O511" s="12"/>
      <c r="P511" s="15"/>
      <c r="Q511" s="7"/>
      <c r="R511" s="7"/>
      <c r="S511" s="7"/>
      <c r="T511" s="8"/>
      <c r="U511" s="8"/>
    </row>
    <row r="512" spans="1:21" ht="12.75">
      <c r="A512" s="10"/>
      <c r="B512" s="344"/>
      <c r="C512" s="348"/>
      <c r="D512" s="352"/>
      <c r="E512" s="12"/>
      <c r="F512" s="376"/>
      <c r="G512" s="340"/>
      <c r="H512" s="340"/>
      <c r="I512" s="340"/>
      <c r="J512" s="340"/>
      <c r="K512" s="12"/>
      <c r="L512" s="12"/>
      <c r="M512" s="12"/>
      <c r="N512" s="12"/>
      <c r="O512" s="12"/>
      <c r="P512" s="15"/>
      <c r="Q512" s="7"/>
      <c r="R512" s="7"/>
      <c r="S512" s="7"/>
      <c r="T512" s="8"/>
      <c r="U512" s="8"/>
    </row>
    <row r="513" spans="1:21" ht="12.75">
      <c r="A513" s="10"/>
      <c r="B513" s="344"/>
      <c r="C513" s="348"/>
      <c r="D513" s="352"/>
      <c r="E513" s="12"/>
      <c r="F513" s="376"/>
      <c r="G513" s="340"/>
      <c r="H513" s="340"/>
      <c r="I513" s="340"/>
      <c r="J513" s="340"/>
      <c r="K513" s="12"/>
      <c r="L513" s="12"/>
      <c r="M513" s="12"/>
      <c r="N513" s="12"/>
      <c r="O513" s="12"/>
      <c r="P513" s="15"/>
      <c r="Q513" s="7"/>
      <c r="R513" s="7"/>
      <c r="S513" s="7"/>
      <c r="T513" s="8"/>
      <c r="U513" s="8"/>
    </row>
    <row r="514" spans="1:21" ht="12.75">
      <c r="A514" s="10"/>
      <c r="B514" s="344"/>
      <c r="C514" s="348"/>
      <c r="D514" s="352"/>
      <c r="E514" s="12"/>
      <c r="F514" s="376"/>
      <c r="G514" s="340"/>
      <c r="H514" s="340"/>
      <c r="I514" s="340"/>
      <c r="J514" s="340"/>
      <c r="K514" s="12"/>
      <c r="L514" s="12"/>
      <c r="M514" s="12"/>
      <c r="N514" s="12"/>
      <c r="O514" s="12"/>
      <c r="P514" s="15"/>
      <c r="Q514" s="7"/>
      <c r="R514" s="7"/>
      <c r="S514" s="7"/>
      <c r="T514" s="8"/>
      <c r="U514" s="8"/>
    </row>
    <row r="515" spans="1:21" ht="12.75">
      <c r="A515" s="10"/>
      <c r="B515" s="344"/>
      <c r="C515" s="348"/>
      <c r="D515" s="352"/>
      <c r="E515" s="12"/>
      <c r="F515" s="376"/>
      <c r="G515" s="340"/>
      <c r="H515" s="340"/>
      <c r="I515" s="340"/>
      <c r="J515" s="340"/>
      <c r="K515" s="12"/>
      <c r="L515" s="12"/>
      <c r="M515" s="12"/>
      <c r="N515" s="12"/>
      <c r="O515" s="12"/>
      <c r="P515" s="15"/>
      <c r="Q515" s="7"/>
      <c r="R515" s="7"/>
      <c r="S515" s="7"/>
      <c r="T515" s="8"/>
      <c r="U515" s="8"/>
    </row>
    <row r="516" spans="1:21" ht="12.75">
      <c r="A516" s="10"/>
      <c r="B516" s="344"/>
      <c r="C516" s="348"/>
      <c r="D516" s="352"/>
      <c r="E516" s="12"/>
      <c r="F516" s="376"/>
      <c r="G516" s="340"/>
      <c r="H516" s="340"/>
      <c r="I516" s="340"/>
      <c r="J516" s="340"/>
      <c r="K516" s="12"/>
      <c r="L516" s="12"/>
      <c r="M516" s="12"/>
      <c r="N516" s="12"/>
      <c r="O516" s="12"/>
      <c r="P516" s="15"/>
      <c r="Q516" s="7"/>
      <c r="R516" s="7"/>
      <c r="S516" s="7"/>
      <c r="T516" s="8"/>
      <c r="U516" s="8"/>
    </row>
    <row r="517" spans="1:21" ht="12.75">
      <c r="A517" s="10"/>
      <c r="B517" s="344"/>
      <c r="C517" s="348"/>
      <c r="D517" s="352"/>
      <c r="E517" s="12"/>
      <c r="F517" s="376"/>
      <c r="G517" s="340"/>
      <c r="H517" s="340"/>
      <c r="I517" s="340"/>
      <c r="J517" s="340"/>
      <c r="K517" s="12"/>
      <c r="L517" s="12"/>
      <c r="M517" s="12"/>
      <c r="N517" s="12"/>
      <c r="O517" s="12"/>
      <c r="P517" s="15"/>
      <c r="Q517" s="7"/>
      <c r="R517" s="7"/>
      <c r="S517" s="7"/>
      <c r="T517" s="8"/>
      <c r="U517" s="8"/>
    </row>
    <row r="518" spans="1:21" ht="12.75">
      <c r="A518" s="10"/>
      <c r="B518" s="344"/>
      <c r="C518" s="348"/>
      <c r="D518" s="352"/>
      <c r="E518" s="12"/>
      <c r="F518" s="376"/>
      <c r="G518" s="340"/>
      <c r="H518" s="340"/>
      <c r="I518" s="340"/>
      <c r="J518" s="340"/>
      <c r="K518" s="12"/>
      <c r="L518" s="12"/>
      <c r="M518" s="12"/>
      <c r="N518" s="12"/>
      <c r="O518" s="12"/>
      <c r="P518" s="15"/>
      <c r="Q518" s="7"/>
      <c r="R518" s="7"/>
      <c r="S518" s="7"/>
      <c r="T518" s="8"/>
      <c r="U518" s="8"/>
    </row>
    <row r="519" spans="1:21" ht="12.75">
      <c r="A519" s="10"/>
      <c r="B519" s="344"/>
      <c r="C519" s="348"/>
      <c r="D519" s="352"/>
      <c r="E519" s="12"/>
      <c r="F519" s="376"/>
      <c r="G519" s="340"/>
      <c r="H519" s="340"/>
      <c r="I519" s="340"/>
      <c r="J519" s="340"/>
      <c r="K519" s="12"/>
      <c r="L519" s="12"/>
      <c r="M519" s="12"/>
      <c r="N519" s="12"/>
      <c r="O519" s="12"/>
      <c r="P519" s="15"/>
      <c r="Q519" s="7"/>
      <c r="R519" s="7"/>
      <c r="S519" s="7"/>
      <c r="T519" s="8"/>
      <c r="U519" s="8"/>
    </row>
    <row r="520" spans="1:21" ht="12.75">
      <c r="A520" s="10"/>
      <c r="B520" s="344"/>
      <c r="C520" s="348"/>
      <c r="D520" s="352"/>
      <c r="E520" s="12"/>
      <c r="F520" s="376"/>
      <c r="G520" s="340"/>
      <c r="H520" s="340"/>
      <c r="I520" s="340"/>
      <c r="J520" s="340"/>
      <c r="K520" s="12"/>
      <c r="L520" s="12"/>
      <c r="M520" s="12"/>
      <c r="N520" s="12"/>
      <c r="O520" s="12"/>
      <c r="P520" s="15"/>
      <c r="Q520" s="7"/>
      <c r="R520" s="7"/>
      <c r="S520" s="7"/>
      <c r="T520" s="8"/>
      <c r="U520" s="8"/>
    </row>
    <row r="521" spans="1:21" ht="12.75">
      <c r="A521" s="10"/>
      <c r="B521" s="344"/>
      <c r="C521" s="348"/>
      <c r="D521" s="352"/>
      <c r="E521" s="12"/>
      <c r="F521" s="376"/>
      <c r="G521" s="340"/>
      <c r="H521" s="340"/>
      <c r="I521" s="340"/>
      <c r="J521" s="340"/>
      <c r="K521" s="12"/>
      <c r="L521" s="12"/>
      <c r="M521" s="12"/>
      <c r="N521" s="12"/>
      <c r="O521" s="12"/>
      <c r="P521" s="15"/>
      <c r="Q521" s="7"/>
      <c r="R521" s="7"/>
      <c r="S521" s="7"/>
      <c r="T521" s="8"/>
      <c r="U521" s="8"/>
    </row>
    <row r="522" spans="1:21" ht="12.75">
      <c r="A522" s="10"/>
      <c r="B522" s="344"/>
      <c r="C522" s="348"/>
      <c r="D522" s="352"/>
      <c r="E522" s="12"/>
      <c r="F522" s="376"/>
      <c r="G522" s="340"/>
      <c r="H522" s="340"/>
      <c r="I522" s="340"/>
      <c r="J522" s="340"/>
      <c r="K522" s="12"/>
      <c r="L522" s="12"/>
      <c r="M522" s="12"/>
      <c r="N522" s="12"/>
      <c r="O522" s="12"/>
      <c r="P522" s="15"/>
      <c r="Q522" s="7"/>
      <c r="R522" s="7"/>
      <c r="S522" s="7"/>
      <c r="T522" s="8"/>
      <c r="U522" s="8"/>
    </row>
    <row r="523" spans="1:21" ht="12.75">
      <c r="A523" s="10"/>
      <c r="B523" s="344"/>
      <c r="C523" s="348"/>
      <c r="D523" s="352"/>
      <c r="E523" s="12"/>
      <c r="F523" s="376"/>
      <c r="G523" s="340"/>
      <c r="H523" s="340"/>
      <c r="I523" s="340"/>
      <c r="J523" s="340"/>
      <c r="K523" s="12"/>
      <c r="L523" s="12"/>
      <c r="M523" s="12"/>
      <c r="N523" s="12"/>
      <c r="O523" s="12"/>
      <c r="P523" s="15"/>
      <c r="Q523" s="7"/>
      <c r="R523" s="7"/>
      <c r="S523" s="7"/>
      <c r="T523" s="8"/>
      <c r="U523" s="8"/>
    </row>
    <row r="524" spans="1:21" ht="12.75">
      <c r="A524" s="10"/>
      <c r="B524" s="344"/>
      <c r="C524" s="348"/>
      <c r="D524" s="352"/>
      <c r="E524" s="12"/>
      <c r="F524" s="376"/>
      <c r="G524" s="340"/>
      <c r="H524" s="340"/>
      <c r="I524" s="340"/>
      <c r="J524" s="340"/>
      <c r="K524" s="12"/>
      <c r="L524" s="12"/>
      <c r="M524" s="12"/>
      <c r="N524" s="12"/>
      <c r="O524" s="12"/>
      <c r="P524" s="15"/>
      <c r="Q524" s="7"/>
      <c r="R524" s="7"/>
      <c r="S524" s="7"/>
      <c r="T524" s="8"/>
      <c r="U524" s="8"/>
    </row>
    <row r="525" spans="1:21" ht="12.75">
      <c r="A525" s="10"/>
      <c r="B525" s="344"/>
      <c r="C525" s="348"/>
      <c r="D525" s="352"/>
      <c r="E525" s="12"/>
      <c r="F525" s="376"/>
      <c r="G525" s="340"/>
      <c r="H525" s="340"/>
      <c r="I525" s="340"/>
      <c r="J525" s="340"/>
      <c r="K525" s="12"/>
      <c r="L525" s="12"/>
      <c r="M525" s="12"/>
      <c r="N525" s="12"/>
      <c r="O525" s="12"/>
      <c r="P525" s="15"/>
      <c r="Q525" s="7"/>
      <c r="R525" s="7"/>
      <c r="S525" s="7"/>
      <c r="T525" s="8"/>
      <c r="U525" s="8"/>
    </row>
    <row r="526" spans="1:21" ht="12.75">
      <c r="A526" s="10"/>
      <c r="B526" s="344"/>
      <c r="C526" s="348"/>
      <c r="D526" s="352"/>
      <c r="E526" s="12"/>
      <c r="F526" s="376"/>
      <c r="G526" s="340"/>
      <c r="H526" s="340"/>
      <c r="I526" s="340"/>
      <c r="J526" s="340"/>
      <c r="K526" s="12"/>
      <c r="L526" s="12"/>
      <c r="M526" s="12"/>
      <c r="N526" s="12"/>
      <c r="O526" s="12"/>
      <c r="P526" s="15"/>
      <c r="Q526" s="7"/>
      <c r="R526" s="7"/>
      <c r="S526" s="7"/>
      <c r="T526" s="8"/>
      <c r="U526" s="8"/>
    </row>
    <row r="527" spans="1:21" ht="12.75">
      <c r="A527" s="10"/>
      <c r="B527" s="344"/>
      <c r="C527" s="348"/>
      <c r="D527" s="352"/>
      <c r="E527" s="12"/>
      <c r="F527" s="376"/>
      <c r="G527" s="340"/>
      <c r="H527" s="340"/>
      <c r="I527" s="340"/>
      <c r="J527" s="340"/>
      <c r="K527" s="12"/>
      <c r="L527" s="12"/>
      <c r="M527" s="12"/>
      <c r="N527" s="12"/>
      <c r="O527" s="12"/>
      <c r="P527" s="15"/>
      <c r="Q527" s="7"/>
      <c r="R527" s="7"/>
      <c r="S527" s="7"/>
      <c r="T527" s="8"/>
      <c r="U527" s="8"/>
    </row>
    <row r="528" spans="1:21" ht="12.75">
      <c r="A528" s="10"/>
      <c r="B528" s="344"/>
      <c r="C528" s="348"/>
      <c r="D528" s="352"/>
      <c r="E528" s="12"/>
      <c r="F528" s="376"/>
      <c r="G528" s="340"/>
      <c r="H528" s="340"/>
      <c r="I528" s="340"/>
      <c r="J528" s="340"/>
      <c r="K528" s="12"/>
      <c r="L528" s="12"/>
      <c r="M528" s="12"/>
      <c r="N528" s="12"/>
      <c r="O528" s="12"/>
      <c r="P528" s="15"/>
      <c r="Q528" s="7"/>
      <c r="R528" s="7"/>
      <c r="S528" s="7"/>
      <c r="T528" s="8"/>
      <c r="U528" s="8"/>
    </row>
    <row r="529" spans="1:21" ht="12.75">
      <c r="A529" s="10"/>
      <c r="B529" s="344"/>
      <c r="C529" s="348"/>
      <c r="D529" s="352"/>
      <c r="E529" s="12"/>
      <c r="F529" s="376"/>
      <c r="G529" s="340"/>
      <c r="H529" s="340"/>
      <c r="I529" s="340"/>
      <c r="J529" s="340"/>
      <c r="K529" s="12"/>
      <c r="L529" s="12"/>
      <c r="M529" s="12"/>
      <c r="N529" s="12"/>
      <c r="O529" s="12"/>
      <c r="P529" s="15"/>
      <c r="Q529" s="7"/>
      <c r="R529" s="7"/>
      <c r="S529" s="7"/>
      <c r="T529" s="8"/>
      <c r="U529" s="8"/>
    </row>
    <row r="530" spans="1:21" ht="12.75">
      <c r="A530" s="10"/>
      <c r="B530" s="344"/>
      <c r="C530" s="348"/>
      <c r="D530" s="352"/>
      <c r="E530" s="12"/>
      <c r="F530" s="376"/>
      <c r="G530" s="340"/>
      <c r="H530" s="340"/>
      <c r="I530" s="340"/>
      <c r="J530" s="340"/>
      <c r="K530" s="12"/>
      <c r="L530" s="12"/>
      <c r="M530" s="12"/>
      <c r="N530" s="12"/>
      <c r="O530" s="12"/>
      <c r="P530" s="15"/>
      <c r="Q530" s="7"/>
      <c r="R530" s="7"/>
      <c r="S530" s="7"/>
      <c r="T530" s="8"/>
      <c r="U530" s="8"/>
    </row>
    <row r="531" spans="1:21" ht="12.75">
      <c r="A531" s="10"/>
      <c r="B531" s="344"/>
      <c r="C531" s="348"/>
      <c r="D531" s="352"/>
      <c r="E531" s="12"/>
      <c r="F531" s="376"/>
      <c r="G531" s="340"/>
      <c r="H531" s="340"/>
      <c r="I531" s="340"/>
      <c r="J531" s="340"/>
      <c r="K531" s="12"/>
      <c r="L531" s="12"/>
      <c r="M531" s="12"/>
      <c r="N531" s="12"/>
      <c r="O531" s="12"/>
      <c r="P531" s="15"/>
      <c r="Q531" s="7"/>
      <c r="R531" s="7"/>
      <c r="S531" s="7"/>
      <c r="T531" s="8"/>
      <c r="U531" s="8"/>
    </row>
    <row r="532" spans="1:21" ht="12.75">
      <c r="A532" s="10"/>
      <c r="B532" s="344"/>
      <c r="C532" s="348"/>
      <c r="D532" s="352"/>
      <c r="E532" s="12"/>
      <c r="F532" s="376"/>
      <c r="G532" s="340"/>
      <c r="H532" s="340"/>
      <c r="I532" s="340"/>
      <c r="J532" s="340"/>
      <c r="K532" s="12"/>
      <c r="L532" s="12"/>
      <c r="M532" s="12"/>
      <c r="N532" s="12"/>
      <c r="O532" s="12"/>
      <c r="P532" s="15"/>
      <c r="Q532" s="7"/>
      <c r="R532" s="7"/>
      <c r="S532" s="7"/>
      <c r="T532" s="8"/>
      <c r="U532" s="8"/>
    </row>
    <row r="533" spans="1:21" ht="12.75">
      <c r="A533" s="10"/>
      <c r="B533" s="344"/>
      <c r="C533" s="348"/>
      <c r="D533" s="352"/>
      <c r="E533" s="12"/>
      <c r="F533" s="376"/>
      <c r="G533" s="340"/>
      <c r="H533" s="340"/>
      <c r="I533" s="340"/>
      <c r="J533" s="340"/>
      <c r="K533" s="12"/>
      <c r="L533" s="12"/>
      <c r="M533" s="12"/>
      <c r="N533" s="12"/>
      <c r="O533" s="12"/>
      <c r="P533" s="15"/>
      <c r="Q533" s="7"/>
      <c r="R533" s="7"/>
      <c r="S533" s="7"/>
      <c r="T533" s="8"/>
      <c r="U533" s="8"/>
    </row>
    <row r="534" spans="1:21" ht="12.75">
      <c r="A534" s="10"/>
      <c r="B534" s="344"/>
      <c r="C534" s="348"/>
      <c r="D534" s="352"/>
      <c r="E534" s="12"/>
      <c r="F534" s="376"/>
      <c r="G534" s="340"/>
      <c r="H534" s="340"/>
      <c r="I534" s="340"/>
      <c r="J534" s="340"/>
      <c r="K534" s="12"/>
      <c r="L534" s="12"/>
      <c r="M534" s="12"/>
      <c r="N534" s="12"/>
      <c r="O534" s="12"/>
      <c r="P534" s="15"/>
      <c r="Q534" s="7"/>
      <c r="R534" s="7"/>
      <c r="S534" s="7"/>
      <c r="T534" s="8"/>
      <c r="U534" s="8"/>
    </row>
    <row r="535" spans="1:21" ht="12.75">
      <c r="A535" s="10"/>
      <c r="B535" s="344"/>
      <c r="C535" s="348"/>
      <c r="D535" s="352"/>
      <c r="E535" s="12"/>
      <c r="F535" s="376"/>
      <c r="G535" s="340"/>
      <c r="H535" s="340"/>
      <c r="I535" s="340"/>
      <c r="J535" s="340"/>
      <c r="K535" s="12"/>
      <c r="L535" s="12"/>
      <c r="M535" s="12"/>
      <c r="N535" s="12"/>
      <c r="O535" s="12"/>
      <c r="P535" s="15"/>
      <c r="Q535" s="7"/>
      <c r="R535" s="7"/>
      <c r="S535" s="7"/>
      <c r="T535" s="8"/>
      <c r="U535" s="8"/>
    </row>
    <row r="536" spans="1:21" ht="12.75">
      <c r="A536" s="10"/>
      <c r="B536" s="344"/>
      <c r="C536" s="348"/>
      <c r="D536" s="352"/>
      <c r="E536" s="12"/>
      <c r="F536" s="376"/>
      <c r="G536" s="340"/>
      <c r="H536" s="340"/>
      <c r="I536" s="340"/>
      <c r="J536" s="340"/>
      <c r="K536" s="12"/>
      <c r="L536" s="12"/>
      <c r="M536" s="12"/>
      <c r="N536" s="12"/>
      <c r="O536" s="12"/>
      <c r="P536" s="15"/>
      <c r="Q536" s="7"/>
      <c r="R536" s="7"/>
      <c r="S536" s="7"/>
      <c r="T536" s="8"/>
      <c r="U536" s="8"/>
    </row>
    <row r="537" spans="1:21" ht="12.75">
      <c r="A537" s="10"/>
      <c r="B537" s="344"/>
      <c r="C537" s="348"/>
      <c r="D537" s="352"/>
      <c r="E537" s="12"/>
      <c r="F537" s="376"/>
      <c r="G537" s="340"/>
      <c r="H537" s="340"/>
      <c r="I537" s="340"/>
      <c r="J537" s="340"/>
      <c r="K537" s="12"/>
      <c r="L537" s="12"/>
      <c r="M537" s="12"/>
      <c r="N537" s="12"/>
      <c r="O537" s="12"/>
      <c r="P537" s="15"/>
      <c r="Q537" s="7"/>
      <c r="R537" s="7"/>
      <c r="S537" s="7"/>
      <c r="T537" s="8"/>
      <c r="U537" s="8"/>
    </row>
    <row r="538" spans="1:21" ht="12.75">
      <c r="A538" s="10"/>
      <c r="B538" s="344"/>
      <c r="C538" s="348"/>
      <c r="D538" s="352"/>
      <c r="E538" s="12"/>
      <c r="F538" s="376"/>
      <c r="G538" s="340"/>
      <c r="H538" s="340"/>
      <c r="I538" s="340"/>
      <c r="J538" s="340"/>
      <c r="K538" s="12"/>
      <c r="L538" s="12"/>
      <c r="M538" s="12"/>
      <c r="N538" s="12"/>
      <c r="O538" s="12"/>
      <c r="P538" s="15"/>
      <c r="Q538" s="7"/>
      <c r="R538" s="7"/>
      <c r="S538" s="7"/>
      <c r="T538" s="8"/>
      <c r="U538" s="8"/>
    </row>
    <row r="539" spans="1:21" ht="12.75">
      <c r="A539" s="10"/>
      <c r="B539" s="344"/>
      <c r="C539" s="348"/>
      <c r="D539" s="352"/>
      <c r="E539" s="12"/>
      <c r="F539" s="376"/>
      <c r="G539" s="340"/>
      <c r="H539" s="340"/>
      <c r="I539" s="340"/>
      <c r="J539" s="340"/>
      <c r="K539" s="12"/>
      <c r="L539" s="12"/>
      <c r="M539" s="12"/>
      <c r="N539" s="12"/>
      <c r="O539" s="12"/>
      <c r="P539" s="15"/>
      <c r="Q539" s="7"/>
      <c r="R539" s="7"/>
      <c r="S539" s="7"/>
      <c r="T539" s="8"/>
      <c r="U539" s="8"/>
    </row>
    <row r="540" spans="1:21" ht="12.75">
      <c r="A540" s="10"/>
      <c r="B540" s="344"/>
      <c r="C540" s="348"/>
      <c r="D540" s="352"/>
      <c r="E540" s="12"/>
      <c r="F540" s="376"/>
      <c r="G540" s="340"/>
      <c r="H540" s="340"/>
      <c r="I540" s="340"/>
      <c r="J540" s="340"/>
      <c r="K540" s="12"/>
      <c r="L540" s="12"/>
      <c r="M540" s="12"/>
      <c r="N540" s="12"/>
      <c r="O540" s="12"/>
      <c r="P540" s="15"/>
      <c r="Q540" s="7"/>
      <c r="R540" s="7"/>
      <c r="S540" s="7"/>
      <c r="T540" s="8"/>
      <c r="U540" s="8"/>
    </row>
    <row r="541" spans="1:21" ht="12.75">
      <c r="A541" s="10"/>
      <c r="B541" s="344"/>
      <c r="C541" s="348"/>
      <c r="D541" s="352"/>
      <c r="E541" s="12"/>
      <c r="F541" s="376"/>
      <c r="G541" s="340"/>
      <c r="H541" s="340"/>
      <c r="I541" s="340"/>
      <c r="J541" s="340"/>
      <c r="K541" s="12"/>
      <c r="L541" s="12"/>
      <c r="M541" s="12"/>
      <c r="N541" s="12"/>
      <c r="O541" s="12"/>
      <c r="P541" s="15"/>
      <c r="Q541" s="7"/>
      <c r="R541" s="7"/>
      <c r="S541" s="7"/>
      <c r="T541" s="8"/>
      <c r="U541" s="8"/>
    </row>
    <row r="542" spans="1:21" ht="12.75">
      <c r="A542" s="10"/>
      <c r="B542" s="344"/>
      <c r="C542" s="348"/>
      <c r="D542" s="352"/>
      <c r="E542" s="12"/>
      <c r="F542" s="376"/>
      <c r="G542" s="340"/>
      <c r="H542" s="340"/>
      <c r="I542" s="340"/>
      <c r="J542" s="340"/>
      <c r="K542" s="12"/>
      <c r="L542" s="12"/>
      <c r="M542" s="12"/>
      <c r="N542" s="12"/>
      <c r="O542" s="12"/>
      <c r="P542" s="15"/>
      <c r="Q542" s="7"/>
      <c r="R542" s="7"/>
      <c r="S542" s="7"/>
      <c r="T542" s="8"/>
      <c r="U542" s="8"/>
    </row>
    <row r="543" spans="1:21" ht="12.75">
      <c r="A543" s="10"/>
      <c r="B543" s="344"/>
      <c r="C543" s="348"/>
      <c r="D543" s="352"/>
      <c r="E543" s="12"/>
      <c r="F543" s="376"/>
      <c r="G543" s="340"/>
      <c r="H543" s="340"/>
      <c r="I543" s="340"/>
      <c r="J543" s="340"/>
      <c r="K543" s="12"/>
      <c r="L543" s="12"/>
      <c r="M543" s="12"/>
      <c r="N543" s="12"/>
      <c r="O543" s="12"/>
      <c r="P543" s="15"/>
      <c r="Q543" s="7"/>
      <c r="R543" s="7"/>
      <c r="S543" s="7"/>
      <c r="T543" s="8"/>
      <c r="U543" s="8"/>
    </row>
    <row r="544" spans="1:21" ht="12.75">
      <c r="A544" s="10"/>
      <c r="B544" s="344"/>
      <c r="C544" s="348"/>
      <c r="D544" s="352"/>
      <c r="E544" s="12"/>
      <c r="F544" s="376"/>
      <c r="G544" s="340"/>
      <c r="H544" s="340"/>
      <c r="I544" s="340"/>
      <c r="J544" s="340"/>
      <c r="K544" s="12"/>
      <c r="L544" s="12"/>
      <c r="M544" s="12"/>
      <c r="N544" s="12"/>
      <c r="O544" s="12"/>
      <c r="P544" s="15"/>
      <c r="Q544" s="7"/>
      <c r="R544" s="7"/>
      <c r="S544" s="7"/>
      <c r="T544" s="8"/>
      <c r="U544" s="8"/>
    </row>
    <row r="545" spans="1:21" ht="12.75">
      <c r="A545" s="10"/>
      <c r="B545" s="344"/>
      <c r="C545" s="348"/>
      <c r="D545" s="352"/>
      <c r="E545" s="12"/>
      <c r="F545" s="376"/>
      <c r="G545" s="340"/>
      <c r="H545" s="340"/>
      <c r="I545" s="340"/>
      <c r="J545" s="340"/>
      <c r="K545" s="12"/>
      <c r="L545" s="12"/>
      <c r="M545" s="12"/>
      <c r="N545" s="12"/>
      <c r="O545" s="12"/>
      <c r="P545" s="15"/>
      <c r="Q545" s="7"/>
      <c r="R545" s="7"/>
      <c r="S545" s="7"/>
      <c r="T545" s="8"/>
      <c r="U545" s="8"/>
    </row>
    <row r="546" spans="1:21" ht="12.75">
      <c r="A546" s="10"/>
      <c r="B546" s="344"/>
      <c r="C546" s="348"/>
      <c r="D546" s="352"/>
      <c r="E546" s="12"/>
      <c r="F546" s="376"/>
      <c r="G546" s="340"/>
      <c r="H546" s="340"/>
      <c r="I546" s="340"/>
      <c r="J546" s="340"/>
      <c r="K546" s="12"/>
      <c r="L546" s="12"/>
      <c r="M546" s="12"/>
      <c r="N546" s="12"/>
      <c r="O546" s="12"/>
      <c r="P546" s="15"/>
      <c r="Q546" s="7"/>
      <c r="R546" s="7"/>
      <c r="S546" s="7"/>
      <c r="T546" s="8"/>
      <c r="U546" s="8"/>
    </row>
    <row r="547" spans="1:21" ht="12.75">
      <c r="A547" s="10"/>
      <c r="B547" s="344"/>
      <c r="C547" s="348"/>
      <c r="D547" s="352"/>
      <c r="E547" s="12"/>
      <c r="F547" s="376"/>
      <c r="G547" s="340"/>
      <c r="H547" s="340"/>
      <c r="I547" s="340"/>
      <c r="J547" s="340"/>
      <c r="K547" s="12"/>
      <c r="L547" s="12"/>
      <c r="M547" s="12"/>
      <c r="N547" s="12"/>
      <c r="O547" s="12"/>
      <c r="P547" s="15"/>
      <c r="Q547" s="7"/>
      <c r="R547" s="7"/>
      <c r="S547" s="7"/>
      <c r="T547" s="8"/>
      <c r="U547" s="8"/>
    </row>
    <row r="548" spans="1:21" ht="12.75">
      <c r="A548" s="10"/>
      <c r="B548" s="344"/>
      <c r="C548" s="348"/>
      <c r="D548" s="352"/>
      <c r="E548" s="12"/>
      <c r="F548" s="376"/>
      <c r="G548" s="340"/>
      <c r="H548" s="340"/>
      <c r="I548" s="340"/>
      <c r="J548" s="340"/>
      <c r="K548" s="12"/>
      <c r="L548" s="12"/>
      <c r="M548" s="12"/>
      <c r="N548" s="12"/>
      <c r="O548" s="12"/>
      <c r="P548" s="15"/>
      <c r="Q548" s="7"/>
      <c r="R548" s="7"/>
      <c r="S548" s="7"/>
      <c r="T548" s="8"/>
      <c r="U548" s="8"/>
    </row>
    <row r="549" spans="1:21" ht="12.75">
      <c r="A549" s="10"/>
      <c r="B549" s="344"/>
      <c r="C549" s="348"/>
      <c r="D549" s="352"/>
      <c r="E549" s="12"/>
      <c r="F549" s="376"/>
      <c r="G549" s="340"/>
      <c r="H549" s="340"/>
      <c r="I549" s="340"/>
      <c r="J549" s="340"/>
      <c r="K549" s="12"/>
      <c r="L549" s="12"/>
      <c r="M549" s="12"/>
      <c r="N549" s="12"/>
      <c r="O549" s="12"/>
      <c r="P549" s="15"/>
      <c r="Q549" s="7"/>
      <c r="R549" s="7"/>
      <c r="S549" s="7"/>
      <c r="T549" s="8"/>
      <c r="U549" s="8"/>
    </row>
    <row r="550" spans="1:21" ht="12.75">
      <c r="A550" s="10"/>
      <c r="B550" s="344"/>
      <c r="C550" s="348"/>
      <c r="D550" s="352"/>
      <c r="E550" s="12"/>
      <c r="F550" s="376"/>
      <c r="G550" s="340"/>
      <c r="H550" s="340"/>
      <c r="I550" s="340"/>
      <c r="J550" s="340"/>
      <c r="K550" s="12"/>
      <c r="L550" s="12"/>
      <c r="M550" s="12"/>
      <c r="N550" s="12"/>
      <c r="O550" s="12"/>
      <c r="P550" s="15"/>
      <c r="Q550" s="7"/>
      <c r="R550" s="7"/>
      <c r="S550" s="7"/>
      <c r="T550" s="8"/>
      <c r="U550" s="8"/>
    </row>
    <row r="551" spans="1:21" ht="12.75">
      <c r="A551" s="10"/>
      <c r="B551" s="344"/>
      <c r="C551" s="348"/>
      <c r="D551" s="352"/>
      <c r="E551" s="12"/>
      <c r="F551" s="376"/>
      <c r="G551" s="340"/>
      <c r="H551" s="340"/>
      <c r="I551" s="340"/>
      <c r="J551" s="340"/>
      <c r="K551" s="12"/>
      <c r="L551" s="12"/>
      <c r="M551" s="12"/>
      <c r="N551" s="12"/>
      <c r="O551" s="12"/>
      <c r="P551" s="15"/>
      <c r="Q551" s="7"/>
      <c r="R551" s="7"/>
      <c r="S551" s="7"/>
      <c r="T551" s="8"/>
      <c r="U551" s="8"/>
    </row>
    <row r="552" spans="1:21" ht="12.75">
      <c r="A552" s="10"/>
      <c r="B552" s="344"/>
      <c r="C552" s="348"/>
      <c r="D552" s="352"/>
      <c r="E552" s="12"/>
      <c r="F552" s="376"/>
      <c r="G552" s="340"/>
      <c r="H552" s="340"/>
      <c r="I552" s="340"/>
      <c r="J552" s="340"/>
      <c r="K552" s="12"/>
      <c r="L552" s="12"/>
      <c r="M552" s="12"/>
      <c r="N552" s="12"/>
      <c r="O552" s="12"/>
      <c r="P552" s="15"/>
      <c r="Q552" s="7"/>
      <c r="R552" s="7"/>
      <c r="S552" s="7"/>
      <c r="T552" s="8"/>
      <c r="U552" s="8"/>
    </row>
    <row r="553" spans="1:21" ht="12.75">
      <c r="A553" s="10"/>
      <c r="B553" s="344"/>
      <c r="C553" s="348"/>
      <c r="D553" s="352"/>
      <c r="E553" s="12"/>
      <c r="F553" s="376"/>
      <c r="G553" s="340"/>
      <c r="H553" s="340"/>
      <c r="I553" s="340"/>
      <c r="J553" s="340"/>
      <c r="K553" s="12"/>
      <c r="L553" s="12"/>
      <c r="M553" s="12"/>
      <c r="N553" s="12"/>
      <c r="O553" s="12"/>
      <c r="P553" s="15"/>
      <c r="Q553" s="7"/>
      <c r="R553" s="7"/>
      <c r="S553" s="7"/>
      <c r="T553" s="8"/>
      <c r="U553" s="8"/>
    </row>
    <row r="554" spans="1:21" ht="12.75">
      <c r="A554" s="10"/>
      <c r="B554" s="344"/>
      <c r="C554" s="348"/>
      <c r="D554" s="352"/>
      <c r="E554" s="12"/>
      <c r="F554" s="376"/>
      <c r="G554" s="340"/>
      <c r="H554" s="340"/>
      <c r="I554" s="340"/>
      <c r="J554" s="340"/>
      <c r="K554" s="12"/>
      <c r="L554" s="12"/>
      <c r="M554" s="12"/>
      <c r="N554" s="12"/>
      <c r="O554" s="12"/>
      <c r="P554" s="15"/>
      <c r="Q554" s="7"/>
      <c r="R554" s="7"/>
      <c r="S554" s="7"/>
      <c r="T554" s="8"/>
      <c r="U554" s="8"/>
    </row>
    <row r="555" spans="1:21" ht="12.75">
      <c r="A555" s="10"/>
      <c r="B555" s="344"/>
      <c r="C555" s="348"/>
      <c r="D555" s="352"/>
      <c r="E555" s="12"/>
      <c r="F555" s="376"/>
      <c r="G555" s="340"/>
      <c r="H555" s="340"/>
      <c r="I555" s="340"/>
      <c r="J555" s="340"/>
      <c r="K555" s="12"/>
      <c r="L555" s="12"/>
      <c r="M555" s="12"/>
      <c r="N555" s="12"/>
      <c r="O555" s="12"/>
      <c r="P555" s="15"/>
      <c r="Q555" s="7"/>
      <c r="R555" s="7"/>
      <c r="S555" s="7"/>
      <c r="T555" s="8"/>
      <c r="U555" s="8"/>
    </row>
    <row r="556" spans="1:21" ht="12.75">
      <c r="A556" s="10"/>
      <c r="B556" s="344"/>
      <c r="C556" s="348"/>
      <c r="D556" s="352"/>
      <c r="E556" s="12"/>
      <c r="F556" s="376"/>
      <c r="G556" s="340"/>
      <c r="H556" s="340"/>
      <c r="I556" s="340"/>
      <c r="J556" s="340"/>
      <c r="K556" s="12"/>
      <c r="L556" s="12"/>
      <c r="M556" s="12"/>
      <c r="N556" s="12"/>
      <c r="O556" s="12"/>
      <c r="P556" s="15"/>
      <c r="Q556" s="7"/>
      <c r="R556" s="7"/>
      <c r="S556" s="7"/>
      <c r="T556" s="8"/>
      <c r="U556" s="8"/>
    </row>
    <row r="557" spans="1:21" ht="12.75">
      <c r="A557" s="10"/>
      <c r="B557" s="344"/>
      <c r="C557" s="348"/>
      <c r="D557" s="352"/>
      <c r="E557" s="12"/>
      <c r="F557" s="376"/>
      <c r="G557" s="340"/>
      <c r="H557" s="340"/>
      <c r="I557" s="340"/>
      <c r="J557" s="340"/>
      <c r="K557" s="12"/>
      <c r="L557" s="12"/>
      <c r="M557" s="12"/>
      <c r="N557" s="12"/>
      <c r="O557" s="12"/>
      <c r="P557" s="15"/>
      <c r="Q557" s="7"/>
      <c r="R557" s="7"/>
      <c r="S557" s="7"/>
      <c r="T557" s="8"/>
      <c r="U557" s="8"/>
    </row>
    <row r="558" spans="1:21" ht="12.75">
      <c r="A558" s="10"/>
      <c r="B558" s="344"/>
      <c r="C558" s="348"/>
      <c r="D558" s="352"/>
      <c r="E558" s="12"/>
      <c r="F558" s="376"/>
      <c r="G558" s="340"/>
      <c r="H558" s="340"/>
      <c r="I558" s="340"/>
      <c r="J558" s="340"/>
      <c r="K558" s="12"/>
      <c r="L558" s="12"/>
      <c r="M558" s="12"/>
      <c r="N558" s="12"/>
      <c r="O558" s="12"/>
      <c r="P558" s="15"/>
      <c r="Q558" s="7"/>
      <c r="R558" s="7"/>
      <c r="S558" s="7"/>
      <c r="T558" s="8"/>
      <c r="U558" s="8"/>
    </row>
    <row r="559" spans="1:21" ht="12.75">
      <c r="A559" s="10"/>
      <c r="B559" s="344"/>
      <c r="C559" s="348"/>
      <c r="D559" s="352"/>
      <c r="E559" s="12"/>
      <c r="F559" s="376"/>
      <c r="G559" s="340"/>
      <c r="H559" s="340"/>
      <c r="I559" s="340"/>
      <c r="J559" s="340"/>
      <c r="K559" s="12"/>
      <c r="L559" s="12"/>
      <c r="M559" s="12"/>
      <c r="N559" s="12"/>
      <c r="O559" s="12"/>
      <c r="P559" s="15"/>
      <c r="Q559" s="7"/>
      <c r="R559" s="7"/>
      <c r="S559" s="7"/>
      <c r="T559" s="8"/>
      <c r="U559" s="8"/>
    </row>
    <row r="560" spans="1:21" ht="12.75">
      <c r="A560" s="10"/>
      <c r="B560" s="344"/>
      <c r="C560" s="348"/>
      <c r="D560" s="352"/>
      <c r="E560" s="12"/>
      <c r="F560" s="376"/>
      <c r="G560" s="340"/>
      <c r="H560" s="340"/>
      <c r="I560" s="340"/>
      <c r="J560" s="340"/>
      <c r="K560" s="12"/>
      <c r="L560" s="12"/>
      <c r="M560" s="12"/>
      <c r="N560" s="12"/>
      <c r="O560" s="12"/>
      <c r="P560" s="15"/>
      <c r="Q560" s="7"/>
      <c r="R560" s="7"/>
      <c r="S560" s="7"/>
      <c r="T560" s="8"/>
      <c r="U560" s="8"/>
    </row>
    <row r="561" spans="1:21" ht="12.75">
      <c r="A561" s="10"/>
      <c r="B561" s="344"/>
      <c r="C561" s="348"/>
      <c r="D561" s="352"/>
      <c r="E561" s="12"/>
      <c r="F561" s="376"/>
      <c r="G561" s="340"/>
      <c r="H561" s="340"/>
      <c r="I561" s="340"/>
      <c r="J561" s="340"/>
      <c r="K561" s="12"/>
      <c r="L561" s="12"/>
      <c r="M561" s="12"/>
      <c r="N561" s="12"/>
      <c r="O561" s="12"/>
      <c r="P561" s="15"/>
      <c r="Q561" s="7"/>
      <c r="R561" s="7"/>
      <c r="S561" s="7"/>
      <c r="T561" s="8"/>
      <c r="U561" s="8"/>
    </row>
    <row r="562" spans="1:21" ht="12.75">
      <c r="A562" s="10"/>
      <c r="B562" s="344"/>
      <c r="C562" s="348"/>
      <c r="D562" s="352"/>
      <c r="E562" s="12"/>
      <c r="F562" s="376"/>
      <c r="G562" s="340"/>
      <c r="H562" s="340"/>
      <c r="I562" s="340"/>
      <c r="J562" s="340"/>
      <c r="K562" s="12"/>
      <c r="L562" s="12"/>
      <c r="M562" s="12"/>
      <c r="N562" s="12"/>
      <c r="O562" s="12"/>
      <c r="P562" s="15"/>
      <c r="Q562" s="7"/>
      <c r="R562" s="7"/>
      <c r="S562" s="7"/>
      <c r="T562" s="8"/>
      <c r="U562" s="8"/>
    </row>
    <row r="563" spans="1:21" ht="12.75">
      <c r="A563" s="10"/>
      <c r="B563" s="344"/>
      <c r="C563" s="348"/>
      <c r="D563" s="352"/>
      <c r="E563" s="12"/>
      <c r="F563" s="376"/>
      <c r="G563" s="340"/>
      <c r="H563" s="340"/>
      <c r="I563" s="340"/>
      <c r="J563" s="340"/>
      <c r="K563" s="12"/>
      <c r="L563" s="12"/>
      <c r="M563" s="12"/>
      <c r="N563" s="12"/>
      <c r="O563" s="12"/>
      <c r="P563" s="15"/>
      <c r="Q563" s="7"/>
      <c r="R563" s="7"/>
      <c r="S563" s="7"/>
      <c r="T563" s="8"/>
      <c r="U563" s="8"/>
    </row>
    <row r="564" spans="1:21" ht="12.75">
      <c r="A564" s="10"/>
      <c r="B564" s="344"/>
      <c r="C564" s="348"/>
      <c r="D564" s="352"/>
      <c r="E564" s="12"/>
      <c r="F564" s="376"/>
      <c r="G564" s="340"/>
      <c r="H564" s="340"/>
      <c r="I564" s="340"/>
      <c r="J564" s="340"/>
      <c r="K564" s="12"/>
      <c r="L564" s="12"/>
      <c r="M564" s="12"/>
      <c r="N564" s="12"/>
      <c r="O564" s="12"/>
      <c r="P564" s="15"/>
      <c r="Q564" s="7"/>
      <c r="R564" s="7"/>
      <c r="S564" s="7"/>
      <c r="T564" s="8"/>
      <c r="U564" s="8"/>
    </row>
    <row r="565" spans="1:21" ht="12.75">
      <c r="A565" s="10"/>
      <c r="B565" s="344"/>
      <c r="C565" s="348"/>
      <c r="D565" s="352"/>
      <c r="E565" s="12"/>
      <c r="F565" s="376"/>
      <c r="G565" s="340"/>
      <c r="H565" s="340"/>
      <c r="I565" s="340"/>
      <c r="J565" s="340"/>
      <c r="K565" s="12"/>
      <c r="L565" s="12"/>
      <c r="M565" s="12"/>
      <c r="N565" s="12"/>
      <c r="O565" s="12"/>
      <c r="P565" s="15"/>
      <c r="Q565" s="7"/>
      <c r="R565" s="7"/>
      <c r="S565" s="7"/>
      <c r="T565" s="8"/>
      <c r="U565" s="8"/>
    </row>
    <row r="566" spans="1:21" ht="12.75">
      <c r="A566" s="10"/>
      <c r="B566" s="344"/>
      <c r="C566" s="348"/>
      <c r="D566" s="352"/>
      <c r="E566" s="12"/>
      <c r="F566" s="376"/>
      <c r="G566" s="340"/>
      <c r="H566" s="340"/>
      <c r="I566" s="340"/>
      <c r="J566" s="340"/>
      <c r="K566" s="12"/>
      <c r="L566" s="12"/>
      <c r="M566" s="12"/>
      <c r="N566" s="12"/>
      <c r="O566" s="12"/>
      <c r="P566" s="15"/>
      <c r="Q566" s="7"/>
      <c r="R566" s="7"/>
      <c r="S566" s="7"/>
      <c r="T566" s="8"/>
      <c r="U566" s="8"/>
    </row>
    <row r="567" spans="1:21" ht="12.75">
      <c r="A567" s="10"/>
      <c r="B567" s="344"/>
      <c r="C567" s="348"/>
      <c r="D567" s="352"/>
      <c r="E567" s="12"/>
      <c r="F567" s="376"/>
      <c r="G567" s="340"/>
      <c r="H567" s="340"/>
      <c r="I567" s="340"/>
      <c r="J567" s="340"/>
      <c r="K567" s="12"/>
      <c r="L567" s="12"/>
      <c r="M567" s="12"/>
      <c r="N567" s="12"/>
      <c r="O567" s="12"/>
      <c r="P567" s="15"/>
      <c r="Q567" s="7"/>
      <c r="R567" s="7"/>
      <c r="S567" s="7"/>
      <c r="T567" s="8"/>
      <c r="U567" s="8"/>
    </row>
    <row r="568" spans="1:21" ht="12.75">
      <c r="A568" s="10"/>
      <c r="B568" s="344"/>
      <c r="C568" s="348"/>
      <c r="D568" s="352"/>
      <c r="E568" s="12"/>
      <c r="F568" s="376"/>
      <c r="G568" s="340"/>
      <c r="H568" s="340"/>
      <c r="I568" s="340"/>
      <c r="J568" s="340"/>
      <c r="K568" s="12"/>
      <c r="L568" s="12"/>
      <c r="M568" s="12"/>
      <c r="N568" s="12"/>
      <c r="O568" s="12"/>
      <c r="P568" s="15"/>
      <c r="Q568" s="7"/>
      <c r="R568" s="7"/>
      <c r="S568" s="7"/>
      <c r="T568" s="8"/>
      <c r="U568" s="8"/>
    </row>
    <row r="569" spans="1:21" ht="12.75">
      <c r="A569" s="10"/>
      <c r="B569" s="344"/>
      <c r="C569" s="348"/>
      <c r="D569" s="352"/>
      <c r="E569" s="12"/>
      <c r="F569" s="376"/>
      <c r="G569" s="340"/>
      <c r="H569" s="340"/>
      <c r="I569" s="340"/>
      <c r="J569" s="340"/>
      <c r="K569" s="12"/>
      <c r="L569" s="12"/>
      <c r="M569" s="12"/>
      <c r="N569" s="12"/>
      <c r="O569" s="12"/>
      <c r="P569" s="15"/>
      <c r="Q569" s="7"/>
      <c r="R569" s="7"/>
      <c r="S569" s="7"/>
      <c r="T569" s="8"/>
      <c r="U569" s="8"/>
    </row>
    <row r="570" spans="1:21" ht="12.75">
      <c r="A570" s="10"/>
      <c r="B570" s="344"/>
      <c r="C570" s="348"/>
      <c r="D570" s="352"/>
      <c r="E570" s="12"/>
      <c r="F570" s="376"/>
      <c r="G570" s="340"/>
      <c r="H570" s="340"/>
      <c r="I570" s="340"/>
      <c r="J570" s="340"/>
      <c r="K570" s="12"/>
      <c r="L570" s="12"/>
      <c r="M570" s="12"/>
      <c r="N570" s="12"/>
      <c r="O570" s="12"/>
      <c r="P570" s="15"/>
      <c r="Q570" s="7"/>
      <c r="R570" s="7"/>
      <c r="S570" s="7"/>
      <c r="T570" s="8"/>
      <c r="U570" s="8"/>
    </row>
    <row r="571" spans="1:21" ht="12.75">
      <c r="A571" s="10"/>
      <c r="B571" s="344"/>
      <c r="C571" s="348"/>
      <c r="D571" s="352"/>
      <c r="E571" s="12"/>
      <c r="F571" s="376"/>
      <c r="G571" s="340"/>
      <c r="H571" s="340"/>
      <c r="I571" s="340"/>
      <c r="J571" s="340"/>
      <c r="K571" s="12"/>
      <c r="L571" s="12"/>
      <c r="M571" s="12"/>
      <c r="N571" s="12"/>
      <c r="O571" s="12"/>
      <c r="P571" s="15"/>
      <c r="Q571" s="7"/>
      <c r="R571" s="7"/>
      <c r="S571" s="7"/>
      <c r="T571" s="8"/>
      <c r="U571" s="8"/>
    </row>
    <row r="572" spans="1:21" ht="12.75">
      <c r="A572" s="10"/>
      <c r="B572" s="344"/>
      <c r="C572" s="348"/>
      <c r="D572" s="352"/>
      <c r="E572" s="12"/>
      <c r="F572" s="376"/>
      <c r="G572" s="340"/>
      <c r="H572" s="340"/>
      <c r="I572" s="340"/>
      <c r="J572" s="340"/>
      <c r="K572" s="12"/>
      <c r="L572" s="12"/>
      <c r="M572" s="12"/>
      <c r="N572" s="12"/>
      <c r="O572" s="12"/>
      <c r="P572" s="15"/>
      <c r="Q572" s="7"/>
      <c r="R572" s="7"/>
      <c r="S572" s="7"/>
      <c r="T572" s="8"/>
      <c r="U572" s="8"/>
    </row>
    <row r="573" spans="1:21" ht="12.75">
      <c r="A573" s="10"/>
      <c r="B573" s="344"/>
      <c r="C573" s="348"/>
      <c r="D573" s="352"/>
      <c r="E573" s="12"/>
      <c r="F573" s="376"/>
      <c r="G573" s="340"/>
      <c r="H573" s="340"/>
      <c r="I573" s="340"/>
      <c r="J573" s="340"/>
      <c r="K573" s="12"/>
      <c r="L573" s="12"/>
      <c r="M573" s="12"/>
      <c r="N573" s="12"/>
      <c r="O573" s="12"/>
      <c r="P573" s="15"/>
      <c r="Q573" s="7"/>
      <c r="R573" s="7"/>
      <c r="S573" s="7"/>
      <c r="T573" s="8"/>
      <c r="U573" s="8"/>
    </row>
    <row r="574" spans="1:21" ht="12.75">
      <c r="A574" s="10"/>
      <c r="B574" s="344"/>
      <c r="C574" s="348"/>
      <c r="D574" s="352"/>
      <c r="E574" s="12"/>
      <c r="F574" s="376"/>
      <c r="G574" s="340"/>
      <c r="H574" s="340"/>
      <c r="I574" s="340"/>
      <c r="J574" s="340"/>
      <c r="K574" s="12"/>
      <c r="L574" s="12"/>
      <c r="M574" s="12"/>
      <c r="N574" s="12"/>
      <c r="O574" s="12"/>
      <c r="P574" s="15"/>
      <c r="Q574" s="7"/>
      <c r="R574" s="7"/>
      <c r="S574" s="7"/>
      <c r="T574" s="8"/>
      <c r="U574" s="8"/>
    </row>
    <row r="575" spans="1:21" ht="12.75">
      <c r="A575" s="10"/>
      <c r="B575" s="344"/>
      <c r="C575" s="348"/>
      <c r="D575" s="352"/>
      <c r="E575" s="12"/>
      <c r="F575" s="376"/>
      <c r="G575" s="340"/>
      <c r="H575" s="340"/>
      <c r="I575" s="340"/>
      <c r="J575" s="340"/>
      <c r="K575" s="12"/>
      <c r="L575" s="12"/>
      <c r="M575" s="12"/>
      <c r="N575" s="12"/>
      <c r="O575" s="12"/>
      <c r="P575" s="15"/>
      <c r="Q575" s="7"/>
      <c r="R575" s="7"/>
      <c r="S575" s="7"/>
      <c r="T575" s="8"/>
      <c r="U575" s="8"/>
    </row>
    <row r="576" spans="1:21" ht="12.75">
      <c r="A576" s="10"/>
      <c r="B576" s="344"/>
      <c r="C576" s="348"/>
      <c r="D576" s="352"/>
      <c r="E576" s="12"/>
      <c r="F576" s="376"/>
      <c r="G576" s="340"/>
      <c r="H576" s="340"/>
      <c r="I576" s="340"/>
      <c r="J576" s="340"/>
      <c r="K576" s="12"/>
      <c r="L576" s="12"/>
      <c r="M576" s="12"/>
      <c r="N576" s="12"/>
      <c r="O576" s="12"/>
      <c r="P576" s="15"/>
      <c r="Q576" s="7"/>
      <c r="R576" s="7"/>
      <c r="S576" s="7"/>
      <c r="T576" s="8"/>
      <c r="U576" s="8"/>
    </row>
    <row r="577" spans="1:21" ht="12.75">
      <c r="A577" s="10"/>
      <c r="B577" s="344"/>
      <c r="C577" s="348"/>
      <c r="D577" s="352"/>
      <c r="E577" s="12"/>
      <c r="F577" s="376"/>
      <c r="G577" s="340"/>
      <c r="H577" s="340"/>
      <c r="I577" s="340"/>
      <c r="J577" s="340"/>
      <c r="K577" s="12"/>
      <c r="L577" s="12"/>
      <c r="M577" s="12"/>
      <c r="N577" s="12"/>
      <c r="O577" s="12"/>
      <c r="P577" s="15"/>
      <c r="Q577" s="7"/>
      <c r="R577" s="7"/>
      <c r="S577" s="7"/>
      <c r="T577" s="8"/>
      <c r="U577" s="8"/>
    </row>
    <row r="578" spans="1:21" ht="12.75">
      <c r="A578" s="10"/>
      <c r="B578" s="344"/>
      <c r="C578" s="348"/>
      <c r="D578" s="352"/>
      <c r="E578" s="12"/>
      <c r="F578" s="376"/>
      <c r="G578" s="340"/>
      <c r="H578" s="340"/>
      <c r="I578" s="340"/>
      <c r="J578" s="340"/>
      <c r="K578" s="12"/>
      <c r="L578" s="12"/>
      <c r="M578" s="12"/>
      <c r="N578" s="12"/>
      <c r="O578" s="12"/>
      <c r="P578" s="15"/>
      <c r="Q578" s="7"/>
      <c r="R578" s="7"/>
      <c r="S578" s="7"/>
      <c r="T578" s="8"/>
      <c r="U578" s="8"/>
    </row>
    <row r="579" spans="1:21" ht="12.75">
      <c r="A579" s="10"/>
      <c r="B579" s="344"/>
      <c r="C579" s="348"/>
      <c r="D579" s="352"/>
      <c r="E579" s="12"/>
      <c r="F579" s="376"/>
      <c r="G579" s="340"/>
      <c r="H579" s="340"/>
      <c r="I579" s="340"/>
      <c r="J579" s="340"/>
      <c r="K579" s="12"/>
      <c r="L579" s="12"/>
      <c r="M579" s="12"/>
      <c r="N579" s="12"/>
      <c r="O579" s="12"/>
      <c r="P579" s="15"/>
      <c r="Q579" s="7"/>
      <c r="R579" s="7"/>
      <c r="S579" s="7"/>
      <c r="T579" s="8"/>
      <c r="U579" s="8"/>
    </row>
    <row r="580" spans="1:21" ht="12.75">
      <c r="A580" s="10"/>
      <c r="B580" s="344"/>
      <c r="C580" s="348"/>
      <c r="D580" s="352"/>
      <c r="E580" s="12"/>
      <c r="F580" s="376"/>
      <c r="G580" s="340"/>
      <c r="H580" s="340"/>
      <c r="I580" s="340"/>
      <c r="J580" s="340"/>
      <c r="K580" s="12"/>
      <c r="L580" s="12"/>
      <c r="M580" s="12"/>
      <c r="N580" s="12"/>
      <c r="O580" s="12"/>
      <c r="P580" s="15"/>
      <c r="Q580" s="7"/>
      <c r="R580" s="7"/>
      <c r="S580" s="7"/>
      <c r="T580" s="8"/>
      <c r="U580" s="8"/>
    </row>
    <row r="581" spans="1:21" ht="12.75">
      <c r="A581" s="10"/>
      <c r="B581" s="344"/>
      <c r="C581" s="348"/>
      <c r="D581" s="352"/>
      <c r="E581" s="12"/>
      <c r="F581" s="376"/>
      <c r="G581" s="340"/>
      <c r="H581" s="340"/>
      <c r="I581" s="340"/>
      <c r="J581" s="340"/>
      <c r="K581" s="12"/>
      <c r="L581" s="12"/>
      <c r="M581" s="12"/>
      <c r="N581" s="12"/>
      <c r="O581" s="12"/>
      <c r="P581" s="15"/>
      <c r="Q581" s="7"/>
      <c r="R581" s="7"/>
      <c r="S581" s="7"/>
      <c r="T581" s="8"/>
      <c r="U581" s="8"/>
    </row>
    <row r="582" spans="1:21" ht="12.75">
      <c r="A582" s="10"/>
      <c r="B582" s="344"/>
      <c r="C582" s="348"/>
      <c r="D582" s="352"/>
      <c r="E582" s="12"/>
      <c r="F582" s="376"/>
      <c r="G582" s="340"/>
      <c r="H582" s="340"/>
      <c r="I582" s="340"/>
      <c r="J582" s="340"/>
      <c r="K582" s="12"/>
      <c r="L582" s="12"/>
      <c r="M582" s="12"/>
      <c r="N582" s="12"/>
      <c r="O582" s="12"/>
      <c r="P582" s="15"/>
      <c r="Q582" s="7"/>
      <c r="R582" s="7"/>
      <c r="S582" s="7"/>
      <c r="T582" s="8"/>
      <c r="U582" s="8"/>
    </row>
    <row r="583" spans="1:21" ht="12.75">
      <c r="A583" s="10"/>
      <c r="B583" s="344"/>
      <c r="C583" s="348"/>
      <c r="D583" s="352"/>
      <c r="E583" s="12"/>
      <c r="F583" s="376"/>
      <c r="G583" s="340"/>
      <c r="H583" s="340"/>
      <c r="I583" s="340"/>
      <c r="J583" s="340"/>
      <c r="K583" s="12"/>
      <c r="L583" s="12"/>
      <c r="M583" s="12"/>
      <c r="N583" s="12"/>
      <c r="O583" s="12"/>
      <c r="P583" s="15"/>
      <c r="Q583" s="7"/>
      <c r="R583" s="7"/>
      <c r="S583" s="7"/>
      <c r="T583" s="8"/>
      <c r="U583" s="8"/>
    </row>
    <row r="584" spans="1:21" ht="12.75">
      <c r="A584" s="10"/>
      <c r="B584" s="344"/>
      <c r="C584" s="348"/>
      <c r="D584" s="352"/>
      <c r="E584" s="12"/>
      <c r="F584" s="376"/>
      <c r="G584" s="340"/>
      <c r="H584" s="340"/>
      <c r="I584" s="340"/>
      <c r="J584" s="340"/>
      <c r="K584" s="12"/>
      <c r="L584" s="12"/>
      <c r="M584" s="12"/>
      <c r="N584" s="12"/>
      <c r="O584" s="12"/>
      <c r="P584" s="15"/>
      <c r="Q584" s="7"/>
      <c r="R584" s="7"/>
      <c r="S584" s="7"/>
      <c r="T584" s="8"/>
      <c r="U584" s="8"/>
    </row>
    <row r="585" spans="1:21" ht="12.75">
      <c r="A585" s="10"/>
      <c r="B585" s="344"/>
      <c r="C585" s="348"/>
      <c r="D585" s="352"/>
      <c r="E585" s="12"/>
      <c r="F585" s="376"/>
      <c r="G585" s="340"/>
      <c r="H585" s="340"/>
      <c r="I585" s="340"/>
      <c r="J585" s="340"/>
      <c r="K585" s="12"/>
      <c r="L585" s="12"/>
      <c r="M585" s="12"/>
      <c r="N585" s="12"/>
      <c r="O585" s="12"/>
      <c r="P585" s="15"/>
      <c r="Q585" s="7"/>
      <c r="R585" s="7"/>
      <c r="S585" s="7"/>
      <c r="T585" s="8"/>
      <c r="U585" s="8"/>
    </row>
    <row r="586" spans="1:21" ht="12.75">
      <c r="A586" s="10"/>
      <c r="B586" s="344"/>
      <c r="C586" s="348"/>
      <c r="D586" s="352"/>
      <c r="E586" s="12"/>
      <c r="F586" s="376"/>
      <c r="G586" s="340"/>
      <c r="H586" s="340"/>
      <c r="I586" s="340"/>
      <c r="J586" s="340"/>
      <c r="K586" s="12"/>
      <c r="L586" s="12"/>
      <c r="M586" s="12"/>
      <c r="N586" s="12"/>
      <c r="O586" s="12"/>
      <c r="P586" s="15"/>
      <c r="Q586" s="7"/>
      <c r="R586" s="7"/>
      <c r="S586" s="7"/>
      <c r="T586" s="8"/>
      <c r="U586" s="8"/>
    </row>
    <row r="587" spans="1:21" ht="12.75">
      <c r="A587" s="10"/>
      <c r="B587" s="344"/>
      <c r="C587" s="348"/>
      <c r="D587" s="352"/>
      <c r="E587" s="12"/>
      <c r="F587" s="376"/>
      <c r="G587" s="340"/>
      <c r="H587" s="340"/>
      <c r="I587" s="340"/>
      <c r="J587" s="340"/>
      <c r="K587" s="12"/>
      <c r="L587" s="12"/>
      <c r="M587" s="12"/>
      <c r="N587" s="12"/>
      <c r="O587" s="12"/>
      <c r="P587" s="15"/>
      <c r="Q587" s="7"/>
      <c r="R587" s="7"/>
      <c r="S587" s="7"/>
      <c r="T587" s="8"/>
      <c r="U587" s="8"/>
    </row>
    <row r="588" spans="1:21" ht="12.75">
      <c r="A588" s="10"/>
      <c r="B588" s="344"/>
      <c r="C588" s="348"/>
      <c r="D588" s="352"/>
      <c r="E588" s="12"/>
      <c r="F588" s="376"/>
      <c r="G588" s="340"/>
      <c r="H588" s="340"/>
      <c r="I588" s="340"/>
      <c r="J588" s="340"/>
      <c r="K588" s="12"/>
      <c r="L588" s="12"/>
      <c r="M588" s="12"/>
      <c r="N588" s="12"/>
      <c r="O588" s="12"/>
      <c r="P588" s="15"/>
      <c r="Q588" s="7"/>
      <c r="R588" s="7"/>
      <c r="S588" s="7"/>
      <c r="T588" s="8"/>
      <c r="U588" s="8"/>
    </row>
    <row r="589" spans="1:21" ht="12.75">
      <c r="A589" s="10"/>
      <c r="B589" s="344"/>
      <c r="C589" s="348"/>
      <c r="D589" s="352"/>
      <c r="E589" s="12"/>
      <c r="F589" s="376"/>
      <c r="G589" s="340"/>
      <c r="H589" s="340"/>
      <c r="I589" s="340"/>
      <c r="J589" s="340"/>
      <c r="K589" s="12"/>
      <c r="L589" s="12"/>
      <c r="M589" s="12"/>
      <c r="N589" s="12"/>
      <c r="O589" s="12"/>
      <c r="P589" s="15"/>
      <c r="Q589" s="7"/>
      <c r="R589" s="7"/>
      <c r="S589" s="7"/>
      <c r="T589" s="8"/>
      <c r="U589" s="8"/>
    </row>
    <row r="590" spans="1:21" ht="12.75">
      <c r="A590" s="10"/>
      <c r="B590" s="344"/>
      <c r="C590" s="348"/>
      <c r="D590" s="352"/>
      <c r="E590" s="12"/>
      <c r="F590" s="376"/>
      <c r="G590" s="340"/>
      <c r="H590" s="340"/>
      <c r="I590" s="340"/>
      <c r="J590" s="340"/>
      <c r="K590" s="12"/>
      <c r="L590" s="12"/>
      <c r="M590" s="12"/>
      <c r="N590" s="12"/>
      <c r="O590" s="12"/>
      <c r="P590" s="15"/>
      <c r="Q590" s="7"/>
      <c r="R590" s="7"/>
      <c r="S590" s="7"/>
      <c r="T590" s="8"/>
      <c r="U590" s="8"/>
    </row>
    <row r="591" spans="1:21" ht="12.75">
      <c r="A591" s="10"/>
      <c r="B591" s="344"/>
      <c r="C591" s="348"/>
      <c r="D591" s="352"/>
      <c r="E591" s="12"/>
      <c r="F591" s="376"/>
      <c r="G591" s="340"/>
      <c r="H591" s="340"/>
      <c r="I591" s="340"/>
      <c r="J591" s="340"/>
      <c r="K591" s="12"/>
      <c r="L591" s="12"/>
      <c r="M591" s="12"/>
      <c r="N591" s="12"/>
      <c r="O591" s="12"/>
      <c r="P591" s="15"/>
      <c r="Q591" s="7"/>
      <c r="R591" s="7"/>
      <c r="S591" s="7"/>
      <c r="T591" s="8"/>
      <c r="U591" s="8"/>
    </row>
    <row r="592" spans="1:21" ht="12.75">
      <c r="A592" s="10"/>
      <c r="B592" s="344"/>
      <c r="C592" s="348"/>
      <c r="D592" s="352"/>
      <c r="E592" s="12"/>
      <c r="F592" s="376"/>
      <c r="G592" s="340"/>
      <c r="H592" s="340"/>
      <c r="I592" s="340"/>
      <c r="J592" s="340"/>
      <c r="K592" s="12"/>
      <c r="L592" s="12"/>
      <c r="M592" s="12"/>
      <c r="N592" s="12"/>
      <c r="O592" s="12"/>
      <c r="P592" s="15"/>
      <c r="Q592" s="7"/>
      <c r="R592" s="7"/>
      <c r="S592" s="7"/>
      <c r="T592" s="8"/>
      <c r="U592" s="8"/>
    </row>
    <row r="593" spans="1:21" ht="12.75">
      <c r="A593" s="10"/>
      <c r="B593" s="344"/>
      <c r="C593" s="348"/>
      <c r="D593" s="352"/>
      <c r="E593" s="12"/>
      <c r="F593" s="376"/>
      <c r="G593" s="340"/>
      <c r="H593" s="340"/>
      <c r="I593" s="340"/>
      <c r="J593" s="340"/>
      <c r="K593" s="12"/>
      <c r="L593" s="12"/>
      <c r="M593" s="12"/>
      <c r="N593" s="12"/>
      <c r="O593" s="12"/>
      <c r="P593" s="15"/>
      <c r="Q593" s="7"/>
      <c r="R593" s="7"/>
      <c r="S593" s="7"/>
      <c r="T593" s="8"/>
      <c r="U593" s="8"/>
    </row>
    <row r="594" spans="1:21" ht="12.75">
      <c r="A594" s="10"/>
      <c r="B594" s="344"/>
      <c r="C594" s="348"/>
      <c r="D594" s="352"/>
      <c r="E594" s="12"/>
      <c r="F594" s="376"/>
      <c r="G594" s="340"/>
      <c r="H594" s="340"/>
      <c r="I594" s="340"/>
      <c r="J594" s="340"/>
      <c r="K594" s="12"/>
      <c r="L594" s="12"/>
      <c r="M594" s="12"/>
      <c r="N594" s="12"/>
      <c r="O594" s="12"/>
      <c r="P594" s="15"/>
      <c r="Q594" s="7"/>
      <c r="R594" s="7"/>
      <c r="S594" s="7"/>
      <c r="T594" s="8"/>
      <c r="U594" s="8"/>
    </row>
    <row r="595" spans="1:21" ht="12.75">
      <c r="A595" s="10"/>
      <c r="B595" s="344"/>
      <c r="C595" s="348"/>
      <c r="D595" s="352"/>
      <c r="E595" s="12"/>
      <c r="F595" s="376"/>
      <c r="G595" s="340"/>
      <c r="H595" s="340"/>
      <c r="I595" s="340"/>
      <c r="J595" s="340"/>
      <c r="K595" s="12"/>
      <c r="L595" s="12"/>
      <c r="M595" s="12"/>
      <c r="N595" s="12"/>
      <c r="O595" s="12"/>
      <c r="P595" s="15"/>
      <c r="Q595" s="7"/>
      <c r="R595" s="7"/>
      <c r="S595" s="7"/>
      <c r="T595" s="8"/>
      <c r="U595" s="8"/>
    </row>
    <row r="596" spans="1:21" ht="12.75">
      <c r="A596" s="10"/>
      <c r="B596" s="344"/>
      <c r="C596" s="348"/>
      <c r="D596" s="352"/>
      <c r="E596" s="12"/>
      <c r="F596" s="376"/>
      <c r="G596" s="340"/>
      <c r="H596" s="340"/>
      <c r="I596" s="340"/>
      <c r="J596" s="340"/>
      <c r="K596" s="12"/>
      <c r="L596" s="12"/>
      <c r="M596" s="12"/>
      <c r="N596" s="12"/>
      <c r="O596" s="12"/>
      <c r="P596" s="15"/>
      <c r="Q596" s="7"/>
      <c r="R596" s="7"/>
      <c r="S596" s="7"/>
      <c r="T596" s="8"/>
      <c r="U596" s="8"/>
    </row>
    <row r="597" spans="1:21" ht="12.75">
      <c r="A597" s="10"/>
      <c r="B597" s="344"/>
      <c r="C597" s="348"/>
      <c r="D597" s="352"/>
      <c r="E597" s="12"/>
      <c r="F597" s="376"/>
      <c r="G597" s="340"/>
      <c r="H597" s="340"/>
      <c r="I597" s="340"/>
      <c r="J597" s="340"/>
      <c r="K597" s="12"/>
      <c r="L597" s="12"/>
      <c r="M597" s="12"/>
      <c r="N597" s="12"/>
      <c r="O597" s="12"/>
      <c r="P597" s="15"/>
      <c r="Q597" s="7"/>
      <c r="R597" s="7"/>
      <c r="S597" s="7"/>
      <c r="T597" s="8"/>
      <c r="U597" s="8"/>
    </row>
    <row r="598" spans="1:21" ht="12.75">
      <c r="A598" s="10"/>
      <c r="B598" s="344"/>
      <c r="C598" s="348"/>
      <c r="D598" s="352"/>
      <c r="E598" s="12"/>
      <c r="F598" s="376"/>
      <c r="G598" s="340"/>
      <c r="H598" s="340"/>
      <c r="I598" s="340"/>
      <c r="J598" s="340"/>
      <c r="K598" s="12"/>
      <c r="L598" s="12"/>
      <c r="M598" s="12"/>
      <c r="N598" s="12"/>
      <c r="O598" s="12"/>
      <c r="P598" s="15"/>
      <c r="Q598" s="7"/>
      <c r="R598" s="7"/>
      <c r="S598" s="7"/>
      <c r="T598" s="8"/>
      <c r="U598" s="8"/>
    </row>
    <row r="599" spans="1:21" ht="12.75">
      <c r="A599" s="10"/>
      <c r="B599" s="344"/>
      <c r="C599" s="348"/>
      <c r="D599" s="352"/>
      <c r="E599" s="12"/>
      <c r="F599" s="376"/>
      <c r="G599" s="340"/>
      <c r="H599" s="340"/>
      <c r="I599" s="340"/>
      <c r="J599" s="340"/>
      <c r="K599" s="12"/>
      <c r="L599" s="12"/>
      <c r="M599" s="12"/>
      <c r="N599" s="12"/>
      <c r="O599" s="12"/>
      <c r="P599" s="15"/>
      <c r="Q599" s="7"/>
      <c r="R599" s="7"/>
      <c r="S599" s="7"/>
      <c r="T599" s="8"/>
      <c r="U599" s="8"/>
    </row>
    <row r="600" spans="1:21" ht="12.75">
      <c r="A600" s="10"/>
      <c r="B600" s="344"/>
      <c r="C600" s="348"/>
      <c r="D600" s="352"/>
      <c r="E600" s="12"/>
      <c r="F600" s="376"/>
      <c r="G600" s="340"/>
      <c r="H600" s="340"/>
      <c r="I600" s="340"/>
      <c r="J600" s="340"/>
      <c r="K600" s="12"/>
      <c r="L600" s="12"/>
      <c r="M600" s="12"/>
      <c r="N600" s="12"/>
      <c r="O600" s="12"/>
      <c r="P600" s="15"/>
      <c r="Q600" s="7"/>
      <c r="R600" s="7"/>
      <c r="S600" s="7"/>
      <c r="T600" s="8"/>
      <c r="U600" s="8"/>
    </row>
    <row r="601" spans="1:21" ht="12.75">
      <c r="A601" s="10"/>
      <c r="B601" s="344"/>
      <c r="C601" s="348"/>
      <c r="D601" s="352"/>
      <c r="E601" s="12"/>
      <c r="F601" s="376"/>
      <c r="G601" s="340"/>
      <c r="H601" s="340"/>
      <c r="I601" s="340"/>
      <c r="J601" s="340"/>
      <c r="K601" s="12"/>
      <c r="L601" s="12"/>
      <c r="M601" s="12"/>
      <c r="N601" s="12"/>
      <c r="O601" s="12"/>
      <c r="P601" s="15"/>
      <c r="Q601" s="7"/>
      <c r="R601" s="7"/>
      <c r="S601" s="7"/>
      <c r="T601" s="8"/>
      <c r="U601" s="8"/>
    </row>
    <row r="602" spans="1:21" ht="12.75">
      <c r="A602" s="10"/>
      <c r="B602" s="344"/>
      <c r="C602" s="348"/>
      <c r="D602" s="352"/>
      <c r="E602" s="12"/>
      <c r="F602" s="376"/>
      <c r="G602" s="340"/>
      <c r="H602" s="340"/>
      <c r="I602" s="340"/>
      <c r="J602" s="340"/>
      <c r="K602" s="12"/>
      <c r="L602" s="12"/>
      <c r="M602" s="12"/>
      <c r="N602" s="12"/>
      <c r="O602" s="12"/>
      <c r="P602" s="15"/>
      <c r="Q602" s="7"/>
      <c r="R602" s="7"/>
      <c r="S602" s="7"/>
      <c r="T602" s="8"/>
      <c r="U602" s="8"/>
    </row>
    <row r="603" spans="1:21" ht="12.75">
      <c r="A603" s="10"/>
      <c r="B603" s="344"/>
      <c r="C603" s="348"/>
      <c r="D603" s="352"/>
      <c r="E603" s="12"/>
      <c r="F603" s="376"/>
      <c r="G603" s="340"/>
      <c r="H603" s="340"/>
      <c r="I603" s="340"/>
      <c r="J603" s="340"/>
      <c r="K603" s="12"/>
      <c r="L603" s="12"/>
      <c r="M603" s="12"/>
      <c r="N603" s="12"/>
      <c r="O603" s="12"/>
      <c r="P603" s="15"/>
      <c r="Q603" s="7"/>
      <c r="R603" s="7"/>
      <c r="S603" s="7"/>
      <c r="T603" s="8"/>
      <c r="U603" s="8"/>
    </row>
    <row r="604" spans="1:21" ht="12.75">
      <c r="A604" s="10"/>
      <c r="B604" s="344"/>
      <c r="C604" s="348"/>
      <c r="D604" s="352"/>
      <c r="E604" s="12"/>
      <c r="F604" s="376"/>
      <c r="G604" s="340"/>
      <c r="H604" s="340"/>
      <c r="I604" s="340"/>
      <c r="J604" s="340"/>
      <c r="K604" s="12"/>
      <c r="L604" s="12"/>
      <c r="M604" s="12"/>
      <c r="N604" s="12"/>
      <c r="O604" s="12"/>
      <c r="P604" s="15"/>
      <c r="Q604" s="7"/>
      <c r="R604" s="7"/>
      <c r="S604" s="7"/>
      <c r="T604" s="8"/>
      <c r="U604" s="8"/>
    </row>
    <row r="605" spans="1:21" ht="12.75">
      <c r="A605" s="10"/>
      <c r="B605" s="344"/>
      <c r="C605" s="348"/>
      <c r="D605" s="352"/>
      <c r="E605" s="12"/>
      <c r="F605" s="376"/>
      <c r="G605" s="340"/>
      <c r="H605" s="340"/>
      <c r="I605" s="340"/>
      <c r="J605" s="340"/>
      <c r="K605" s="12"/>
      <c r="L605" s="12"/>
      <c r="M605" s="12"/>
      <c r="N605" s="12"/>
      <c r="O605" s="12"/>
      <c r="P605" s="15"/>
      <c r="Q605" s="7"/>
      <c r="R605" s="7"/>
      <c r="S605" s="7"/>
      <c r="T605" s="8"/>
      <c r="U605" s="8"/>
    </row>
    <row r="606" spans="1:21" ht="12.75">
      <c r="A606" s="10"/>
      <c r="B606" s="344"/>
      <c r="C606" s="348"/>
      <c r="D606" s="352"/>
      <c r="E606" s="12"/>
      <c r="F606" s="376"/>
      <c r="G606" s="340"/>
      <c r="H606" s="340"/>
      <c r="I606" s="340"/>
      <c r="J606" s="340"/>
      <c r="K606" s="12"/>
      <c r="L606" s="12"/>
      <c r="M606" s="12"/>
      <c r="N606" s="12"/>
      <c r="O606" s="12"/>
      <c r="P606" s="15"/>
      <c r="Q606" s="7"/>
      <c r="R606" s="7"/>
      <c r="S606" s="7"/>
      <c r="T606" s="8"/>
      <c r="U606" s="8"/>
    </row>
    <row r="607" spans="1:21" ht="12.75">
      <c r="A607" s="10"/>
      <c r="B607" s="344"/>
      <c r="C607" s="348"/>
      <c r="D607" s="352"/>
      <c r="E607" s="12"/>
      <c r="F607" s="376"/>
      <c r="G607" s="340"/>
      <c r="H607" s="340"/>
      <c r="I607" s="340"/>
      <c r="J607" s="340"/>
      <c r="K607" s="12"/>
      <c r="L607" s="12"/>
      <c r="M607" s="12"/>
      <c r="N607" s="12"/>
      <c r="O607" s="12"/>
      <c r="P607" s="15"/>
      <c r="Q607" s="7"/>
      <c r="R607" s="7"/>
      <c r="S607" s="7"/>
      <c r="T607" s="8"/>
      <c r="U607" s="8"/>
    </row>
    <row r="608" spans="1:21" ht="12.75">
      <c r="A608" s="10"/>
      <c r="B608" s="344"/>
      <c r="C608" s="348"/>
      <c r="D608" s="352"/>
      <c r="E608" s="12"/>
      <c r="F608" s="376"/>
      <c r="G608" s="340"/>
      <c r="H608" s="340"/>
      <c r="I608" s="340"/>
      <c r="J608" s="340"/>
      <c r="K608" s="12"/>
      <c r="L608" s="12"/>
      <c r="M608" s="12"/>
      <c r="N608" s="12"/>
      <c r="O608" s="12"/>
      <c r="P608" s="15"/>
      <c r="Q608" s="7"/>
      <c r="R608" s="7"/>
      <c r="S608" s="7"/>
      <c r="T608" s="8"/>
      <c r="U608" s="8"/>
    </row>
    <row r="609" spans="1:21" ht="12.75">
      <c r="A609" s="10"/>
      <c r="B609" s="344"/>
      <c r="C609" s="348"/>
      <c r="D609" s="352"/>
      <c r="E609" s="12"/>
      <c r="F609" s="376"/>
      <c r="G609" s="340"/>
      <c r="H609" s="340"/>
      <c r="I609" s="340"/>
      <c r="J609" s="340"/>
      <c r="K609" s="12"/>
      <c r="L609" s="12"/>
      <c r="M609" s="12"/>
      <c r="N609" s="12"/>
      <c r="O609" s="12"/>
      <c r="P609" s="15"/>
      <c r="Q609" s="7"/>
      <c r="R609" s="7"/>
      <c r="S609" s="7"/>
      <c r="T609" s="8"/>
      <c r="U609" s="8"/>
    </row>
    <row r="610" spans="1:21" ht="12.75">
      <c r="A610" s="10"/>
      <c r="B610" s="344"/>
      <c r="C610" s="348"/>
      <c r="D610" s="352"/>
      <c r="E610" s="12"/>
      <c r="F610" s="376"/>
      <c r="G610" s="340"/>
      <c r="H610" s="340"/>
      <c r="I610" s="340"/>
      <c r="J610" s="340"/>
      <c r="K610" s="12"/>
      <c r="L610" s="12"/>
      <c r="M610" s="12"/>
      <c r="N610" s="12"/>
      <c r="O610" s="12"/>
      <c r="P610" s="15"/>
      <c r="Q610" s="7"/>
      <c r="R610" s="7"/>
      <c r="S610" s="7"/>
      <c r="T610" s="8"/>
      <c r="U610" s="8"/>
    </row>
    <row r="611" spans="1:21" ht="12.75">
      <c r="A611" s="10"/>
      <c r="B611" s="344"/>
      <c r="C611" s="348"/>
      <c r="D611" s="352"/>
      <c r="E611" s="12"/>
      <c r="F611" s="376"/>
      <c r="G611" s="340"/>
      <c r="H611" s="340"/>
      <c r="I611" s="340"/>
      <c r="J611" s="340"/>
      <c r="K611" s="12"/>
      <c r="L611" s="12"/>
      <c r="M611" s="12"/>
      <c r="N611" s="12"/>
      <c r="O611" s="12"/>
      <c r="P611" s="15"/>
      <c r="Q611" s="7"/>
      <c r="R611" s="7"/>
      <c r="S611" s="7"/>
      <c r="T611" s="8"/>
      <c r="U611" s="8"/>
    </row>
    <row r="612" spans="1:21" ht="12.75">
      <c r="A612" s="10"/>
      <c r="B612" s="344"/>
      <c r="C612" s="348"/>
      <c r="D612" s="352"/>
      <c r="E612" s="12"/>
      <c r="F612" s="376"/>
      <c r="G612" s="340"/>
      <c r="H612" s="340"/>
      <c r="I612" s="340"/>
      <c r="J612" s="340"/>
      <c r="K612" s="12"/>
      <c r="L612" s="12"/>
      <c r="M612" s="12"/>
      <c r="N612" s="12"/>
      <c r="O612" s="12"/>
      <c r="P612" s="15"/>
      <c r="Q612" s="7"/>
      <c r="R612" s="7"/>
      <c r="S612" s="7"/>
      <c r="T612" s="8"/>
      <c r="U612" s="8"/>
    </row>
    <row r="613" spans="1:21" ht="12.75">
      <c r="A613" s="10"/>
      <c r="B613" s="344"/>
      <c r="C613" s="348"/>
      <c r="D613" s="352"/>
      <c r="E613" s="12"/>
      <c r="F613" s="376"/>
      <c r="G613" s="340"/>
      <c r="H613" s="340"/>
      <c r="I613" s="340"/>
      <c r="J613" s="340"/>
      <c r="K613" s="12"/>
      <c r="L613" s="12"/>
      <c r="M613" s="12"/>
      <c r="N613" s="12"/>
      <c r="O613" s="12"/>
      <c r="P613" s="15"/>
      <c r="Q613" s="7"/>
      <c r="R613" s="7"/>
      <c r="S613" s="7"/>
      <c r="T613" s="8"/>
      <c r="U613" s="8"/>
    </row>
    <row r="614" spans="1:21" ht="12.75">
      <c r="A614" s="10"/>
      <c r="B614" s="344"/>
      <c r="C614" s="348"/>
      <c r="D614" s="352"/>
      <c r="E614" s="12"/>
      <c r="F614" s="376"/>
      <c r="G614" s="340"/>
      <c r="H614" s="340"/>
      <c r="I614" s="340"/>
      <c r="J614" s="340"/>
      <c r="K614" s="12"/>
      <c r="L614" s="12"/>
      <c r="M614" s="12"/>
      <c r="N614" s="12"/>
      <c r="O614" s="12"/>
      <c r="P614" s="15"/>
      <c r="Q614" s="7"/>
      <c r="R614" s="7"/>
      <c r="S614" s="7"/>
      <c r="T614" s="8"/>
      <c r="U614" s="8"/>
    </row>
    <row r="615" spans="1:21" ht="12.75">
      <c r="A615" s="10"/>
      <c r="B615" s="344"/>
      <c r="C615" s="348"/>
      <c r="D615" s="352"/>
      <c r="E615" s="12"/>
      <c r="F615" s="376"/>
      <c r="G615" s="340"/>
      <c r="H615" s="340"/>
      <c r="I615" s="340"/>
      <c r="J615" s="340"/>
      <c r="K615" s="12"/>
      <c r="L615" s="12"/>
      <c r="M615" s="12"/>
      <c r="N615" s="12"/>
      <c r="O615" s="12"/>
      <c r="P615" s="15"/>
      <c r="Q615" s="7"/>
      <c r="R615" s="7"/>
      <c r="S615" s="7"/>
      <c r="T615" s="8"/>
      <c r="U615" s="8"/>
    </row>
    <row r="616" spans="1:21" ht="12.75">
      <c r="A616" s="10"/>
      <c r="B616" s="344"/>
      <c r="C616" s="348"/>
      <c r="D616" s="352"/>
      <c r="E616" s="12"/>
      <c r="F616" s="376"/>
      <c r="G616" s="340"/>
      <c r="H616" s="340"/>
      <c r="I616" s="340"/>
      <c r="J616" s="340"/>
      <c r="K616" s="12"/>
      <c r="L616" s="12"/>
      <c r="M616" s="12"/>
      <c r="N616" s="12"/>
      <c r="O616" s="12"/>
      <c r="P616" s="15"/>
      <c r="Q616" s="7"/>
      <c r="R616" s="7"/>
      <c r="S616" s="7"/>
      <c r="T616" s="8"/>
      <c r="U616" s="8"/>
    </row>
    <row r="617" spans="1:21" ht="12.75">
      <c r="A617" s="10"/>
      <c r="B617" s="344"/>
      <c r="C617" s="348"/>
      <c r="D617" s="352"/>
      <c r="E617" s="12"/>
      <c r="F617" s="376"/>
      <c r="G617" s="340"/>
      <c r="H617" s="340"/>
      <c r="I617" s="340"/>
      <c r="J617" s="340"/>
      <c r="K617" s="12"/>
      <c r="L617" s="12"/>
      <c r="M617" s="12"/>
      <c r="N617" s="12"/>
      <c r="O617" s="12"/>
      <c r="P617" s="15"/>
      <c r="Q617" s="7"/>
      <c r="R617" s="7"/>
      <c r="S617" s="7"/>
      <c r="T617" s="8"/>
      <c r="U617" s="8"/>
    </row>
    <row r="618" spans="1:21" ht="12.75">
      <c r="A618" s="10"/>
      <c r="B618" s="344"/>
      <c r="C618" s="348"/>
      <c r="D618" s="352"/>
      <c r="E618" s="12"/>
      <c r="F618" s="376"/>
      <c r="G618" s="340"/>
      <c r="H618" s="340"/>
      <c r="I618" s="340"/>
      <c r="J618" s="340"/>
      <c r="K618" s="12"/>
      <c r="L618" s="12"/>
      <c r="M618" s="12"/>
      <c r="N618" s="12"/>
      <c r="O618" s="12"/>
      <c r="P618" s="15"/>
      <c r="Q618" s="7"/>
      <c r="R618" s="7"/>
      <c r="S618" s="7"/>
      <c r="T618" s="8"/>
      <c r="U618" s="8"/>
    </row>
    <row r="619" spans="1:21" ht="12.75">
      <c r="A619" s="10"/>
      <c r="B619" s="344"/>
      <c r="C619" s="348"/>
      <c r="D619" s="352"/>
      <c r="E619" s="12"/>
      <c r="F619" s="376"/>
      <c r="G619" s="340"/>
      <c r="H619" s="340"/>
      <c r="I619" s="340"/>
      <c r="J619" s="340"/>
      <c r="K619" s="12"/>
      <c r="L619" s="12"/>
      <c r="M619" s="12"/>
      <c r="N619" s="12"/>
      <c r="O619" s="12"/>
      <c r="P619" s="15"/>
      <c r="Q619" s="7"/>
      <c r="R619" s="7"/>
      <c r="S619" s="7"/>
      <c r="T619" s="8"/>
      <c r="U619" s="8"/>
    </row>
    <row r="620" spans="1:21" ht="12.75">
      <c r="A620" s="10"/>
      <c r="B620" s="344"/>
      <c r="C620" s="348"/>
      <c r="D620" s="352"/>
      <c r="E620" s="12"/>
      <c r="F620" s="376"/>
      <c r="G620" s="340"/>
      <c r="H620" s="340"/>
      <c r="I620" s="340"/>
      <c r="J620" s="340"/>
      <c r="K620" s="12"/>
      <c r="L620" s="12"/>
      <c r="M620" s="12"/>
      <c r="N620" s="12"/>
      <c r="O620" s="12"/>
      <c r="P620" s="15"/>
      <c r="Q620" s="7"/>
      <c r="R620" s="7"/>
      <c r="S620" s="7"/>
      <c r="T620" s="8"/>
      <c r="U620" s="8"/>
    </row>
    <row r="621" spans="1:21" ht="12.75">
      <c r="A621" s="10"/>
      <c r="B621" s="344"/>
      <c r="C621" s="348"/>
      <c r="D621" s="352"/>
      <c r="E621" s="12"/>
      <c r="F621" s="376"/>
      <c r="G621" s="340"/>
      <c r="H621" s="340"/>
      <c r="I621" s="340"/>
      <c r="J621" s="340"/>
      <c r="K621" s="12"/>
      <c r="L621" s="12"/>
      <c r="M621" s="12"/>
      <c r="N621" s="12"/>
      <c r="O621" s="12"/>
      <c r="P621" s="15"/>
      <c r="Q621" s="7"/>
      <c r="R621" s="7"/>
      <c r="S621" s="7"/>
      <c r="T621" s="8"/>
      <c r="U621" s="8"/>
    </row>
    <row r="622" spans="1:21" ht="12.75">
      <c r="A622" s="10"/>
      <c r="B622" s="344"/>
      <c r="C622" s="348"/>
      <c r="D622" s="352"/>
      <c r="E622" s="12"/>
      <c r="F622" s="376"/>
      <c r="G622" s="340"/>
      <c r="H622" s="340"/>
      <c r="I622" s="340"/>
      <c r="J622" s="340"/>
      <c r="K622" s="12"/>
      <c r="L622" s="12"/>
      <c r="M622" s="12"/>
      <c r="N622" s="12"/>
      <c r="O622" s="12"/>
      <c r="P622" s="15"/>
      <c r="Q622" s="7"/>
      <c r="R622" s="7"/>
      <c r="S622" s="7"/>
      <c r="T622" s="8"/>
      <c r="U622" s="8"/>
    </row>
    <row r="623" spans="1:21" ht="12.75">
      <c r="A623" s="10"/>
      <c r="B623" s="344"/>
      <c r="C623" s="348"/>
      <c r="D623" s="352"/>
      <c r="E623" s="12"/>
      <c r="F623" s="376"/>
      <c r="G623" s="340"/>
      <c r="H623" s="340"/>
      <c r="I623" s="340"/>
      <c r="J623" s="340"/>
      <c r="K623" s="12"/>
      <c r="L623" s="12"/>
      <c r="M623" s="12"/>
      <c r="N623" s="12"/>
      <c r="O623" s="12"/>
      <c r="P623" s="15"/>
      <c r="Q623" s="7"/>
      <c r="R623" s="7"/>
      <c r="S623" s="7"/>
      <c r="T623" s="8"/>
      <c r="U623" s="8"/>
    </row>
    <row r="624" spans="1:21" ht="12.75">
      <c r="A624" s="10"/>
      <c r="B624" s="344"/>
      <c r="C624" s="348"/>
      <c r="D624" s="352"/>
      <c r="E624" s="12"/>
      <c r="F624" s="376"/>
      <c r="G624" s="340"/>
      <c r="H624" s="340"/>
      <c r="I624" s="340"/>
      <c r="J624" s="340"/>
      <c r="K624" s="12"/>
      <c r="L624" s="12"/>
      <c r="M624" s="12"/>
      <c r="N624" s="12"/>
      <c r="O624" s="12"/>
      <c r="P624" s="15"/>
      <c r="Q624" s="7"/>
      <c r="R624" s="7"/>
      <c r="S624" s="7"/>
      <c r="T624" s="8"/>
      <c r="U624" s="8"/>
    </row>
    <row r="625" spans="1:21" ht="12.75">
      <c r="A625" s="10"/>
      <c r="B625" s="344"/>
      <c r="C625" s="348"/>
      <c r="D625" s="352"/>
      <c r="E625" s="12"/>
      <c r="F625" s="376"/>
      <c r="G625" s="340"/>
      <c r="H625" s="340"/>
      <c r="I625" s="340"/>
      <c r="J625" s="340"/>
      <c r="K625" s="12"/>
      <c r="L625" s="12"/>
      <c r="M625" s="12"/>
      <c r="N625" s="12"/>
      <c r="O625" s="12"/>
      <c r="P625" s="15"/>
      <c r="Q625" s="7"/>
      <c r="R625" s="7"/>
      <c r="S625" s="7"/>
      <c r="T625" s="8"/>
      <c r="U625" s="8"/>
    </row>
    <row r="626" spans="1:21" ht="12.75">
      <c r="A626" s="10"/>
      <c r="B626" s="344"/>
      <c r="C626" s="348"/>
      <c r="D626" s="352"/>
      <c r="E626" s="12"/>
      <c r="F626" s="376"/>
      <c r="G626" s="340"/>
      <c r="H626" s="340"/>
      <c r="I626" s="340"/>
      <c r="J626" s="340"/>
      <c r="K626" s="12"/>
      <c r="L626" s="12"/>
      <c r="M626" s="12"/>
      <c r="N626" s="12"/>
      <c r="O626" s="12"/>
      <c r="P626" s="15"/>
      <c r="Q626" s="7"/>
      <c r="R626" s="7"/>
      <c r="S626" s="7"/>
      <c r="T626" s="8"/>
      <c r="U626" s="8"/>
    </row>
    <row r="627" spans="1:21" ht="12.75">
      <c r="A627" s="10"/>
      <c r="B627" s="344"/>
      <c r="C627" s="348"/>
      <c r="D627" s="352"/>
      <c r="E627" s="12"/>
      <c r="F627" s="376"/>
      <c r="G627" s="340"/>
      <c r="H627" s="340"/>
      <c r="I627" s="340"/>
      <c r="J627" s="340"/>
      <c r="K627" s="12"/>
      <c r="L627" s="12"/>
      <c r="M627" s="12"/>
      <c r="N627" s="12"/>
      <c r="O627" s="12"/>
      <c r="P627" s="15"/>
      <c r="Q627" s="7"/>
      <c r="R627" s="7"/>
      <c r="S627" s="7"/>
      <c r="T627" s="8"/>
      <c r="U627" s="8"/>
    </row>
    <row r="628" spans="1:21" ht="12.75">
      <c r="A628" s="10"/>
      <c r="B628" s="344"/>
      <c r="C628" s="348"/>
      <c r="D628" s="352"/>
      <c r="E628" s="12"/>
      <c r="F628" s="376"/>
      <c r="G628" s="340"/>
      <c r="H628" s="340"/>
      <c r="I628" s="340"/>
      <c r="J628" s="340"/>
      <c r="K628" s="12"/>
      <c r="L628" s="12"/>
      <c r="M628" s="12"/>
      <c r="N628" s="12"/>
      <c r="O628" s="12"/>
      <c r="P628" s="15"/>
      <c r="Q628" s="7"/>
      <c r="R628" s="7"/>
      <c r="S628" s="7"/>
      <c r="T628" s="8"/>
      <c r="U628" s="8"/>
    </row>
    <row r="629" spans="1:21" ht="12.75">
      <c r="A629" s="10"/>
      <c r="B629" s="344"/>
      <c r="C629" s="348"/>
      <c r="D629" s="352"/>
      <c r="E629" s="12"/>
      <c r="F629" s="376"/>
      <c r="G629" s="340"/>
      <c r="H629" s="340"/>
      <c r="I629" s="340"/>
      <c r="J629" s="340"/>
      <c r="K629" s="12"/>
      <c r="L629" s="12"/>
      <c r="M629" s="12"/>
      <c r="N629" s="12"/>
      <c r="O629" s="12"/>
      <c r="P629" s="15"/>
      <c r="Q629" s="7"/>
      <c r="R629" s="7"/>
      <c r="S629" s="7"/>
      <c r="T629" s="8"/>
      <c r="U629" s="8"/>
    </row>
    <row r="630" spans="1:21" ht="12.75">
      <c r="A630" s="10"/>
      <c r="B630" s="344"/>
      <c r="C630" s="348"/>
      <c r="D630" s="352"/>
      <c r="E630" s="12"/>
      <c r="F630" s="376"/>
      <c r="G630" s="340"/>
      <c r="H630" s="340"/>
      <c r="I630" s="340"/>
      <c r="J630" s="340"/>
      <c r="K630" s="12"/>
      <c r="L630" s="12"/>
      <c r="M630" s="12"/>
      <c r="N630" s="12"/>
      <c r="O630" s="12"/>
      <c r="P630" s="15"/>
      <c r="Q630" s="7"/>
      <c r="R630" s="7"/>
      <c r="S630" s="7"/>
      <c r="T630" s="8"/>
      <c r="U630" s="8"/>
    </row>
    <row r="631" spans="1:21" ht="12.75">
      <c r="A631" s="10"/>
      <c r="B631" s="344"/>
      <c r="C631" s="348"/>
      <c r="D631" s="352"/>
      <c r="E631" s="12"/>
      <c r="F631" s="376"/>
      <c r="G631" s="340"/>
      <c r="H631" s="340"/>
      <c r="I631" s="340"/>
      <c r="J631" s="340"/>
      <c r="K631" s="12"/>
      <c r="L631" s="12"/>
      <c r="M631" s="12"/>
      <c r="N631" s="12"/>
      <c r="O631" s="12"/>
      <c r="P631" s="15"/>
      <c r="Q631" s="7"/>
      <c r="R631" s="7"/>
      <c r="S631" s="7"/>
      <c r="T631" s="8"/>
      <c r="U631" s="8"/>
    </row>
    <row r="632" spans="1:21" ht="12.75">
      <c r="A632" s="10"/>
      <c r="B632" s="344"/>
      <c r="C632" s="348"/>
      <c r="D632" s="352"/>
      <c r="E632" s="12"/>
      <c r="F632" s="376"/>
      <c r="G632" s="340"/>
      <c r="H632" s="340"/>
      <c r="I632" s="340"/>
      <c r="J632" s="340"/>
      <c r="K632" s="12"/>
      <c r="L632" s="12"/>
      <c r="M632" s="12"/>
      <c r="N632" s="12"/>
      <c r="O632" s="12"/>
      <c r="P632" s="15"/>
      <c r="Q632" s="7"/>
      <c r="R632" s="7"/>
      <c r="S632" s="7"/>
      <c r="T632" s="8"/>
      <c r="U632" s="8"/>
    </row>
    <row r="633" spans="1:21" ht="12.75">
      <c r="A633" s="10"/>
      <c r="B633" s="344"/>
      <c r="C633" s="348"/>
      <c r="D633" s="352"/>
      <c r="E633" s="12"/>
      <c r="F633" s="376"/>
      <c r="G633" s="340"/>
      <c r="H633" s="340"/>
      <c r="I633" s="340"/>
      <c r="J633" s="340"/>
      <c r="K633" s="12"/>
      <c r="L633" s="12"/>
      <c r="M633" s="12"/>
      <c r="N633" s="12"/>
      <c r="O633" s="12"/>
      <c r="P633" s="15"/>
      <c r="Q633" s="7"/>
      <c r="R633" s="7"/>
      <c r="S633" s="7"/>
      <c r="T633" s="8"/>
      <c r="U633" s="8"/>
    </row>
    <row r="634" spans="1:21" ht="12.75">
      <c r="A634" s="10"/>
      <c r="B634" s="344"/>
      <c r="C634" s="348"/>
      <c r="D634" s="352"/>
      <c r="E634" s="12"/>
      <c r="F634" s="376"/>
      <c r="G634" s="340"/>
      <c r="H634" s="340"/>
      <c r="I634" s="340"/>
      <c r="J634" s="340"/>
      <c r="K634" s="12"/>
      <c r="L634" s="12"/>
      <c r="M634" s="12"/>
      <c r="N634" s="12"/>
      <c r="O634" s="12"/>
      <c r="P634" s="15"/>
      <c r="Q634" s="7"/>
      <c r="R634" s="7"/>
      <c r="S634" s="7"/>
      <c r="T634" s="8"/>
      <c r="U634" s="8"/>
    </row>
    <row r="635" spans="1:21" ht="12.75">
      <c r="A635" s="10"/>
      <c r="B635" s="344"/>
      <c r="C635" s="348"/>
      <c r="D635" s="352"/>
      <c r="E635" s="12"/>
      <c r="F635" s="376"/>
      <c r="G635" s="340"/>
      <c r="H635" s="340"/>
      <c r="I635" s="340"/>
      <c r="J635" s="340"/>
      <c r="K635" s="12"/>
      <c r="L635" s="12"/>
      <c r="M635" s="12"/>
      <c r="N635" s="12"/>
      <c r="O635" s="12"/>
      <c r="P635" s="15"/>
      <c r="Q635" s="7"/>
      <c r="R635" s="7"/>
      <c r="S635" s="7"/>
      <c r="T635" s="8"/>
      <c r="U635" s="8"/>
    </row>
    <row r="636" spans="1:21" ht="12.75">
      <c r="A636" s="10"/>
      <c r="B636" s="344"/>
      <c r="C636" s="348"/>
      <c r="D636" s="352"/>
      <c r="E636" s="12"/>
      <c r="F636" s="376"/>
      <c r="G636" s="340"/>
      <c r="H636" s="340"/>
      <c r="I636" s="340"/>
      <c r="J636" s="340"/>
      <c r="K636" s="12"/>
      <c r="L636" s="12"/>
      <c r="M636" s="12"/>
      <c r="N636" s="12"/>
      <c r="O636" s="12"/>
      <c r="P636" s="15"/>
      <c r="Q636" s="7"/>
      <c r="R636" s="7"/>
      <c r="S636" s="7"/>
      <c r="T636" s="8"/>
      <c r="U636" s="8"/>
    </row>
    <row r="637" spans="1:21" ht="12.75">
      <c r="A637" s="10"/>
      <c r="B637" s="344"/>
      <c r="C637" s="348"/>
      <c r="D637" s="352"/>
      <c r="E637" s="12"/>
      <c r="F637" s="376"/>
      <c r="G637" s="340"/>
      <c r="H637" s="340"/>
      <c r="I637" s="340"/>
      <c r="J637" s="340"/>
      <c r="K637" s="12"/>
      <c r="L637" s="12"/>
      <c r="M637" s="12"/>
      <c r="N637" s="12"/>
      <c r="O637" s="12"/>
      <c r="P637" s="15"/>
      <c r="Q637" s="7"/>
      <c r="R637" s="7"/>
      <c r="S637" s="7"/>
      <c r="T637" s="8"/>
      <c r="U637" s="8"/>
    </row>
    <row r="638" spans="1:21" ht="12.75">
      <c r="A638" s="10"/>
      <c r="B638" s="344"/>
      <c r="C638" s="348"/>
      <c r="D638" s="352"/>
      <c r="E638" s="12"/>
      <c r="F638" s="376"/>
      <c r="G638" s="340"/>
      <c r="H638" s="340"/>
      <c r="I638" s="340"/>
      <c r="J638" s="340"/>
      <c r="K638" s="12"/>
      <c r="L638" s="12"/>
      <c r="M638" s="12"/>
      <c r="N638" s="12"/>
      <c r="O638" s="12"/>
      <c r="P638" s="15"/>
      <c r="Q638" s="7"/>
      <c r="R638" s="7"/>
      <c r="S638" s="7"/>
      <c r="T638" s="8"/>
      <c r="U638" s="8"/>
    </row>
    <row r="639" spans="1:21" ht="12.75">
      <c r="A639" s="10"/>
      <c r="B639" s="344"/>
      <c r="C639" s="348"/>
      <c r="D639" s="352"/>
      <c r="E639" s="12"/>
      <c r="F639" s="376"/>
      <c r="G639" s="340"/>
      <c r="H639" s="340"/>
      <c r="I639" s="340"/>
      <c r="J639" s="340"/>
      <c r="K639" s="12"/>
      <c r="L639" s="12"/>
      <c r="M639" s="12"/>
      <c r="N639" s="12"/>
      <c r="O639" s="12"/>
      <c r="P639" s="15"/>
      <c r="Q639" s="7"/>
      <c r="R639" s="7"/>
      <c r="S639" s="7"/>
      <c r="T639" s="8"/>
      <c r="U639" s="8"/>
    </row>
    <row r="640" spans="1:21" ht="12.75">
      <c r="A640" s="10"/>
      <c r="B640" s="344"/>
      <c r="C640" s="348"/>
      <c r="D640" s="352"/>
      <c r="E640" s="12"/>
      <c r="F640" s="376"/>
      <c r="G640" s="340"/>
      <c r="H640" s="340"/>
      <c r="I640" s="340"/>
      <c r="J640" s="340"/>
      <c r="K640" s="12"/>
      <c r="L640" s="12"/>
      <c r="M640" s="12"/>
      <c r="N640" s="12"/>
      <c r="O640" s="12"/>
      <c r="P640" s="15"/>
      <c r="Q640" s="7"/>
      <c r="R640" s="7"/>
      <c r="S640" s="7"/>
      <c r="T640" s="8"/>
      <c r="U640" s="8"/>
    </row>
    <row r="641" spans="1:21" ht="12.75">
      <c r="A641" s="10"/>
      <c r="B641" s="344"/>
      <c r="C641" s="348"/>
      <c r="D641" s="352"/>
      <c r="E641" s="12"/>
      <c r="F641" s="376"/>
      <c r="G641" s="340"/>
      <c r="H641" s="340"/>
      <c r="I641" s="340"/>
      <c r="J641" s="340"/>
      <c r="K641" s="12"/>
      <c r="L641" s="12"/>
      <c r="M641" s="12"/>
      <c r="N641" s="12"/>
      <c r="O641" s="12"/>
      <c r="P641" s="15"/>
      <c r="Q641" s="7"/>
      <c r="R641" s="7"/>
      <c r="S641" s="7"/>
      <c r="T641" s="8"/>
      <c r="U641" s="8"/>
    </row>
    <row r="642" spans="1:21" ht="12.75">
      <c r="A642" s="10"/>
      <c r="B642" s="344"/>
      <c r="C642" s="348"/>
      <c r="D642" s="352"/>
      <c r="E642" s="12"/>
      <c r="F642" s="376"/>
      <c r="G642" s="340"/>
      <c r="H642" s="340"/>
      <c r="I642" s="340"/>
      <c r="J642" s="340"/>
      <c r="K642" s="12"/>
      <c r="L642" s="12"/>
      <c r="M642" s="12"/>
      <c r="N642" s="12"/>
      <c r="O642" s="12"/>
      <c r="P642" s="15"/>
      <c r="Q642" s="7"/>
      <c r="R642" s="7"/>
      <c r="S642" s="7"/>
      <c r="T642" s="8"/>
      <c r="U642" s="8"/>
    </row>
    <row r="643" spans="1:21" ht="12.75">
      <c r="A643" s="10"/>
      <c r="B643" s="344"/>
      <c r="C643" s="348"/>
      <c r="D643" s="352"/>
      <c r="E643" s="12"/>
      <c r="F643" s="376"/>
      <c r="G643" s="340"/>
      <c r="H643" s="340"/>
      <c r="I643" s="340"/>
      <c r="J643" s="340"/>
      <c r="K643" s="12"/>
      <c r="L643" s="12"/>
      <c r="M643" s="12"/>
      <c r="N643" s="12"/>
      <c r="O643" s="12"/>
      <c r="P643" s="15"/>
      <c r="Q643" s="7"/>
      <c r="R643" s="7"/>
      <c r="S643" s="7"/>
      <c r="T643" s="8"/>
      <c r="U643" s="8"/>
    </row>
    <row r="644" spans="1:21" ht="12.75">
      <c r="A644" s="10"/>
      <c r="B644" s="344"/>
      <c r="C644" s="348"/>
      <c r="D644" s="352"/>
      <c r="E644" s="12"/>
      <c r="F644" s="376"/>
      <c r="G644" s="340"/>
      <c r="H644" s="340"/>
      <c r="I644" s="340"/>
      <c r="J644" s="340"/>
      <c r="K644" s="12"/>
      <c r="L644" s="12"/>
      <c r="M644" s="12"/>
      <c r="N644" s="12"/>
      <c r="O644" s="12"/>
      <c r="P644" s="15"/>
      <c r="Q644" s="7"/>
      <c r="R644" s="7"/>
      <c r="S644" s="7"/>
      <c r="T644" s="8"/>
      <c r="U644" s="8"/>
    </row>
    <row r="645" spans="1:21" ht="12.75">
      <c r="A645" s="10"/>
      <c r="B645" s="344"/>
      <c r="C645" s="348"/>
      <c r="D645" s="352"/>
      <c r="E645" s="12"/>
      <c r="F645" s="376"/>
      <c r="G645" s="340"/>
      <c r="H645" s="340"/>
      <c r="I645" s="340"/>
      <c r="J645" s="340"/>
      <c r="K645" s="12"/>
      <c r="L645" s="12"/>
      <c r="M645" s="12"/>
      <c r="N645" s="12"/>
      <c r="O645" s="12"/>
      <c r="P645" s="15"/>
      <c r="Q645" s="7"/>
      <c r="R645" s="7"/>
      <c r="S645" s="7"/>
      <c r="T645" s="8"/>
      <c r="U645" s="8"/>
    </row>
    <row r="646" spans="1:21" ht="12.75">
      <c r="A646" s="10"/>
      <c r="B646" s="344"/>
      <c r="C646" s="348"/>
      <c r="D646" s="352"/>
      <c r="E646" s="12"/>
      <c r="F646" s="376"/>
      <c r="G646" s="340"/>
      <c r="H646" s="340"/>
      <c r="I646" s="340"/>
      <c r="J646" s="340"/>
      <c r="K646" s="12"/>
      <c r="L646" s="12"/>
      <c r="M646" s="12"/>
      <c r="N646" s="12"/>
      <c r="O646" s="12"/>
      <c r="P646" s="15"/>
      <c r="Q646" s="7"/>
      <c r="R646" s="7"/>
      <c r="S646" s="7"/>
      <c r="T646" s="8"/>
      <c r="U646" s="8"/>
    </row>
    <row r="647" spans="1:21" ht="12.75">
      <c r="A647" s="10"/>
      <c r="B647" s="344"/>
      <c r="C647" s="348"/>
      <c r="D647" s="352"/>
      <c r="E647" s="12"/>
      <c r="F647" s="376"/>
      <c r="G647" s="340"/>
      <c r="H647" s="340"/>
      <c r="I647" s="340"/>
      <c r="J647" s="340"/>
      <c r="K647" s="12"/>
      <c r="L647" s="12"/>
      <c r="M647" s="12"/>
      <c r="N647" s="12"/>
      <c r="O647" s="12"/>
      <c r="P647" s="15"/>
      <c r="Q647" s="7"/>
      <c r="R647" s="7"/>
      <c r="S647" s="7"/>
      <c r="T647" s="8"/>
      <c r="U647" s="8"/>
    </row>
    <row r="648" spans="1:21" ht="12.75">
      <c r="A648" s="10"/>
      <c r="B648" s="344"/>
      <c r="C648" s="348"/>
      <c r="D648" s="352"/>
      <c r="E648" s="12"/>
      <c r="F648" s="376"/>
      <c r="G648" s="340"/>
      <c r="H648" s="340"/>
      <c r="I648" s="340"/>
      <c r="J648" s="340"/>
      <c r="K648" s="12"/>
      <c r="L648" s="12"/>
      <c r="M648" s="12"/>
      <c r="N648" s="12"/>
      <c r="O648" s="12"/>
      <c r="P648" s="15"/>
      <c r="Q648" s="7"/>
      <c r="R648" s="7"/>
      <c r="S648" s="7"/>
      <c r="T648" s="8"/>
      <c r="U648" s="8"/>
    </row>
    <row r="649" spans="1:21" ht="12.75">
      <c r="A649" s="10"/>
      <c r="B649" s="344"/>
      <c r="C649" s="348"/>
      <c r="D649" s="352"/>
      <c r="E649" s="12"/>
      <c r="F649" s="376"/>
      <c r="G649" s="340"/>
      <c r="H649" s="340"/>
      <c r="I649" s="340"/>
      <c r="J649" s="340"/>
      <c r="K649" s="12"/>
      <c r="L649" s="12"/>
      <c r="M649" s="12"/>
      <c r="N649" s="12"/>
      <c r="O649" s="12"/>
      <c r="P649" s="15"/>
      <c r="Q649" s="7"/>
      <c r="R649" s="7"/>
      <c r="S649" s="7"/>
      <c r="T649" s="8"/>
      <c r="U649" s="8"/>
    </row>
    <row r="650" spans="1:21" ht="12.75">
      <c r="A650" s="10"/>
      <c r="B650" s="344"/>
      <c r="C650" s="348"/>
      <c r="D650" s="352"/>
      <c r="E650" s="12"/>
      <c r="F650" s="376"/>
      <c r="G650" s="340"/>
      <c r="H650" s="340"/>
      <c r="I650" s="340"/>
      <c r="J650" s="340"/>
      <c r="K650" s="12"/>
      <c r="L650" s="12"/>
      <c r="M650" s="12"/>
      <c r="N650" s="12"/>
      <c r="O650" s="12"/>
      <c r="P650" s="15"/>
      <c r="Q650" s="7"/>
      <c r="R650" s="7"/>
      <c r="S650" s="7"/>
      <c r="T650" s="8"/>
      <c r="U650" s="8"/>
    </row>
    <row r="651" spans="1:21" ht="12.75">
      <c r="A651" s="10"/>
      <c r="B651" s="344"/>
      <c r="C651" s="348"/>
      <c r="D651" s="352"/>
      <c r="E651" s="12"/>
      <c r="F651" s="376"/>
      <c r="G651" s="340"/>
      <c r="H651" s="340"/>
      <c r="I651" s="340"/>
      <c r="J651" s="340"/>
      <c r="K651" s="12"/>
      <c r="L651" s="12"/>
      <c r="M651" s="12"/>
      <c r="N651" s="12"/>
      <c r="O651" s="12"/>
      <c r="P651" s="15"/>
      <c r="Q651" s="7"/>
      <c r="R651" s="7"/>
      <c r="S651" s="7"/>
      <c r="T651" s="8"/>
      <c r="U651" s="8"/>
    </row>
    <row r="652" spans="1:21" ht="12.75">
      <c r="A652" s="10"/>
      <c r="B652" s="344"/>
      <c r="C652" s="348"/>
      <c r="D652" s="352"/>
      <c r="E652" s="12"/>
      <c r="F652" s="376"/>
      <c r="G652" s="340"/>
      <c r="H652" s="340"/>
      <c r="I652" s="340"/>
      <c r="J652" s="340"/>
      <c r="K652" s="12"/>
      <c r="L652" s="12"/>
      <c r="M652" s="12"/>
      <c r="N652" s="12"/>
      <c r="O652" s="12"/>
      <c r="P652" s="15"/>
      <c r="Q652" s="7"/>
      <c r="R652" s="7"/>
      <c r="S652" s="7"/>
      <c r="T652" s="8"/>
      <c r="U652" s="8"/>
    </row>
    <row r="653" spans="1:21" ht="12.75">
      <c r="A653" s="10"/>
      <c r="B653" s="344"/>
      <c r="C653" s="348"/>
      <c r="D653" s="352"/>
      <c r="E653" s="12"/>
      <c r="F653" s="376"/>
      <c r="G653" s="340"/>
      <c r="H653" s="340"/>
      <c r="I653" s="340"/>
      <c r="J653" s="340"/>
      <c r="K653" s="12"/>
      <c r="L653" s="12"/>
      <c r="M653" s="12"/>
      <c r="N653" s="12"/>
      <c r="O653" s="12"/>
      <c r="P653" s="15"/>
      <c r="Q653" s="7"/>
      <c r="R653" s="7"/>
      <c r="S653" s="7"/>
      <c r="T653" s="8"/>
      <c r="U653" s="8"/>
    </row>
    <row r="654" spans="1:21" ht="12.75">
      <c r="A654" s="10"/>
      <c r="B654" s="344"/>
      <c r="C654" s="348"/>
      <c r="D654" s="352"/>
      <c r="E654" s="12"/>
      <c r="F654" s="376"/>
      <c r="G654" s="340"/>
      <c r="H654" s="340"/>
      <c r="I654" s="340"/>
      <c r="J654" s="340"/>
      <c r="K654" s="12"/>
      <c r="L654" s="12"/>
      <c r="M654" s="12"/>
      <c r="N654" s="12"/>
      <c r="O654" s="12"/>
      <c r="P654" s="15"/>
      <c r="Q654" s="7"/>
      <c r="R654" s="7"/>
      <c r="S654" s="7"/>
      <c r="T654" s="8"/>
      <c r="U654" s="8"/>
    </row>
    <row r="655" spans="1:21" ht="12.75">
      <c r="A655" s="10"/>
      <c r="B655" s="344"/>
      <c r="C655" s="348"/>
      <c r="D655" s="352"/>
      <c r="E655" s="12"/>
      <c r="F655" s="376"/>
      <c r="G655" s="340"/>
      <c r="H655" s="340"/>
      <c r="I655" s="340"/>
      <c r="J655" s="340"/>
      <c r="K655" s="12"/>
      <c r="L655" s="12"/>
      <c r="M655" s="12"/>
      <c r="N655" s="12"/>
      <c r="O655" s="12"/>
      <c r="P655" s="15"/>
      <c r="Q655" s="7"/>
      <c r="R655" s="7"/>
      <c r="S655" s="7"/>
      <c r="T655" s="8"/>
      <c r="U655" s="8"/>
    </row>
    <row r="656" spans="1:21" ht="12.75">
      <c r="A656" s="10"/>
      <c r="B656" s="344"/>
      <c r="C656" s="348"/>
      <c r="D656" s="352"/>
      <c r="E656" s="12"/>
      <c r="F656" s="376"/>
      <c r="G656" s="340"/>
      <c r="H656" s="340"/>
      <c r="I656" s="340"/>
      <c r="J656" s="340"/>
      <c r="K656" s="12"/>
      <c r="L656" s="12"/>
      <c r="M656" s="12"/>
      <c r="N656" s="12"/>
      <c r="O656" s="12"/>
      <c r="P656" s="15"/>
      <c r="Q656" s="7"/>
      <c r="R656" s="7"/>
      <c r="S656" s="7"/>
      <c r="T656" s="8"/>
      <c r="U656" s="8"/>
    </row>
    <row r="657" spans="1:21" ht="12.75">
      <c r="A657" s="10"/>
      <c r="B657" s="344"/>
      <c r="C657" s="348"/>
      <c r="D657" s="352"/>
      <c r="E657" s="12"/>
      <c r="F657" s="376"/>
      <c r="G657" s="340"/>
      <c r="H657" s="340"/>
      <c r="I657" s="340"/>
      <c r="J657" s="340"/>
      <c r="K657" s="12"/>
      <c r="L657" s="12"/>
      <c r="M657" s="12"/>
      <c r="N657" s="12"/>
      <c r="O657" s="12"/>
      <c r="P657" s="15"/>
      <c r="Q657" s="7"/>
      <c r="R657" s="7"/>
      <c r="S657" s="7"/>
      <c r="T657" s="8"/>
      <c r="U657" s="8"/>
    </row>
    <row r="658" spans="1:21" ht="12.75">
      <c r="A658" s="10"/>
      <c r="B658" s="344"/>
      <c r="C658" s="348"/>
      <c r="D658" s="352"/>
      <c r="E658" s="12"/>
      <c r="F658" s="376"/>
      <c r="G658" s="340"/>
      <c r="H658" s="340"/>
      <c r="I658" s="340"/>
      <c r="J658" s="340"/>
      <c r="K658" s="12"/>
      <c r="L658" s="12"/>
      <c r="M658" s="12"/>
      <c r="N658" s="12"/>
      <c r="O658" s="12"/>
      <c r="P658" s="15"/>
      <c r="Q658" s="7"/>
      <c r="R658" s="7"/>
      <c r="S658" s="7"/>
      <c r="T658" s="8"/>
      <c r="U658" s="8"/>
    </row>
    <row r="659" spans="1:21" ht="12.75">
      <c r="A659" s="10"/>
      <c r="B659" s="344"/>
      <c r="C659" s="348"/>
      <c r="D659" s="352"/>
      <c r="E659" s="12"/>
      <c r="F659" s="376"/>
      <c r="G659" s="340"/>
      <c r="H659" s="340"/>
      <c r="I659" s="340"/>
      <c r="J659" s="340"/>
      <c r="K659" s="12"/>
      <c r="L659" s="12"/>
      <c r="M659" s="12"/>
      <c r="N659" s="12"/>
      <c r="O659" s="12"/>
      <c r="P659" s="15"/>
      <c r="Q659" s="7"/>
      <c r="R659" s="7"/>
      <c r="S659" s="7"/>
      <c r="T659" s="8"/>
      <c r="U659" s="8"/>
    </row>
    <row r="660" spans="1:21" ht="12.75">
      <c r="A660" s="10"/>
      <c r="B660" s="344"/>
      <c r="C660" s="348"/>
      <c r="D660" s="352"/>
      <c r="E660" s="12"/>
      <c r="F660" s="376"/>
      <c r="G660" s="340"/>
      <c r="H660" s="340"/>
      <c r="I660" s="340"/>
      <c r="J660" s="340"/>
      <c r="K660" s="12"/>
      <c r="L660" s="12"/>
      <c r="M660" s="12"/>
      <c r="N660" s="12"/>
      <c r="O660" s="12"/>
      <c r="P660" s="15"/>
      <c r="Q660" s="7"/>
      <c r="R660" s="7"/>
      <c r="S660" s="7"/>
      <c r="T660" s="8"/>
      <c r="U660" s="8"/>
    </row>
    <row r="661" spans="1:21" ht="12.75">
      <c r="A661" s="10"/>
      <c r="B661" s="344"/>
      <c r="C661" s="348"/>
      <c r="D661" s="352"/>
      <c r="E661" s="12"/>
      <c r="F661" s="376"/>
      <c r="G661" s="340"/>
      <c r="H661" s="340"/>
      <c r="I661" s="340"/>
      <c r="J661" s="340"/>
      <c r="K661" s="12"/>
      <c r="L661" s="12"/>
      <c r="M661" s="12"/>
      <c r="N661" s="12"/>
      <c r="O661" s="12"/>
      <c r="P661" s="15"/>
      <c r="Q661" s="7"/>
      <c r="R661" s="7"/>
      <c r="S661" s="7"/>
      <c r="T661" s="8"/>
      <c r="U661" s="8"/>
    </row>
    <row r="662" spans="1:21" ht="12.75">
      <c r="A662" s="10"/>
      <c r="B662" s="344"/>
      <c r="C662" s="348"/>
      <c r="D662" s="352"/>
      <c r="E662" s="12"/>
      <c r="F662" s="376"/>
      <c r="G662" s="340"/>
      <c r="H662" s="340"/>
      <c r="I662" s="340"/>
      <c r="J662" s="340"/>
      <c r="K662" s="12"/>
      <c r="L662" s="12"/>
      <c r="M662" s="12"/>
      <c r="N662" s="12"/>
      <c r="O662" s="12"/>
      <c r="P662" s="15"/>
      <c r="Q662" s="7"/>
      <c r="R662" s="7"/>
      <c r="S662" s="7"/>
      <c r="T662" s="8"/>
      <c r="U662" s="8"/>
    </row>
    <row r="663" spans="1:21" ht="12.75">
      <c r="A663" s="10"/>
      <c r="B663" s="344"/>
      <c r="C663" s="348"/>
      <c r="D663" s="352"/>
      <c r="E663" s="12"/>
      <c r="F663" s="376"/>
      <c r="G663" s="340"/>
      <c r="H663" s="340"/>
      <c r="I663" s="340"/>
      <c r="J663" s="340"/>
      <c r="K663" s="12"/>
      <c r="L663" s="12"/>
      <c r="M663" s="12"/>
      <c r="N663" s="12"/>
      <c r="O663" s="12"/>
      <c r="P663" s="15"/>
      <c r="Q663" s="7"/>
      <c r="R663" s="7"/>
      <c r="S663" s="7"/>
      <c r="T663" s="8"/>
      <c r="U663" s="8"/>
    </row>
    <row r="664" spans="1:21" ht="12.75">
      <c r="A664" s="10"/>
      <c r="B664" s="344"/>
      <c r="C664" s="348"/>
      <c r="D664" s="352"/>
      <c r="E664" s="12"/>
      <c r="F664" s="376"/>
      <c r="G664" s="340"/>
      <c r="H664" s="340"/>
      <c r="I664" s="340"/>
      <c r="J664" s="340"/>
      <c r="K664" s="12"/>
      <c r="L664" s="12"/>
      <c r="M664" s="12"/>
      <c r="N664" s="12"/>
      <c r="O664" s="12"/>
      <c r="P664" s="15"/>
      <c r="Q664" s="7"/>
      <c r="R664" s="7"/>
      <c r="S664" s="7"/>
      <c r="T664" s="8"/>
      <c r="U664" s="8"/>
    </row>
    <row r="665" spans="1:21" ht="12.75">
      <c r="A665" s="10"/>
      <c r="B665" s="344"/>
      <c r="C665" s="348"/>
      <c r="D665" s="352"/>
      <c r="E665" s="12"/>
      <c r="F665" s="376"/>
      <c r="G665" s="340"/>
      <c r="H665" s="340"/>
      <c r="I665" s="340"/>
      <c r="J665" s="340"/>
      <c r="K665" s="12"/>
      <c r="L665" s="12"/>
      <c r="M665" s="12"/>
      <c r="N665" s="12"/>
      <c r="O665" s="12"/>
      <c r="P665" s="15"/>
      <c r="Q665" s="7"/>
      <c r="R665" s="7"/>
      <c r="S665" s="7"/>
      <c r="T665" s="8"/>
      <c r="U665" s="8"/>
    </row>
    <row r="666" spans="1:21" ht="12.75">
      <c r="A666" s="10"/>
      <c r="B666" s="344"/>
      <c r="C666" s="348"/>
      <c r="D666" s="352"/>
      <c r="E666" s="12"/>
      <c r="F666" s="376"/>
      <c r="G666" s="340"/>
      <c r="H666" s="340"/>
      <c r="I666" s="340"/>
      <c r="J666" s="340"/>
      <c r="K666" s="12"/>
      <c r="L666" s="12"/>
      <c r="M666" s="12"/>
      <c r="N666" s="12"/>
      <c r="O666" s="12"/>
      <c r="P666" s="15"/>
      <c r="Q666" s="7"/>
      <c r="R666" s="7"/>
      <c r="S666" s="7"/>
      <c r="T666" s="8"/>
      <c r="U666" s="8"/>
    </row>
    <row r="667" spans="1:21" ht="12.75">
      <c r="A667" s="10"/>
      <c r="B667" s="344"/>
      <c r="C667" s="348"/>
      <c r="D667" s="352"/>
      <c r="E667" s="12"/>
      <c r="F667" s="376"/>
      <c r="G667" s="340"/>
      <c r="H667" s="340"/>
      <c r="I667" s="340"/>
      <c r="J667" s="340"/>
      <c r="K667" s="12"/>
      <c r="L667" s="12"/>
      <c r="M667" s="12"/>
      <c r="N667" s="12"/>
      <c r="O667" s="12"/>
      <c r="P667" s="15"/>
      <c r="Q667" s="7"/>
      <c r="R667" s="7"/>
      <c r="S667" s="7"/>
      <c r="T667" s="8"/>
      <c r="U667" s="8"/>
    </row>
    <row r="668" spans="1:21" ht="12.75">
      <c r="A668" s="10"/>
      <c r="B668" s="344"/>
      <c r="C668" s="348"/>
      <c r="D668" s="352"/>
      <c r="E668" s="12"/>
      <c r="F668" s="376"/>
      <c r="G668" s="340"/>
      <c r="H668" s="340"/>
      <c r="I668" s="340"/>
      <c r="J668" s="340"/>
      <c r="K668" s="12"/>
      <c r="L668" s="12"/>
      <c r="M668" s="12"/>
      <c r="N668" s="12"/>
      <c r="O668" s="12"/>
      <c r="P668" s="15"/>
      <c r="Q668" s="7"/>
      <c r="R668" s="7"/>
      <c r="S668" s="7"/>
      <c r="T668" s="8"/>
      <c r="U668" s="8"/>
    </row>
    <row r="669" spans="1:21" ht="12.75">
      <c r="A669" s="10"/>
      <c r="B669" s="344"/>
      <c r="C669" s="348"/>
      <c r="D669" s="352"/>
      <c r="E669" s="12"/>
      <c r="F669" s="376"/>
      <c r="G669" s="340"/>
      <c r="H669" s="340"/>
      <c r="I669" s="340"/>
      <c r="J669" s="340"/>
      <c r="K669" s="12"/>
      <c r="L669" s="12"/>
      <c r="M669" s="12"/>
      <c r="N669" s="12"/>
      <c r="O669" s="12"/>
      <c r="P669" s="15"/>
      <c r="Q669" s="7"/>
      <c r="R669" s="7"/>
      <c r="S669" s="7"/>
      <c r="T669" s="8"/>
      <c r="U669" s="8"/>
    </row>
    <row r="670" spans="1:21" ht="12.75">
      <c r="A670" s="10"/>
      <c r="B670" s="344"/>
      <c r="C670" s="348"/>
      <c r="D670" s="352"/>
      <c r="E670" s="12"/>
      <c r="F670" s="376"/>
      <c r="G670" s="340"/>
      <c r="H670" s="340"/>
      <c r="I670" s="340"/>
      <c r="J670" s="340"/>
      <c r="K670" s="12"/>
      <c r="L670" s="12"/>
      <c r="M670" s="12"/>
      <c r="N670" s="12"/>
      <c r="O670" s="12"/>
      <c r="P670" s="15"/>
      <c r="Q670" s="7"/>
      <c r="R670" s="7"/>
      <c r="S670" s="7"/>
      <c r="T670" s="8"/>
      <c r="U670" s="8"/>
    </row>
    <row r="671" spans="1:21" ht="12.75">
      <c r="A671" s="10"/>
      <c r="B671" s="344"/>
      <c r="C671" s="348"/>
      <c r="D671" s="352"/>
      <c r="E671" s="12"/>
      <c r="F671" s="376"/>
      <c r="G671" s="340"/>
      <c r="H671" s="340"/>
      <c r="I671" s="340"/>
      <c r="J671" s="340"/>
      <c r="K671" s="12"/>
      <c r="L671" s="12"/>
      <c r="M671" s="12"/>
      <c r="N671" s="12"/>
      <c r="O671" s="12"/>
      <c r="P671" s="15"/>
      <c r="Q671" s="7"/>
      <c r="R671" s="7"/>
      <c r="S671" s="7"/>
      <c r="T671" s="8"/>
      <c r="U671" s="8"/>
    </row>
    <row r="672" spans="1:21" ht="12.75">
      <c r="A672" s="10"/>
      <c r="B672" s="344"/>
      <c r="C672" s="348"/>
      <c r="D672" s="352"/>
      <c r="E672" s="12"/>
      <c r="F672" s="376"/>
      <c r="G672" s="340"/>
      <c r="H672" s="340"/>
      <c r="I672" s="340"/>
      <c r="J672" s="340"/>
      <c r="K672" s="12"/>
      <c r="L672" s="12"/>
      <c r="M672" s="12"/>
      <c r="N672" s="12"/>
      <c r="O672" s="12"/>
      <c r="P672" s="15"/>
      <c r="Q672" s="7"/>
      <c r="R672" s="7"/>
      <c r="S672" s="7"/>
      <c r="T672" s="8"/>
      <c r="U672" s="8"/>
    </row>
    <row r="673" spans="1:21" ht="12.75">
      <c r="A673" s="10"/>
      <c r="B673" s="344"/>
      <c r="C673" s="348"/>
      <c r="D673" s="352"/>
      <c r="E673" s="12"/>
      <c r="F673" s="376"/>
      <c r="G673" s="340"/>
      <c r="H673" s="340"/>
      <c r="I673" s="340"/>
      <c r="J673" s="340"/>
      <c r="K673" s="12"/>
      <c r="L673" s="12"/>
      <c r="M673" s="12"/>
      <c r="N673" s="12"/>
      <c r="O673" s="12"/>
      <c r="P673" s="15"/>
      <c r="Q673" s="7"/>
      <c r="R673" s="7"/>
      <c r="S673" s="7"/>
      <c r="T673" s="8"/>
      <c r="U673" s="8"/>
    </row>
    <row r="674" spans="1:21" ht="12.75">
      <c r="A674" s="10"/>
      <c r="B674" s="344"/>
      <c r="C674" s="348"/>
      <c r="D674" s="352"/>
      <c r="E674" s="12"/>
      <c r="F674" s="376"/>
      <c r="G674" s="340"/>
      <c r="H674" s="340"/>
      <c r="I674" s="340"/>
      <c r="J674" s="340"/>
      <c r="K674" s="12"/>
      <c r="L674" s="12"/>
      <c r="M674" s="12"/>
      <c r="N674" s="12"/>
      <c r="O674" s="12"/>
      <c r="P674" s="15"/>
      <c r="Q674" s="7"/>
      <c r="R674" s="7"/>
      <c r="S674" s="7"/>
      <c r="T674" s="8"/>
      <c r="U674" s="8"/>
    </row>
    <row r="675" spans="1:21" ht="12.75">
      <c r="A675" s="10"/>
      <c r="B675" s="344"/>
      <c r="C675" s="348"/>
      <c r="D675" s="352"/>
      <c r="E675" s="12"/>
      <c r="F675" s="376"/>
      <c r="G675" s="340"/>
      <c r="H675" s="340"/>
      <c r="I675" s="340"/>
      <c r="J675" s="340"/>
      <c r="K675" s="12"/>
      <c r="L675" s="12"/>
      <c r="M675" s="12"/>
      <c r="N675" s="12"/>
      <c r="O675" s="12"/>
      <c r="P675" s="15"/>
      <c r="Q675" s="7"/>
      <c r="R675" s="7"/>
      <c r="S675" s="7"/>
      <c r="T675" s="8"/>
      <c r="U675" s="8"/>
    </row>
    <row r="676" spans="1:21" ht="12.75">
      <c r="A676" s="10"/>
      <c r="B676" s="344"/>
      <c r="C676" s="348"/>
      <c r="D676" s="352"/>
      <c r="E676" s="12"/>
      <c r="F676" s="376"/>
      <c r="G676" s="340"/>
      <c r="H676" s="340"/>
      <c r="I676" s="340"/>
      <c r="J676" s="340"/>
      <c r="K676" s="12"/>
      <c r="L676" s="12"/>
      <c r="M676" s="12"/>
      <c r="N676" s="12"/>
      <c r="O676" s="12"/>
      <c r="P676" s="15"/>
      <c r="Q676" s="7"/>
      <c r="R676" s="7"/>
      <c r="S676" s="7"/>
      <c r="T676" s="8"/>
      <c r="U676" s="8"/>
    </row>
    <row r="677" spans="1:21" ht="12.75">
      <c r="A677" s="10"/>
      <c r="B677" s="344"/>
      <c r="C677" s="348"/>
      <c r="D677" s="352"/>
      <c r="E677" s="12"/>
      <c r="F677" s="376"/>
      <c r="G677" s="340"/>
      <c r="H677" s="340"/>
      <c r="I677" s="340"/>
      <c r="J677" s="340"/>
      <c r="K677" s="12"/>
      <c r="L677" s="12"/>
      <c r="M677" s="12"/>
      <c r="N677" s="12"/>
      <c r="O677" s="12"/>
      <c r="P677" s="15"/>
      <c r="Q677" s="7"/>
      <c r="R677" s="7"/>
      <c r="S677" s="7"/>
      <c r="T677" s="8"/>
      <c r="U677" s="8"/>
    </row>
    <row r="678" spans="1:21" ht="12.75">
      <c r="A678" s="10"/>
      <c r="B678" s="344"/>
      <c r="C678" s="348"/>
      <c r="D678" s="352"/>
      <c r="E678" s="12"/>
      <c r="F678" s="376"/>
      <c r="G678" s="340"/>
      <c r="H678" s="340"/>
      <c r="I678" s="340"/>
      <c r="J678" s="340"/>
      <c r="K678" s="12"/>
      <c r="L678" s="12"/>
      <c r="M678" s="12"/>
      <c r="N678" s="12"/>
      <c r="O678" s="12"/>
      <c r="P678" s="15"/>
      <c r="Q678" s="7"/>
      <c r="R678" s="7"/>
      <c r="S678" s="7"/>
      <c r="T678" s="8"/>
      <c r="U678" s="8"/>
    </row>
    <row r="679" spans="1:21" ht="12.75">
      <c r="A679" s="10"/>
      <c r="B679" s="344"/>
      <c r="C679" s="348"/>
      <c r="D679" s="352"/>
      <c r="E679" s="12"/>
      <c r="F679" s="376"/>
      <c r="G679" s="340"/>
      <c r="H679" s="340"/>
      <c r="I679" s="340"/>
      <c r="J679" s="340"/>
      <c r="K679" s="12"/>
      <c r="L679" s="12"/>
      <c r="M679" s="12"/>
      <c r="N679" s="12"/>
      <c r="O679" s="12"/>
      <c r="P679" s="15"/>
      <c r="Q679" s="7"/>
      <c r="R679" s="7"/>
      <c r="S679" s="7"/>
      <c r="T679" s="8"/>
      <c r="U679" s="8"/>
    </row>
    <row r="680" spans="1:21" ht="12.75">
      <c r="A680" s="10"/>
      <c r="B680" s="344"/>
      <c r="C680" s="348"/>
      <c r="D680" s="352"/>
      <c r="E680" s="12"/>
      <c r="F680" s="376"/>
      <c r="G680" s="340"/>
      <c r="H680" s="340"/>
      <c r="I680" s="340"/>
      <c r="J680" s="340"/>
      <c r="K680" s="12"/>
      <c r="L680" s="12"/>
      <c r="M680" s="12"/>
      <c r="N680" s="12"/>
      <c r="O680" s="12"/>
      <c r="P680" s="15"/>
      <c r="Q680" s="7"/>
      <c r="R680" s="7"/>
      <c r="S680" s="7"/>
      <c r="T680" s="8"/>
      <c r="U680" s="8"/>
    </row>
    <row r="681" spans="1:21" ht="12.75">
      <c r="A681" s="10"/>
      <c r="B681" s="344"/>
      <c r="C681" s="348"/>
      <c r="D681" s="352"/>
      <c r="E681" s="12"/>
      <c r="F681" s="376"/>
      <c r="G681" s="340"/>
      <c r="H681" s="340"/>
      <c r="I681" s="340"/>
      <c r="J681" s="340"/>
      <c r="K681" s="12"/>
      <c r="L681" s="12"/>
      <c r="M681" s="12"/>
      <c r="N681" s="12"/>
      <c r="O681" s="12"/>
      <c r="P681" s="15"/>
      <c r="Q681" s="7"/>
      <c r="R681" s="7"/>
      <c r="S681" s="7"/>
      <c r="T681" s="8"/>
      <c r="U681" s="8"/>
    </row>
    <row r="682" spans="1:21" ht="12.75">
      <c r="A682" s="10"/>
      <c r="B682" s="344"/>
      <c r="C682" s="348"/>
      <c r="D682" s="352"/>
      <c r="E682" s="12"/>
      <c r="F682" s="376"/>
      <c r="G682" s="340"/>
      <c r="H682" s="340"/>
      <c r="I682" s="340"/>
      <c r="J682" s="340"/>
      <c r="K682" s="12"/>
      <c r="L682" s="12"/>
      <c r="M682" s="12"/>
      <c r="N682" s="12"/>
      <c r="O682" s="12"/>
      <c r="P682" s="15"/>
      <c r="Q682" s="7"/>
      <c r="R682" s="7"/>
      <c r="S682" s="7"/>
      <c r="T682" s="8"/>
      <c r="U682" s="8"/>
    </row>
    <row r="683" spans="1:21" ht="12.75">
      <c r="A683" s="10"/>
      <c r="B683" s="344"/>
      <c r="C683" s="348"/>
      <c r="D683" s="352"/>
      <c r="E683" s="12"/>
      <c r="F683" s="376"/>
      <c r="G683" s="340"/>
      <c r="H683" s="340"/>
      <c r="I683" s="340"/>
      <c r="J683" s="340"/>
      <c r="K683" s="12"/>
      <c r="L683" s="12"/>
      <c r="M683" s="12"/>
      <c r="N683" s="12"/>
      <c r="O683" s="12"/>
      <c r="P683" s="15"/>
      <c r="Q683" s="7"/>
      <c r="R683" s="7"/>
      <c r="S683" s="7"/>
      <c r="T683" s="8"/>
      <c r="U683" s="8"/>
    </row>
    <row r="684" spans="1:21" ht="12.75">
      <c r="A684" s="10"/>
      <c r="B684" s="344"/>
      <c r="C684" s="348"/>
      <c r="D684" s="352"/>
      <c r="E684" s="12"/>
      <c r="F684" s="376"/>
      <c r="G684" s="340"/>
      <c r="H684" s="340"/>
      <c r="I684" s="340"/>
      <c r="J684" s="340"/>
      <c r="K684" s="12"/>
      <c r="L684" s="12"/>
      <c r="M684" s="12"/>
      <c r="N684" s="12"/>
      <c r="O684" s="12"/>
      <c r="P684" s="15"/>
      <c r="Q684" s="7"/>
      <c r="R684" s="7"/>
      <c r="S684" s="7"/>
      <c r="T684" s="8"/>
      <c r="U684" s="8"/>
    </row>
    <row r="685" spans="1:21" ht="12.75">
      <c r="A685" s="10"/>
      <c r="B685" s="344"/>
      <c r="C685" s="348"/>
      <c r="D685" s="352"/>
      <c r="E685" s="12"/>
      <c r="F685" s="376"/>
      <c r="G685" s="340"/>
      <c r="H685" s="340"/>
      <c r="I685" s="340"/>
      <c r="J685" s="340"/>
      <c r="K685" s="12"/>
      <c r="L685" s="12"/>
      <c r="M685" s="12"/>
      <c r="N685" s="12"/>
      <c r="O685" s="12"/>
      <c r="P685" s="15"/>
      <c r="Q685" s="7"/>
      <c r="R685" s="7"/>
      <c r="S685" s="7"/>
      <c r="T685" s="8"/>
      <c r="U685" s="8"/>
    </row>
    <row r="686" spans="1:21" ht="12.75">
      <c r="A686" s="10"/>
      <c r="B686" s="344"/>
      <c r="C686" s="348"/>
      <c r="D686" s="352"/>
      <c r="E686" s="12"/>
      <c r="F686" s="376"/>
      <c r="G686" s="340"/>
      <c r="H686" s="340"/>
      <c r="I686" s="340"/>
      <c r="J686" s="340"/>
      <c r="K686" s="12"/>
      <c r="L686" s="12"/>
      <c r="M686" s="12"/>
      <c r="N686" s="12"/>
      <c r="O686" s="12"/>
      <c r="P686" s="15"/>
      <c r="Q686" s="7"/>
      <c r="R686" s="7"/>
      <c r="S686" s="7"/>
      <c r="T686" s="8"/>
      <c r="U686" s="8"/>
    </row>
    <row r="687" spans="1:21" ht="12.75">
      <c r="A687" s="10"/>
      <c r="B687" s="344"/>
      <c r="C687" s="348"/>
      <c r="D687" s="352"/>
      <c r="E687" s="12"/>
      <c r="F687" s="376"/>
      <c r="G687" s="340"/>
      <c r="H687" s="340"/>
      <c r="I687" s="340"/>
      <c r="J687" s="340"/>
      <c r="K687" s="12"/>
      <c r="L687" s="12"/>
      <c r="M687" s="12"/>
      <c r="N687" s="12"/>
      <c r="O687" s="12"/>
      <c r="P687" s="15"/>
      <c r="Q687" s="7"/>
      <c r="R687" s="7"/>
      <c r="S687" s="7"/>
      <c r="T687" s="8"/>
      <c r="U687" s="8"/>
    </row>
    <row r="688" spans="1:21" ht="12.75">
      <c r="A688" s="10"/>
      <c r="B688" s="344"/>
      <c r="C688" s="348"/>
      <c r="D688" s="352"/>
      <c r="E688" s="12"/>
      <c r="F688" s="376"/>
      <c r="G688" s="340"/>
      <c r="H688" s="340"/>
      <c r="I688" s="340"/>
      <c r="J688" s="340"/>
      <c r="K688" s="12"/>
      <c r="L688" s="12"/>
      <c r="M688" s="12"/>
      <c r="N688" s="12"/>
      <c r="O688" s="12"/>
      <c r="P688" s="15"/>
      <c r="Q688" s="7"/>
      <c r="R688" s="7"/>
      <c r="S688" s="7"/>
      <c r="T688" s="8"/>
      <c r="U688" s="8"/>
    </row>
    <row r="689" spans="1:21" ht="12.75">
      <c r="A689" s="10"/>
      <c r="B689" s="344"/>
      <c r="C689" s="348"/>
      <c r="D689" s="352"/>
      <c r="E689" s="12"/>
      <c r="F689" s="376"/>
      <c r="G689" s="340"/>
      <c r="H689" s="340"/>
      <c r="I689" s="340"/>
      <c r="J689" s="340"/>
      <c r="K689" s="12"/>
      <c r="L689" s="12"/>
      <c r="M689" s="12"/>
      <c r="N689" s="12"/>
      <c r="O689" s="12"/>
      <c r="P689" s="15"/>
      <c r="Q689" s="7"/>
      <c r="R689" s="7"/>
      <c r="S689" s="7"/>
      <c r="T689" s="8"/>
      <c r="U689" s="8"/>
    </row>
    <row r="690" spans="1:21" ht="12.75">
      <c r="A690" s="10"/>
      <c r="B690" s="344"/>
      <c r="C690" s="348"/>
      <c r="D690" s="352"/>
      <c r="E690" s="12"/>
      <c r="F690" s="376"/>
      <c r="G690" s="340"/>
      <c r="H690" s="340"/>
      <c r="I690" s="340"/>
      <c r="J690" s="340"/>
      <c r="K690" s="12"/>
      <c r="L690" s="12"/>
      <c r="M690" s="12"/>
      <c r="N690" s="12"/>
      <c r="O690" s="12"/>
      <c r="P690" s="15"/>
      <c r="Q690" s="7"/>
      <c r="R690" s="7"/>
      <c r="S690" s="7"/>
      <c r="T690" s="8"/>
      <c r="U690" s="8"/>
    </row>
    <row r="691" spans="1:21" ht="12.75">
      <c r="A691" s="10"/>
      <c r="B691" s="344"/>
      <c r="C691" s="348"/>
      <c r="D691" s="352"/>
      <c r="E691" s="12"/>
      <c r="F691" s="376"/>
      <c r="G691" s="340"/>
      <c r="H691" s="340"/>
      <c r="I691" s="340"/>
      <c r="J691" s="340"/>
      <c r="K691" s="12"/>
      <c r="L691" s="12"/>
      <c r="M691" s="12"/>
      <c r="N691" s="12"/>
      <c r="O691" s="12"/>
      <c r="P691" s="15"/>
      <c r="Q691" s="7"/>
      <c r="R691" s="7"/>
      <c r="S691" s="7"/>
      <c r="T691" s="8"/>
      <c r="U691" s="8"/>
    </row>
    <row r="692" spans="1:21" ht="12.75">
      <c r="A692" s="10"/>
      <c r="B692" s="344"/>
      <c r="C692" s="348"/>
      <c r="D692" s="352"/>
      <c r="E692" s="12"/>
      <c r="F692" s="376"/>
      <c r="G692" s="340"/>
      <c r="H692" s="340"/>
      <c r="I692" s="340"/>
      <c r="J692" s="340"/>
      <c r="K692" s="12"/>
      <c r="L692" s="12"/>
      <c r="M692" s="12"/>
      <c r="N692" s="12"/>
      <c r="O692" s="12"/>
      <c r="P692" s="15"/>
      <c r="Q692" s="7"/>
      <c r="R692" s="7"/>
      <c r="S692" s="7"/>
      <c r="T692" s="8"/>
      <c r="U692" s="8"/>
    </row>
    <row r="693" spans="1:21" ht="12.75">
      <c r="A693" s="10"/>
      <c r="B693" s="344"/>
      <c r="C693" s="348"/>
      <c r="D693" s="352"/>
      <c r="E693" s="12"/>
      <c r="F693" s="376"/>
      <c r="G693" s="340"/>
      <c r="H693" s="340"/>
      <c r="I693" s="340"/>
      <c r="J693" s="340"/>
      <c r="K693" s="12"/>
      <c r="L693" s="12"/>
      <c r="M693" s="12"/>
      <c r="N693" s="12"/>
      <c r="O693" s="12"/>
      <c r="P693" s="15"/>
      <c r="Q693" s="7"/>
      <c r="R693" s="7"/>
      <c r="S693" s="7"/>
      <c r="T693" s="8"/>
      <c r="U693" s="8"/>
    </row>
    <row r="694" spans="1:21" ht="12.75">
      <c r="A694" s="10"/>
      <c r="B694" s="344"/>
      <c r="C694" s="348"/>
      <c r="D694" s="352"/>
      <c r="E694" s="12"/>
      <c r="F694" s="376"/>
      <c r="G694" s="340"/>
      <c r="H694" s="340"/>
      <c r="I694" s="340"/>
      <c r="J694" s="340"/>
      <c r="K694" s="12"/>
      <c r="L694" s="12"/>
      <c r="M694" s="12"/>
      <c r="N694" s="12"/>
      <c r="O694" s="12"/>
      <c r="P694" s="15"/>
      <c r="Q694" s="7"/>
      <c r="R694" s="7"/>
      <c r="S694" s="7"/>
      <c r="T694" s="8"/>
      <c r="U694" s="8"/>
    </row>
    <row r="695" spans="1:21" ht="12.75">
      <c r="A695" s="10"/>
      <c r="B695" s="344"/>
      <c r="C695" s="348"/>
      <c r="D695" s="352"/>
      <c r="E695" s="12"/>
      <c r="F695" s="376"/>
      <c r="G695" s="340"/>
      <c r="H695" s="340"/>
      <c r="I695" s="340"/>
      <c r="J695" s="340"/>
      <c r="K695" s="12"/>
      <c r="L695" s="12"/>
      <c r="M695" s="12"/>
      <c r="N695" s="12"/>
      <c r="O695" s="12"/>
      <c r="P695" s="15"/>
      <c r="Q695" s="7"/>
      <c r="R695" s="7"/>
      <c r="S695" s="7"/>
      <c r="T695" s="8"/>
      <c r="U695" s="8"/>
    </row>
    <row r="696" spans="1:21" ht="12.75">
      <c r="A696" s="10"/>
      <c r="B696" s="344"/>
      <c r="C696" s="348"/>
      <c r="D696" s="352"/>
      <c r="E696" s="12"/>
      <c r="F696" s="376"/>
      <c r="G696" s="340"/>
      <c r="H696" s="340"/>
      <c r="I696" s="340"/>
      <c r="J696" s="340"/>
      <c r="K696" s="12"/>
      <c r="L696" s="12"/>
      <c r="M696" s="12"/>
      <c r="N696" s="12"/>
      <c r="O696" s="12"/>
      <c r="P696" s="15"/>
      <c r="Q696" s="7"/>
      <c r="R696" s="7"/>
      <c r="S696" s="7"/>
      <c r="T696" s="8"/>
      <c r="U696" s="8"/>
    </row>
    <row r="697" spans="1:21" ht="12.75">
      <c r="A697" s="10"/>
      <c r="B697" s="344"/>
      <c r="C697" s="348"/>
      <c r="D697" s="352"/>
      <c r="E697" s="12"/>
      <c r="F697" s="376"/>
      <c r="G697" s="340"/>
      <c r="H697" s="340"/>
      <c r="I697" s="340"/>
      <c r="J697" s="340"/>
      <c r="K697" s="12"/>
      <c r="L697" s="12"/>
      <c r="M697" s="12"/>
      <c r="N697" s="12"/>
      <c r="O697" s="12"/>
      <c r="P697" s="15"/>
      <c r="Q697" s="7"/>
      <c r="R697" s="7"/>
      <c r="S697" s="7"/>
      <c r="T697" s="8"/>
      <c r="U697" s="8"/>
    </row>
    <row r="698" spans="1:21" ht="12.75">
      <c r="A698" s="10"/>
      <c r="B698" s="344"/>
      <c r="C698" s="348"/>
      <c r="D698" s="352"/>
      <c r="E698" s="12"/>
      <c r="F698" s="376"/>
      <c r="G698" s="340"/>
      <c r="H698" s="340"/>
      <c r="I698" s="340"/>
      <c r="J698" s="340"/>
      <c r="K698" s="12"/>
      <c r="L698" s="12"/>
      <c r="M698" s="12"/>
      <c r="N698" s="12"/>
      <c r="O698" s="12"/>
      <c r="P698" s="15"/>
      <c r="Q698" s="7"/>
      <c r="R698" s="7"/>
      <c r="S698" s="7"/>
      <c r="T698" s="8"/>
      <c r="U698" s="8"/>
    </row>
    <row r="699" spans="1:21" ht="12.75">
      <c r="A699" s="10"/>
      <c r="B699" s="344"/>
      <c r="C699" s="348"/>
      <c r="D699" s="352"/>
      <c r="E699" s="12"/>
      <c r="F699" s="376"/>
      <c r="G699" s="340"/>
      <c r="H699" s="340"/>
      <c r="I699" s="340"/>
      <c r="J699" s="340"/>
      <c r="K699" s="12"/>
      <c r="L699" s="12"/>
      <c r="M699" s="12"/>
      <c r="N699" s="12"/>
      <c r="O699" s="12"/>
      <c r="P699" s="15"/>
      <c r="Q699" s="7"/>
      <c r="R699" s="7"/>
      <c r="S699" s="7"/>
      <c r="T699" s="8"/>
      <c r="U699" s="8"/>
    </row>
    <row r="700" spans="1:21" ht="12.75">
      <c r="A700" s="10"/>
      <c r="B700" s="344"/>
      <c r="C700" s="348"/>
      <c r="D700" s="352"/>
      <c r="E700" s="12"/>
      <c r="F700" s="376"/>
      <c r="G700" s="340"/>
      <c r="H700" s="340"/>
      <c r="I700" s="340"/>
      <c r="J700" s="340"/>
      <c r="K700" s="12"/>
      <c r="L700" s="12"/>
      <c r="M700" s="12"/>
      <c r="N700" s="12"/>
      <c r="O700" s="12"/>
      <c r="P700" s="15"/>
      <c r="Q700" s="7"/>
      <c r="R700" s="7"/>
      <c r="S700" s="7"/>
      <c r="T700" s="8"/>
      <c r="U700" s="8"/>
    </row>
    <row r="701" spans="1:21" ht="12.75">
      <c r="A701" s="10"/>
      <c r="B701" s="344"/>
      <c r="C701" s="348"/>
      <c r="D701" s="352"/>
      <c r="E701" s="12"/>
      <c r="F701" s="376"/>
      <c r="G701" s="340"/>
      <c r="H701" s="340"/>
      <c r="I701" s="340"/>
      <c r="J701" s="340"/>
      <c r="K701" s="12"/>
      <c r="L701" s="12"/>
      <c r="M701" s="12"/>
      <c r="N701" s="12"/>
      <c r="O701" s="12"/>
      <c r="P701" s="15"/>
      <c r="Q701" s="7"/>
      <c r="R701" s="7"/>
      <c r="S701" s="7"/>
      <c r="T701" s="8"/>
      <c r="U701" s="8"/>
    </row>
    <row r="702" spans="1:21" ht="12.75">
      <c r="A702" s="10"/>
      <c r="B702" s="344"/>
      <c r="C702" s="348"/>
      <c r="D702" s="352"/>
      <c r="E702" s="12"/>
      <c r="F702" s="376"/>
      <c r="G702" s="340"/>
      <c r="H702" s="340"/>
      <c r="I702" s="340"/>
      <c r="J702" s="340"/>
      <c r="K702" s="12"/>
      <c r="L702" s="12"/>
      <c r="M702" s="12"/>
      <c r="N702" s="12"/>
      <c r="O702" s="12"/>
      <c r="P702" s="15"/>
      <c r="Q702" s="7"/>
      <c r="R702" s="7"/>
      <c r="S702" s="7"/>
      <c r="T702" s="8"/>
      <c r="U702" s="8"/>
    </row>
    <row r="703" spans="1:21" ht="12.75">
      <c r="A703" s="10"/>
      <c r="B703" s="344"/>
      <c r="C703" s="348"/>
      <c r="D703" s="352"/>
      <c r="E703" s="12"/>
      <c r="F703" s="376"/>
      <c r="G703" s="340"/>
      <c r="H703" s="340"/>
      <c r="I703" s="340"/>
      <c r="J703" s="340"/>
      <c r="K703" s="12"/>
      <c r="L703" s="12"/>
      <c r="M703" s="12"/>
      <c r="N703" s="12"/>
      <c r="O703" s="12"/>
      <c r="P703" s="15"/>
      <c r="Q703" s="7"/>
      <c r="R703" s="7"/>
      <c r="S703" s="7"/>
      <c r="T703" s="8"/>
      <c r="U703" s="8"/>
    </row>
    <row r="704" spans="1:21" ht="12.75">
      <c r="A704" s="10"/>
      <c r="B704" s="344"/>
      <c r="C704" s="348"/>
      <c r="D704" s="352"/>
      <c r="E704" s="12"/>
      <c r="F704" s="376"/>
      <c r="G704" s="340"/>
      <c r="H704" s="340"/>
      <c r="I704" s="340"/>
      <c r="J704" s="340"/>
      <c r="K704" s="12"/>
      <c r="L704" s="12"/>
      <c r="M704" s="12"/>
      <c r="N704" s="12"/>
      <c r="O704" s="12"/>
      <c r="P704" s="15"/>
      <c r="Q704" s="7"/>
      <c r="R704" s="7"/>
      <c r="S704" s="7"/>
      <c r="T704" s="8"/>
      <c r="U704" s="8"/>
    </row>
    <row r="705" spans="1:21" ht="12.75">
      <c r="A705" s="10"/>
      <c r="B705" s="344"/>
      <c r="C705" s="348"/>
      <c r="D705" s="352"/>
      <c r="E705" s="12"/>
      <c r="F705" s="376"/>
      <c r="G705" s="340"/>
      <c r="H705" s="340"/>
      <c r="I705" s="340"/>
      <c r="J705" s="340"/>
      <c r="K705" s="12"/>
      <c r="L705" s="12"/>
      <c r="M705" s="12"/>
      <c r="N705" s="12"/>
      <c r="O705" s="12"/>
      <c r="P705" s="15"/>
      <c r="Q705" s="7"/>
      <c r="R705" s="7"/>
      <c r="S705" s="7"/>
      <c r="T705" s="8"/>
      <c r="U705" s="8"/>
    </row>
    <row r="706" spans="1:21" ht="12.75">
      <c r="A706" s="10"/>
      <c r="B706" s="344"/>
      <c r="C706" s="348"/>
      <c r="D706" s="352"/>
      <c r="E706" s="12"/>
      <c r="F706" s="376"/>
      <c r="G706" s="340"/>
      <c r="H706" s="340"/>
      <c r="I706" s="340"/>
      <c r="J706" s="340"/>
      <c r="K706" s="12"/>
      <c r="L706" s="12"/>
      <c r="M706" s="12"/>
      <c r="N706" s="12"/>
      <c r="O706" s="12"/>
      <c r="P706" s="15"/>
      <c r="Q706" s="7"/>
      <c r="R706" s="7"/>
      <c r="S706" s="7"/>
      <c r="T706" s="8"/>
      <c r="U706" s="8"/>
    </row>
    <row r="707" spans="1:21" ht="12.75">
      <c r="A707" s="10"/>
      <c r="B707" s="344"/>
      <c r="C707" s="348"/>
      <c r="D707" s="352"/>
      <c r="E707" s="12"/>
      <c r="F707" s="376"/>
      <c r="G707" s="340"/>
      <c r="H707" s="340"/>
      <c r="I707" s="340"/>
      <c r="J707" s="340"/>
      <c r="K707" s="12"/>
      <c r="L707" s="12"/>
      <c r="M707" s="12"/>
      <c r="N707" s="12"/>
      <c r="O707" s="12"/>
      <c r="P707" s="15"/>
      <c r="Q707" s="7"/>
      <c r="R707" s="7"/>
      <c r="S707" s="7"/>
      <c r="T707" s="8"/>
      <c r="U707" s="8"/>
    </row>
    <row r="708" spans="1:21" ht="12.75">
      <c r="A708" s="10"/>
      <c r="B708" s="344"/>
      <c r="C708" s="348"/>
      <c r="D708" s="352"/>
      <c r="E708" s="12"/>
      <c r="F708" s="376"/>
      <c r="G708" s="340"/>
      <c r="H708" s="340"/>
      <c r="I708" s="340"/>
      <c r="J708" s="340"/>
      <c r="K708" s="12"/>
      <c r="L708" s="12"/>
      <c r="M708" s="12"/>
      <c r="N708" s="12"/>
      <c r="O708" s="12"/>
      <c r="P708" s="15"/>
      <c r="Q708" s="7"/>
      <c r="R708" s="7"/>
      <c r="S708" s="7"/>
      <c r="T708" s="8"/>
      <c r="U708" s="8"/>
    </row>
    <row r="709" spans="1:21" ht="12.75">
      <c r="A709" s="10"/>
      <c r="B709" s="344"/>
      <c r="C709" s="348"/>
      <c r="D709" s="352"/>
      <c r="E709" s="12"/>
      <c r="F709" s="376"/>
      <c r="G709" s="340"/>
      <c r="H709" s="340"/>
      <c r="I709" s="340"/>
      <c r="J709" s="340"/>
      <c r="K709" s="12"/>
      <c r="L709" s="12"/>
      <c r="M709" s="12"/>
      <c r="N709" s="12"/>
      <c r="O709" s="12"/>
      <c r="P709" s="15"/>
      <c r="Q709" s="7"/>
      <c r="R709" s="7"/>
      <c r="S709" s="7"/>
      <c r="T709" s="8"/>
      <c r="U709" s="8"/>
    </row>
    <row r="710" spans="1:21" ht="12.75">
      <c r="A710" s="10"/>
      <c r="B710" s="344"/>
      <c r="C710" s="348"/>
      <c r="D710" s="352"/>
      <c r="E710" s="12"/>
      <c r="F710" s="376"/>
      <c r="G710" s="340"/>
      <c r="H710" s="340"/>
      <c r="I710" s="340"/>
      <c r="J710" s="340"/>
      <c r="K710" s="12"/>
      <c r="L710" s="12"/>
      <c r="M710" s="12"/>
      <c r="N710" s="12"/>
      <c r="O710" s="12"/>
      <c r="P710" s="15"/>
      <c r="Q710" s="7"/>
      <c r="R710" s="7"/>
      <c r="S710" s="7"/>
      <c r="T710" s="8"/>
      <c r="U710" s="8"/>
    </row>
    <row r="711" spans="1:21" ht="12.75">
      <c r="A711" s="10"/>
      <c r="B711" s="344"/>
      <c r="C711" s="348"/>
      <c r="D711" s="352"/>
      <c r="E711" s="12"/>
      <c r="F711" s="376"/>
      <c r="G711" s="340"/>
      <c r="H711" s="340"/>
      <c r="I711" s="340"/>
      <c r="J711" s="340"/>
      <c r="K711" s="12"/>
      <c r="L711" s="12"/>
      <c r="M711" s="12"/>
      <c r="N711" s="12"/>
      <c r="O711" s="12"/>
      <c r="P711" s="15"/>
      <c r="Q711" s="7"/>
      <c r="R711" s="7"/>
      <c r="S711" s="7"/>
      <c r="T711" s="8"/>
      <c r="U711" s="8"/>
    </row>
    <row r="712" spans="1:21" ht="12.75">
      <c r="A712" s="10"/>
      <c r="B712" s="344"/>
      <c r="C712" s="348"/>
      <c r="D712" s="352"/>
      <c r="E712" s="12"/>
      <c r="F712" s="376"/>
      <c r="G712" s="340"/>
      <c r="H712" s="340"/>
      <c r="I712" s="340"/>
      <c r="J712" s="340"/>
      <c r="K712" s="12"/>
      <c r="L712" s="12"/>
      <c r="M712" s="12"/>
      <c r="N712" s="12"/>
      <c r="O712" s="12"/>
      <c r="P712" s="15"/>
      <c r="Q712" s="7"/>
      <c r="R712" s="7"/>
      <c r="S712" s="7"/>
      <c r="T712" s="8"/>
      <c r="U712" s="8"/>
    </row>
    <row r="713" spans="1:21" ht="12.75">
      <c r="A713" s="10"/>
      <c r="B713" s="344"/>
      <c r="C713" s="348"/>
      <c r="D713" s="352"/>
      <c r="E713" s="12"/>
      <c r="F713" s="376"/>
      <c r="G713" s="340"/>
      <c r="H713" s="340"/>
      <c r="I713" s="340"/>
      <c r="J713" s="340"/>
      <c r="K713" s="12"/>
      <c r="L713" s="12"/>
      <c r="M713" s="12"/>
      <c r="N713" s="12"/>
      <c r="O713" s="12"/>
      <c r="P713" s="15"/>
      <c r="Q713" s="7"/>
      <c r="R713" s="7"/>
      <c r="S713" s="7"/>
      <c r="T713" s="8"/>
      <c r="U713" s="8"/>
    </row>
    <row r="714" spans="1:21" ht="12.75">
      <c r="A714" s="10"/>
      <c r="B714" s="344"/>
      <c r="C714" s="348"/>
      <c r="D714" s="352"/>
      <c r="E714" s="12"/>
      <c r="F714" s="376"/>
      <c r="G714" s="340"/>
      <c r="H714" s="340"/>
      <c r="I714" s="340"/>
      <c r="J714" s="340"/>
      <c r="K714" s="12"/>
      <c r="L714" s="12"/>
      <c r="M714" s="12"/>
      <c r="N714" s="12"/>
      <c r="O714" s="12"/>
      <c r="P714" s="15"/>
      <c r="Q714" s="7"/>
      <c r="R714" s="7"/>
      <c r="S714" s="7"/>
      <c r="T714" s="8"/>
      <c r="U714" s="8"/>
    </row>
    <row r="715" spans="1:21" ht="12.75">
      <c r="A715" s="10"/>
      <c r="B715" s="344"/>
      <c r="C715" s="348"/>
      <c r="D715" s="352"/>
      <c r="E715" s="12"/>
      <c r="F715" s="376"/>
      <c r="G715" s="340"/>
      <c r="H715" s="340"/>
      <c r="I715" s="340"/>
      <c r="J715" s="340"/>
      <c r="K715" s="12"/>
      <c r="L715" s="12"/>
      <c r="M715" s="12"/>
      <c r="N715" s="12"/>
      <c r="O715" s="12"/>
      <c r="P715" s="15"/>
      <c r="Q715" s="7"/>
      <c r="R715" s="7"/>
      <c r="S715" s="7"/>
      <c r="T715" s="8"/>
      <c r="U715" s="8"/>
    </row>
    <row r="716" spans="1:21" ht="12.75">
      <c r="A716" s="10"/>
      <c r="B716" s="344"/>
      <c r="C716" s="348"/>
      <c r="D716" s="352"/>
      <c r="E716" s="12"/>
      <c r="F716" s="376"/>
      <c r="G716" s="340"/>
      <c r="H716" s="340"/>
      <c r="I716" s="340"/>
      <c r="J716" s="340"/>
      <c r="K716" s="12"/>
      <c r="L716" s="12"/>
      <c r="M716" s="12"/>
      <c r="N716" s="12"/>
      <c r="O716" s="12"/>
      <c r="P716" s="15"/>
      <c r="Q716" s="8"/>
      <c r="R716" s="8"/>
      <c r="S716" s="8"/>
      <c r="T716" s="8"/>
      <c r="U716" s="8"/>
    </row>
    <row r="717" spans="1:21" ht="12.75">
      <c r="A717" s="10"/>
      <c r="B717" s="344"/>
      <c r="C717" s="348"/>
      <c r="D717" s="352"/>
      <c r="E717" s="12"/>
      <c r="F717" s="376"/>
      <c r="G717" s="340"/>
      <c r="H717" s="340"/>
      <c r="I717" s="340"/>
      <c r="J717" s="340"/>
      <c r="K717" s="12"/>
      <c r="L717" s="12"/>
      <c r="M717" s="12"/>
      <c r="N717" s="12"/>
      <c r="O717" s="12"/>
      <c r="P717" s="15"/>
      <c r="Q717" s="8"/>
      <c r="R717" s="8"/>
      <c r="S717" s="8"/>
      <c r="T717" s="8"/>
      <c r="U717" s="8"/>
    </row>
    <row r="718" spans="1:21" ht="12.75">
      <c r="A718" s="10"/>
      <c r="B718" s="344"/>
      <c r="C718" s="348"/>
      <c r="D718" s="352"/>
      <c r="E718" s="12"/>
      <c r="F718" s="376"/>
      <c r="G718" s="340"/>
      <c r="H718" s="340"/>
      <c r="I718" s="340"/>
      <c r="J718" s="340"/>
      <c r="K718" s="12"/>
      <c r="L718" s="12"/>
      <c r="M718" s="12"/>
      <c r="N718" s="12"/>
      <c r="O718" s="12"/>
      <c r="P718" s="15"/>
      <c r="Q718" s="8"/>
      <c r="R718" s="8"/>
      <c r="S718" s="8"/>
      <c r="T718" s="8"/>
      <c r="U718" s="8"/>
    </row>
    <row r="719" spans="1:21" ht="12.75">
      <c r="A719" s="10"/>
      <c r="B719" s="344"/>
      <c r="C719" s="348"/>
      <c r="D719" s="352"/>
      <c r="E719" s="12"/>
      <c r="F719" s="376"/>
      <c r="G719" s="340"/>
      <c r="H719" s="340"/>
      <c r="I719" s="340"/>
      <c r="J719" s="340"/>
      <c r="K719" s="12"/>
      <c r="L719" s="12"/>
      <c r="M719" s="12"/>
      <c r="N719" s="12"/>
      <c r="O719" s="12"/>
      <c r="P719" s="15"/>
      <c r="Q719" s="8"/>
      <c r="R719" s="8"/>
      <c r="S719" s="8"/>
      <c r="T719" s="8"/>
      <c r="U719" s="8"/>
    </row>
    <row r="720" spans="1:21" ht="12.75">
      <c r="A720" s="10"/>
      <c r="B720" s="344"/>
      <c r="C720" s="348"/>
      <c r="D720" s="352"/>
      <c r="E720" s="12"/>
      <c r="F720" s="376"/>
      <c r="G720" s="340"/>
      <c r="H720" s="340"/>
      <c r="I720" s="340"/>
      <c r="J720" s="340"/>
      <c r="K720" s="12"/>
      <c r="L720" s="12"/>
      <c r="M720" s="12"/>
      <c r="N720" s="12"/>
      <c r="O720" s="12"/>
      <c r="P720" s="15"/>
      <c r="Q720" s="8"/>
      <c r="R720" s="8"/>
      <c r="S720" s="8"/>
      <c r="T720" s="8"/>
      <c r="U720" s="8"/>
    </row>
    <row r="721" spans="1:21" ht="12.75">
      <c r="A721" s="10"/>
      <c r="B721" s="344"/>
      <c r="C721" s="348"/>
      <c r="D721" s="352"/>
      <c r="E721" s="12"/>
      <c r="F721" s="376"/>
      <c r="G721" s="340"/>
      <c r="H721" s="340"/>
      <c r="I721" s="340"/>
      <c r="J721" s="340"/>
      <c r="K721" s="12"/>
      <c r="L721" s="12"/>
      <c r="M721" s="12"/>
      <c r="N721" s="12"/>
      <c r="O721" s="12"/>
      <c r="P721" s="15"/>
      <c r="Q721" s="8"/>
      <c r="R721" s="8"/>
      <c r="S721" s="8"/>
      <c r="T721" s="8"/>
      <c r="U721" s="8"/>
    </row>
    <row r="722" spans="1:21" ht="12.75">
      <c r="A722" s="10"/>
      <c r="B722" s="344"/>
      <c r="C722" s="348"/>
      <c r="D722" s="352"/>
      <c r="E722" s="12"/>
      <c r="F722" s="376"/>
      <c r="G722" s="340"/>
      <c r="H722" s="340"/>
      <c r="I722" s="340"/>
      <c r="J722" s="340"/>
      <c r="K722" s="12"/>
      <c r="L722" s="12"/>
      <c r="M722" s="12"/>
      <c r="N722" s="12"/>
      <c r="O722" s="12"/>
      <c r="P722" s="15"/>
      <c r="Q722" s="8"/>
      <c r="R722" s="8"/>
      <c r="S722" s="8"/>
      <c r="T722" s="8"/>
      <c r="U722" s="8"/>
    </row>
    <row r="723" spans="1:21" ht="12.75">
      <c r="A723" s="10"/>
      <c r="B723" s="344"/>
      <c r="C723" s="348"/>
      <c r="D723" s="352"/>
      <c r="E723" s="12"/>
      <c r="F723" s="376"/>
      <c r="G723" s="340"/>
      <c r="H723" s="340"/>
      <c r="I723" s="340"/>
      <c r="J723" s="340"/>
      <c r="K723" s="12"/>
      <c r="L723" s="12"/>
      <c r="M723" s="12"/>
      <c r="N723" s="12"/>
      <c r="O723" s="12"/>
      <c r="P723" s="15"/>
      <c r="Q723" s="8"/>
      <c r="R723" s="8"/>
      <c r="S723" s="8"/>
      <c r="T723" s="8"/>
      <c r="U723" s="8"/>
    </row>
    <row r="724" spans="1:21" ht="12.75">
      <c r="A724" s="10"/>
      <c r="B724" s="344"/>
      <c r="C724" s="348"/>
      <c r="D724" s="352"/>
      <c r="E724" s="12"/>
      <c r="F724" s="376"/>
      <c r="G724" s="340"/>
      <c r="H724" s="340"/>
      <c r="I724" s="340"/>
      <c r="J724" s="340"/>
      <c r="K724" s="12"/>
      <c r="L724" s="12"/>
      <c r="M724" s="12"/>
      <c r="N724" s="12"/>
      <c r="O724" s="12"/>
      <c r="P724" s="15"/>
      <c r="Q724" s="8"/>
      <c r="R724" s="8"/>
      <c r="S724" s="8"/>
      <c r="T724" s="8"/>
      <c r="U724" s="8"/>
    </row>
    <row r="725" spans="1:21" ht="12.75">
      <c r="A725" s="10"/>
      <c r="B725" s="344"/>
      <c r="C725" s="348"/>
      <c r="D725" s="352"/>
      <c r="E725" s="12"/>
      <c r="F725" s="376"/>
      <c r="G725" s="340"/>
      <c r="H725" s="340"/>
      <c r="I725" s="340"/>
      <c r="J725" s="340"/>
      <c r="K725" s="12"/>
      <c r="L725" s="12"/>
      <c r="M725" s="12"/>
      <c r="N725" s="12"/>
      <c r="O725" s="12"/>
      <c r="P725" s="15"/>
      <c r="Q725" s="8"/>
      <c r="R725" s="8"/>
      <c r="S725" s="8"/>
      <c r="T725" s="8"/>
      <c r="U725" s="8"/>
    </row>
    <row r="726" spans="1:21" ht="12.75">
      <c r="A726" s="10"/>
      <c r="B726" s="344"/>
      <c r="C726" s="348"/>
      <c r="D726" s="352"/>
      <c r="E726" s="12"/>
      <c r="F726" s="376"/>
      <c r="G726" s="340"/>
      <c r="H726" s="340"/>
      <c r="I726" s="340"/>
      <c r="J726" s="340"/>
      <c r="K726" s="12"/>
      <c r="L726" s="12"/>
      <c r="M726" s="12"/>
      <c r="N726" s="12"/>
      <c r="O726" s="12"/>
      <c r="P726" s="15"/>
      <c r="Q726" s="8"/>
      <c r="R726" s="8"/>
      <c r="S726" s="8"/>
      <c r="T726" s="8"/>
      <c r="U726" s="8"/>
    </row>
    <row r="727" spans="1:21" ht="12.75">
      <c r="A727" s="10"/>
      <c r="B727" s="344"/>
      <c r="C727" s="348"/>
      <c r="D727" s="352"/>
      <c r="E727" s="12"/>
      <c r="F727" s="376"/>
      <c r="G727" s="340"/>
      <c r="H727" s="340"/>
      <c r="I727" s="340"/>
      <c r="J727" s="340"/>
      <c r="K727" s="12"/>
      <c r="L727" s="12"/>
      <c r="M727" s="12"/>
      <c r="N727" s="12"/>
      <c r="O727" s="12"/>
      <c r="P727" s="15"/>
      <c r="Q727" s="8"/>
      <c r="R727" s="8"/>
      <c r="S727" s="8"/>
      <c r="T727" s="8"/>
      <c r="U727" s="8"/>
    </row>
    <row r="728" spans="1:21" ht="12.75">
      <c r="A728" s="10"/>
      <c r="B728" s="344"/>
      <c r="C728" s="348"/>
      <c r="D728" s="352"/>
      <c r="E728" s="12"/>
      <c r="F728" s="376"/>
      <c r="G728" s="340"/>
      <c r="H728" s="340"/>
      <c r="I728" s="340"/>
      <c r="J728" s="340"/>
      <c r="K728" s="12"/>
      <c r="L728" s="12"/>
      <c r="M728" s="12"/>
      <c r="N728" s="12"/>
      <c r="O728" s="12"/>
      <c r="P728" s="15"/>
      <c r="Q728" s="8"/>
      <c r="R728" s="8"/>
      <c r="S728" s="8"/>
      <c r="T728" s="8"/>
      <c r="U728" s="8"/>
    </row>
    <row r="729" spans="1:21" ht="12.75">
      <c r="A729" s="10"/>
      <c r="B729" s="344"/>
      <c r="C729" s="348"/>
      <c r="D729" s="352"/>
      <c r="E729" s="12"/>
      <c r="F729" s="376"/>
      <c r="G729" s="340"/>
      <c r="H729" s="340"/>
      <c r="I729" s="340"/>
      <c r="J729" s="340"/>
      <c r="K729" s="12"/>
      <c r="L729" s="12"/>
      <c r="M729" s="12"/>
      <c r="N729" s="12"/>
      <c r="O729" s="12"/>
      <c r="P729" s="15"/>
      <c r="Q729" s="8"/>
      <c r="R729" s="8"/>
      <c r="S729" s="8"/>
      <c r="T729" s="8"/>
      <c r="U729" s="8"/>
    </row>
    <row r="730" spans="1:21" ht="12.75">
      <c r="A730" s="20"/>
      <c r="C730" s="349"/>
      <c r="D730" s="353"/>
      <c r="E730" s="20"/>
      <c r="F730" s="22"/>
      <c r="G730" s="340"/>
      <c r="H730" s="340"/>
      <c r="I730" s="340"/>
      <c r="J730" s="340"/>
      <c r="K730" s="20"/>
      <c r="L730" s="20"/>
      <c r="M730" s="20"/>
      <c r="N730" s="20"/>
      <c r="O730" s="20"/>
      <c r="P730" s="23"/>
    </row>
    <row r="731" spans="1:21" ht="12.75">
      <c r="A731" s="20"/>
      <c r="C731" s="349"/>
      <c r="D731" s="353"/>
      <c r="E731" s="20"/>
      <c r="F731" s="22"/>
      <c r="G731" s="340"/>
      <c r="H731" s="340"/>
      <c r="I731" s="340"/>
      <c r="J731" s="340"/>
      <c r="K731" s="20"/>
      <c r="L731" s="20"/>
      <c r="M731" s="20"/>
      <c r="N731" s="20"/>
      <c r="O731" s="20"/>
      <c r="P731" s="23"/>
    </row>
    <row r="732" spans="1:21" ht="12.75">
      <c r="A732" s="20"/>
      <c r="C732" s="349"/>
      <c r="D732" s="353"/>
      <c r="E732" s="20"/>
      <c r="F732" s="22"/>
      <c r="G732" s="340"/>
      <c r="H732" s="340"/>
      <c r="I732" s="340"/>
      <c r="J732" s="340"/>
      <c r="K732" s="20"/>
      <c r="L732" s="20"/>
      <c r="M732" s="20"/>
      <c r="N732" s="20"/>
      <c r="O732" s="20"/>
      <c r="P732" s="23"/>
    </row>
    <row r="733" spans="1:21" ht="12.75">
      <c r="A733" s="20"/>
      <c r="C733" s="349"/>
      <c r="D733" s="353"/>
      <c r="E733" s="20"/>
      <c r="F733" s="22"/>
      <c r="G733" s="340"/>
      <c r="H733" s="340"/>
      <c r="I733" s="340"/>
      <c r="J733" s="340"/>
      <c r="K733" s="20"/>
      <c r="L733" s="20"/>
      <c r="M733" s="20"/>
      <c r="N733" s="20"/>
      <c r="O733" s="20"/>
      <c r="P733" s="23"/>
    </row>
    <row r="734" spans="1:21" ht="12.75">
      <c r="A734" s="20"/>
      <c r="C734" s="349"/>
      <c r="D734" s="353"/>
      <c r="E734" s="20"/>
      <c r="F734" s="22"/>
      <c r="G734" s="340"/>
      <c r="H734" s="340"/>
      <c r="I734" s="340"/>
      <c r="J734" s="340"/>
      <c r="K734" s="20"/>
      <c r="L734" s="20"/>
      <c r="M734" s="20"/>
      <c r="N734" s="20"/>
      <c r="O734" s="20"/>
      <c r="P734" s="23"/>
    </row>
    <row r="735" spans="1:21" ht="12.75">
      <c r="A735" s="20"/>
      <c r="C735" s="349"/>
      <c r="D735" s="353"/>
      <c r="E735" s="20"/>
      <c r="F735" s="22"/>
      <c r="G735" s="340"/>
      <c r="H735" s="340"/>
      <c r="I735" s="340"/>
      <c r="J735" s="340"/>
      <c r="K735" s="20"/>
      <c r="L735" s="20"/>
      <c r="M735" s="20"/>
      <c r="N735" s="20"/>
      <c r="O735" s="20"/>
      <c r="P735" s="23"/>
    </row>
    <row r="736" spans="1:21" ht="12.75">
      <c r="A736" s="20"/>
      <c r="C736" s="349"/>
      <c r="D736" s="353"/>
      <c r="E736" s="20"/>
      <c r="F736" s="22"/>
      <c r="G736" s="340"/>
      <c r="H736" s="340"/>
      <c r="I736" s="340"/>
      <c r="J736" s="340"/>
      <c r="K736" s="20"/>
      <c r="L736" s="20"/>
      <c r="M736" s="20"/>
      <c r="N736" s="20"/>
      <c r="O736" s="20"/>
      <c r="P736" s="23"/>
    </row>
    <row r="737" spans="1:16" ht="12.75">
      <c r="A737" s="20"/>
      <c r="C737" s="349"/>
      <c r="D737" s="353"/>
      <c r="E737" s="20"/>
      <c r="F737" s="22"/>
      <c r="G737" s="340"/>
      <c r="H737" s="340"/>
      <c r="I737" s="340"/>
      <c r="J737" s="340"/>
      <c r="K737" s="20"/>
      <c r="L737" s="20"/>
      <c r="M737" s="20"/>
      <c r="N737" s="20"/>
      <c r="O737" s="20"/>
      <c r="P737" s="23"/>
    </row>
    <row r="738" spans="1:16" ht="12.75">
      <c r="A738" s="20"/>
      <c r="C738" s="349"/>
      <c r="D738" s="353"/>
      <c r="E738" s="20"/>
      <c r="F738" s="22"/>
      <c r="G738" s="340"/>
      <c r="H738" s="340"/>
      <c r="I738" s="340"/>
      <c r="J738" s="340"/>
      <c r="K738" s="20"/>
      <c r="L738" s="20"/>
      <c r="M738" s="20"/>
      <c r="N738" s="20"/>
      <c r="O738" s="20"/>
      <c r="P738" s="23"/>
    </row>
    <row r="739" spans="1:16" ht="12.75">
      <c r="A739" s="20"/>
      <c r="C739" s="349"/>
      <c r="D739" s="353"/>
      <c r="E739" s="20"/>
      <c r="F739" s="22"/>
      <c r="G739" s="340"/>
      <c r="H739" s="340"/>
      <c r="I739" s="340"/>
      <c r="J739" s="340"/>
      <c r="K739" s="20"/>
      <c r="L739" s="20"/>
      <c r="M739" s="20"/>
      <c r="N739" s="20"/>
      <c r="O739" s="20"/>
      <c r="P739" s="23"/>
    </row>
    <row r="740" spans="1:16" ht="12.75">
      <c r="A740" s="20"/>
      <c r="C740" s="349"/>
      <c r="D740" s="353"/>
      <c r="E740" s="20"/>
      <c r="F740" s="22"/>
      <c r="G740" s="340"/>
      <c r="H740" s="340"/>
      <c r="I740" s="340"/>
      <c r="J740" s="340"/>
      <c r="K740" s="20"/>
      <c r="L740" s="20"/>
      <c r="M740" s="20"/>
      <c r="N740" s="20"/>
      <c r="O740" s="20"/>
      <c r="P740" s="23"/>
    </row>
    <row r="741" spans="1:16" ht="12.75">
      <c r="A741" s="20"/>
      <c r="C741" s="349"/>
      <c r="D741" s="353"/>
      <c r="E741" s="20"/>
      <c r="F741" s="22"/>
      <c r="G741" s="340"/>
      <c r="H741" s="340"/>
      <c r="I741" s="340"/>
      <c r="J741" s="340"/>
      <c r="K741" s="20"/>
      <c r="L741" s="20"/>
      <c r="M741" s="20"/>
      <c r="N741" s="20"/>
      <c r="O741" s="20"/>
      <c r="P741" s="23"/>
    </row>
    <row r="742" spans="1:16" ht="12.75">
      <c r="A742" s="20"/>
      <c r="C742" s="349"/>
      <c r="D742" s="353"/>
      <c r="E742" s="20"/>
      <c r="F742" s="22"/>
      <c r="G742" s="340"/>
      <c r="H742" s="340"/>
      <c r="I742" s="340"/>
      <c r="J742" s="340"/>
      <c r="K742" s="20"/>
      <c r="L742" s="20"/>
      <c r="M742" s="20"/>
      <c r="N742" s="20"/>
      <c r="O742" s="20"/>
      <c r="P742" s="23"/>
    </row>
    <row r="743" spans="1:16" ht="12.75">
      <c r="A743" s="20"/>
      <c r="C743" s="349"/>
      <c r="D743" s="353"/>
      <c r="E743" s="20"/>
      <c r="F743" s="22"/>
      <c r="G743" s="340"/>
      <c r="H743" s="340"/>
      <c r="I743" s="340"/>
      <c r="J743" s="340"/>
      <c r="K743" s="20"/>
      <c r="L743" s="20"/>
      <c r="M743" s="20"/>
      <c r="N743" s="20"/>
      <c r="O743" s="20"/>
      <c r="P743" s="23"/>
    </row>
    <row r="744" spans="1:16" ht="12.75">
      <c r="A744" s="20"/>
      <c r="C744" s="349"/>
      <c r="D744" s="353"/>
      <c r="E744" s="20"/>
      <c r="F744" s="22"/>
      <c r="G744" s="340"/>
      <c r="H744" s="340"/>
      <c r="I744" s="340"/>
      <c r="J744" s="340"/>
      <c r="K744" s="20"/>
      <c r="L744" s="20"/>
      <c r="M744" s="20"/>
      <c r="N744" s="20"/>
      <c r="O744" s="20"/>
      <c r="P744" s="23"/>
    </row>
    <row r="745" spans="1:16" ht="12.75">
      <c r="A745" s="20"/>
      <c r="C745" s="349"/>
      <c r="D745" s="353"/>
      <c r="E745" s="20"/>
      <c r="F745" s="22"/>
      <c r="G745" s="340"/>
      <c r="H745" s="340"/>
      <c r="I745" s="340"/>
      <c r="J745" s="340"/>
      <c r="K745" s="20"/>
      <c r="L745" s="20"/>
      <c r="M745" s="20"/>
      <c r="N745" s="20"/>
      <c r="O745" s="20"/>
      <c r="P745" s="23"/>
    </row>
    <row r="746" spans="1:16" ht="12.75">
      <c r="A746" s="20"/>
      <c r="C746" s="349"/>
      <c r="D746" s="353"/>
      <c r="E746" s="20"/>
      <c r="F746" s="22"/>
      <c r="G746" s="340"/>
      <c r="H746" s="340"/>
      <c r="I746" s="340"/>
      <c r="J746" s="340"/>
      <c r="K746" s="20"/>
      <c r="L746" s="20"/>
      <c r="M746" s="20"/>
      <c r="N746" s="20"/>
      <c r="O746" s="20"/>
      <c r="P746" s="23"/>
    </row>
    <row r="747" spans="1:16" ht="12.75">
      <c r="A747" s="20"/>
      <c r="C747" s="349"/>
      <c r="D747" s="353"/>
      <c r="E747" s="20"/>
      <c r="F747" s="22"/>
      <c r="G747" s="340"/>
      <c r="H747" s="340"/>
      <c r="I747" s="340"/>
      <c r="J747" s="340"/>
      <c r="K747" s="20"/>
      <c r="L747" s="20"/>
      <c r="M747" s="20"/>
      <c r="N747" s="20"/>
      <c r="O747" s="20"/>
      <c r="P747" s="23"/>
    </row>
    <row r="748" spans="1:16" ht="12.75">
      <c r="A748" s="20"/>
      <c r="C748" s="349"/>
      <c r="D748" s="353"/>
      <c r="E748" s="20"/>
      <c r="F748" s="22"/>
      <c r="G748" s="340"/>
      <c r="H748" s="340"/>
      <c r="I748" s="340"/>
      <c r="J748" s="340"/>
      <c r="K748" s="20"/>
      <c r="L748" s="20"/>
      <c r="M748" s="20"/>
      <c r="N748" s="20"/>
      <c r="O748" s="20"/>
      <c r="P748" s="23"/>
    </row>
    <row r="749" spans="1:16" ht="12.75">
      <c r="A749" s="20"/>
      <c r="C749" s="349"/>
      <c r="D749" s="353"/>
      <c r="E749" s="20"/>
      <c r="F749" s="22"/>
      <c r="G749" s="340"/>
      <c r="H749" s="340"/>
      <c r="I749" s="340"/>
      <c r="J749" s="340"/>
      <c r="K749" s="20"/>
      <c r="L749" s="20"/>
      <c r="M749" s="20"/>
      <c r="N749" s="20"/>
      <c r="O749" s="20"/>
      <c r="P749" s="23"/>
    </row>
    <row r="750" spans="1:16" ht="12.75">
      <c r="A750" s="20"/>
      <c r="C750" s="349"/>
      <c r="D750" s="353"/>
      <c r="E750" s="20"/>
      <c r="F750" s="22"/>
      <c r="G750" s="340"/>
      <c r="H750" s="340"/>
      <c r="I750" s="340"/>
      <c r="J750" s="340"/>
      <c r="K750" s="20"/>
      <c r="L750" s="20"/>
      <c r="M750" s="20"/>
      <c r="N750" s="20"/>
      <c r="O750" s="20"/>
      <c r="P750" s="23"/>
    </row>
    <row r="751" spans="1:16" ht="12.75">
      <c r="A751" s="20"/>
      <c r="C751" s="349"/>
      <c r="D751" s="353"/>
      <c r="E751" s="20"/>
      <c r="F751" s="22"/>
      <c r="G751" s="340"/>
      <c r="H751" s="340"/>
      <c r="I751" s="340"/>
      <c r="J751" s="340"/>
      <c r="K751" s="20"/>
      <c r="L751" s="20"/>
      <c r="M751" s="20"/>
      <c r="N751" s="20"/>
      <c r="O751" s="20"/>
      <c r="P751" s="23"/>
    </row>
    <row r="752" spans="1:16" ht="12.75">
      <c r="A752" s="20"/>
      <c r="C752" s="349"/>
      <c r="D752" s="353"/>
      <c r="E752" s="20"/>
      <c r="F752" s="22"/>
      <c r="G752" s="340"/>
      <c r="H752" s="340"/>
      <c r="I752" s="340"/>
      <c r="J752" s="340"/>
      <c r="K752" s="20"/>
      <c r="L752" s="20"/>
      <c r="M752" s="20"/>
      <c r="N752" s="20"/>
      <c r="O752" s="20"/>
      <c r="P752" s="23"/>
    </row>
    <row r="753" spans="1:16" ht="12.75">
      <c r="A753" s="20"/>
      <c r="C753" s="349"/>
      <c r="D753" s="353"/>
      <c r="E753" s="20"/>
      <c r="F753" s="22"/>
      <c r="G753" s="340"/>
      <c r="H753" s="340"/>
      <c r="I753" s="340"/>
      <c r="J753" s="340"/>
      <c r="K753" s="20"/>
      <c r="L753" s="20"/>
      <c r="M753" s="20"/>
      <c r="N753" s="20"/>
      <c r="O753" s="20"/>
      <c r="P753" s="23"/>
    </row>
    <row r="754" spans="1:16" ht="12.75">
      <c r="A754" s="20"/>
      <c r="C754" s="349"/>
      <c r="D754" s="353"/>
      <c r="E754" s="20"/>
      <c r="F754" s="22"/>
      <c r="G754" s="340"/>
      <c r="H754" s="340"/>
      <c r="I754" s="340"/>
      <c r="J754" s="340"/>
      <c r="K754" s="20"/>
      <c r="L754" s="20"/>
      <c r="M754" s="20"/>
      <c r="N754" s="20"/>
      <c r="O754" s="20"/>
      <c r="P754" s="23"/>
    </row>
    <row r="755" spans="1:16" ht="12.75">
      <c r="A755" s="20"/>
      <c r="C755" s="349"/>
      <c r="D755" s="353"/>
      <c r="E755" s="20"/>
      <c r="F755" s="22"/>
      <c r="G755" s="340"/>
      <c r="H755" s="340"/>
      <c r="I755" s="340"/>
      <c r="J755" s="340"/>
      <c r="K755" s="20"/>
      <c r="L755" s="20"/>
      <c r="M755" s="20"/>
      <c r="N755" s="20"/>
      <c r="O755" s="20"/>
      <c r="P755" s="23"/>
    </row>
    <row r="756" spans="1:16" ht="12.75">
      <c r="A756" s="20"/>
      <c r="C756" s="349"/>
      <c r="D756" s="353"/>
      <c r="E756" s="20"/>
      <c r="F756" s="22"/>
      <c r="G756" s="340"/>
      <c r="H756" s="340"/>
      <c r="I756" s="340"/>
      <c r="J756" s="340"/>
      <c r="K756" s="20"/>
      <c r="L756" s="20"/>
      <c r="M756" s="20"/>
      <c r="N756" s="20"/>
      <c r="O756" s="20"/>
      <c r="P756" s="23"/>
    </row>
    <row r="757" spans="1:16" ht="12.75">
      <c r="A757" s="20"/>
      <c r="C757" s="349"/>
      <c r="D757" s="353"/>
      <c r="E757" s="20"/>
      <c r="F757" s="22"/>
      <c r="G757" s="340"/>
      <c r="H757" s="340"/>
      <c r="I757" s="340"/>
      <c r="J757" s="340"/>
      <c r="K757" s="20"/>
      <c r="L757" s="20"/>
      <c r="M757" s="20"/>
      <c r="N757" s="20"/>
      <c r="O757" s="20"/>
      <c r="P757" s="23"/>
    </row>
    <row r="758" spans="1:16" ht="12.75">
      <c r="A758" s="20"/>
      <c r="C758" s="349"/>
      <c r="D758" s="353"/>
      <c r="E758" s="20"/>
      <c r="F758" s="22"/>
      <c r="G758" s="340"/>
      <c r="H758" s="340"/>
      <c r="I758" s="340"/>
      <c r="J758" s="340"/>
      <c r="K758" s="20"/>
      <c r="L758" s="20"/>
      <c r="M758" s="20"/>
      <c r="N758" s="20"/>
      <c r="O758" s="20"/>
      <c r="P758" s="23"/>
    </row>
    <row r="759" spans="1:16" ht="12.75">
      <c r="A759" s="20"/>
      <c r="C759" s="349"/>
      <c r="D759" s="353"/>
      <c r="E759" s="20"/>
      <c r="F759" s="22"/>
      <c r="G759" s="340"/>
      <c r="H759" s="340"/>
      <c r="I759" s="340"/>
      <c r="J759" s="340"/>
      <c r="K759" s="20"/>
      <c r="L759" s="20"/>
      <c r="M759" s="20"/>
      <c r="N759" s="20"/>
      <c r="O759" s="20"/>
      <c r="P759" s="23"/>
    </row>
    <row r="760" spans="1:16" ht="12.75">
      <c r="A760" s="20"/>
      <c r="C760" s="349"/>
      <c r="D760" s="353"/>
      <c r="E760" s="20"/>
      <c r="F760" s="22"/>
      <c r="G760" s="340"/>
      <c r="H760" s="340"/>
      <c r="I760" s="340"/>
      <c r="J760" s="340"/>
      <c r="K760" s="20"/>
      <c r="L760" s="20"/>
      <c r="M760" s="20"/>
      <c r="N760" s="20"/>
      <c r="O760" s="20"/>
      <c r="P760" s="23"/>
    </row>
    <row r="761" spans="1:16" ht="12.75">
      <c r="A761" s="20"/>
      <c r="C761" s="349"/>
      <c r="D761" s="353"/>
      <c r="E761" s="20"/>
      <c r="F761" s="22"/>
      <c r="G761" s="340"/>
      <c r="H761" s="340"/>
      <c r="I761" s="340"/>
      <c r="J761" s="340"/>
      <c r="K761" s="20"/>
      <c r="L761" s="20"/>
      <c r="M761" s="20"/>
      <c r="N761" s="20"/>
      <c r="O761" s="20"/>
      <c r="P761" s="23"/>
    </row>
    <row r="762" spans="1:16" ht="12.75">
      <c r="A762" s="20"/>
      <c r="C762" s="349"/>
      <c r="D762" s="353"/>
      <c r="E762" s="20"/>
      <c r="F762" s="22"/>
      <c r="G762" s="340"/>
      <c r="H762" s="340"/>
      <c r="I762" s="340"/>
      <c r="J762" s="340"/>
      <c r="K762" s="20"/>
      <c r="L762" s="20"/>
      <c r="M762" s="20"/>
      <c r="N762" s="20"/>
      <c r="O762" s="20"/>
      <c r="P762" s="23"/>
    </row>
    <row r="763" spans="1:16" ht="12.75">
      <c r="A763" s="20"/>
      <c r="C763" s="349"/>
      <c r="D763" s="353"/>
      <c r="E763" s="20"/>
      <c r="F763" s="22"/>
      <c r="G763" s="340"/>
      <c r="H763" s="340"/>
      <c r="I763" s="340"/>
      <c r="J763" s="340"/>
      <c r="K763" s="20"/>
      <c r="L763" s="20"/>
      <c r="M763" s="20"/>
      <c r="N763" s="20"/>
      <c r="O763" s="20"/>
      <c r="P763" s="23"/>
    </row>
    <row r="764" spans="1:16" ht="12.75">
      <c r="A764" s="20"/>
      <c r="C764" s="349"/>
      <c r="D764" s="353"/>
      <c r="E764" s="20"/>
      <c r="F764" s="22"/>
      <c r="G764" s="340"/>
      <c r="H764" s="340"/>
      <c r="I764" s="340"/>
      <c r="J764" s="340"/>
      <c r="K764" s="20"/>
      <c r="L764" s="20"/>
      <c r="M764" s="20"/>
      <c r="N764" s="20"/>
      <c r="O764" s="20"/>
      <c r="P764" s="23"/>
    </row>
    <row r="765" spans="1:16" ht="12.75">
      <c r="A765" s="20"/>
      <c r="C765" s="349"/>
      <c r="D765" s="353"/>
      <c r="E765" s="20"/>
      <c r="F765" s="22"/>
      <c r="G765" s="340"/>
      <c r="H765" s="340"/>
      <c r="I765" s="340"/>
      <c r="J765" s="340"/>
      <c r="K765" s="20"/>
      <c r="L765" s="20"/>
      <c r="M765" s="20"/>
      <c r="N765" s="20"/>
      <c r="O765" s="20"/>
      <c r="P765" s="23"/>
    </row>
    <row r="766" spans="1:16" ht="12.75">
      <c r="A766" s="20"/>
      <c r="C766" s="349"/>
      <c r="D766" s="353"/>
      <c r="E766" s="20"/>
      <c r="F766" s="22"/>
      <c r="G766" s="340"/>
      <c r="H766" s="340"/>
      <c r="I766" s="340"/>
      <c r="J766" s="340"/>
      <c r="K766" s="20"/>
      <c r="L766" s="20"/>
      <c r="M766" s="20"/>
      <c r="N766" s="20"/>
      <c r="O766" s="20"/>
      <c r="P766" s="23"/>
    </row>
    <row r="767" spans="1:16" ht="12.75">
      <c r="A767" s="20"/>
      <c r="C767" s="349"/>
      <c r="D767" s="353"/>
      <c r="E767" s="20"/>
      <c r="F767" s="22"/>
      <c r="G767" s="340"/>
      <c r="H767" s="340"/>
      <c r="I767" s="340"/>
      <c r="J767" s="340"/>
      <c r="K767" s="20"/>
      <c r="L767" s="20"/>
      <c r="M767" s="20"/>
      <c r="N767" s="20"/>
      <c r="O767" s="20"/>
      <c r="P767" s="23"/>
    </row>
    <row r="768" spans="1:16" ht="12.75">
      <c r="A768" s="20"/>
      <c r="C768" s="349"/>
      <c r="D768" s="353"/>
      <c r="E768" s="20"/>
      <c r="F768" s="22"/>
      <c r="G768" s="340"/>
      <c r="H768" s="340"/>
      <c r="I768" s="340"/>
      <c r="J768" s="340"/>
      <c r="K768" s="20"/>
      <c r="L768" s="20"/>
      <c r="M768" s="20"/>
      <c r="N768" s="20"/>
      <c r="O768" s="20"/>
      <c r="P768" s="23"/>
    </row>
    <row r="769" spans="1:16" ht="12.75">
      <c r="A769" s="20"/>
      <c r="C769" s="349"/>
      <c r="D769" s="353"/>
      <c r="E769" s="20"/>
      <c r="F769" s="22"/>
      <c r="G769" s="340"/>
      <c r="H769" s="340"/>
      <c r="I769" s="340"/>
      <c r="J769" s="340"/>
      <c r="K769" s="20"/>
      <c r="L769" s="20"/>
      <c r="M769" s="20"/>
      <c r="N769" s="20"/>
      <c r="O769" s="20"/>
      <c r="P769" s="23"/>
    </row>
    <row r="770" spans="1:16" ht="12.75">
      <c r="A770" s="20"/>
      <c r="C770" s="349"/>
      <c r="D770" s="353"/>
      <c r="E770" s="20"/>
      <c r="F770" s="22"/>
      <c r="G770" s="340"/>
      <c r="H770" s="340"/>
      <c r="I770" s="340"/>
      <c r="J770" s="340"/>
      <c r="K770" s="20"/>
      <c r="L770" s="20"/>
      <c r="M770" s="20"/>
      <c r="N770" s="20"/>
      <c r="O770" s="20"/>
      <c r="P770" s="23"/>
    </row>
    <row r="771" spans="1:16" ht="12.75">
      <c r="A771" s="20"/>
      <c r="C771" s="349"/>
      <c r="D771" s="353"/>
      <c r="E771" s="20"/>
      <c r="F771" s="22"/>
      <c r="G771" s="340"/>
      <c r="H771" s="340"/>
      <c r="I771" s="340"/>
      <c r="J771" s="340"/>
      <c r="K771" s="20"/>
      <c r="L771" s="20"/>
      <c r="M771" s="20"/>
      <c r="N771" s="20"/>
      <c r="O771" s="20"/>
      <c r="P771" s="23"/>
    </row>
    <row r="772" spans="1:16" ht="12.75">
      <c r="A772" s="20"/>
      <c r="C772" s="349"/>
      <c r="D772" s="353"/>
      <c r="E772" s="20"/>
      <c r="F772" s="22"/>
      <c r="G772" s="340"/>
      <c r="H772" s="340"/>
      <c r="I772" s="340"/>
      <c r="J772" s="340"/>
      <c r="K772" s="20"/>
      <c r="L772" s="20"/>
      <c r="M772" s="20"/>
      <c r="N772" s="20"/>
      <c r="O772" s="20"/>
      <c r="P772" s="23"/>
    </row>
    <row r="773" spans="1:16" ht="12.75">
      <c r="A773" s="20"/>
      <c r="C773" s="349"/>
      <c r="D773" s="353"/>
      <c r="E773" s="20"/>
      <c r="F773" s="22"/>
      <c r="G773" s="340"/>
      <c r="H773" s="340"/>
      <c r="I773" s="340"/>
      <c r="J773" s="340"/>
      <c r="K773" s="20"/>
      <c r="L773" s="20"/>
      <c r="M773" s="20"/>
      <c r="N773" s="20"/>
      <c r="O773" s="20"/>
      <c r="P773" s="23"/>
    </row>
    <row r="774" spans="1:16" ht="12.75">
      <c r="A774" s="20"/>
      <c r="C774" s="349"/>
      <c r="D774" s="353"/>
      <c r="E774" s="20"/>
      <c r="F774" s="22"/>
      <c r="G774" s="340"/>
      <c r="H774" s="340"/>
      <c r="I774" s="340"/>
      <c r="J774" s="340"/>
      <c r="K774" s="20"/>
      <c r="L774" s="20"/>
      <c r="M774" s="20"/>
      <c r="N774" s="20"/>
      <c r="O774" s="20"/>
      <c r="P774" s="23"/>
    </row>
    <row r="775" spans="1:16" ht="12.75">
      <c r="A775" s="20"/>
      <c r="C775" s="349"/>
      <c r="D775" s="353"/>
      <c r="E775" s="20"/>
      <c r="F775" s="22"/>
      <c r="G775" s="340"/>
      <c r="H775" s="340"/>
      <c r="I775" s="340"/>
      <c r="J775" s="340"/>
      <c r="K775" s="20"/>
      <c r="L775" s="20"/>
      <c r="M775" s="20"/>
      <c r="N775" s="20"/>
      <c r="O775" s="20"/>
      <c r="P775" s="23"/>
    </row>
    <row r="776" spans="1:16" ht="12.75">
      <c r="A776" s="20"/>
      <c r="C776" s="349"/>
      <c r="D776" s="353"/>
      <c r="E776" s="20"/>
      <c r="F776" s="22"/>
      <c r="G776" s="340"/>
      <c r="H776" s="340"/>
      <c r="I776" s="340"/>
      <c r="J776" s="340"/>
      <c r="K776" s="20"/>
      <c r="L776" s="20"/>
      <c r="M776" s="20"/>
      <c r="N776" s="20"/>
      <c r="O776" s="20"/>
      <c r="P776" s="23"/>
    </row>
    <row r="777" spans="1:16" ht="12.75">
      <c r="A777" s="20"/>
      <c r="C777" s="349"/>
      <c r="D777" s="353"/>
      <c r="E777" s="20"/>
      <c r="F777" s="22"/>
      <c r="G777" s="340"/>
      <c r="H777" s="340"/>
      <c r="I777" s="340"/>
      <c r="J777" s="340"/>
      <c r="K777" s="20"/>
      <c r="L777" s="20"/>
      <c r="M777" s="20"/>
      <c r="N777" s="20"/>
      <c r="O777" s="20"/>
      <c r="P777" s="23"/>
    </row>
    <row r="778" spans="1:16" ht="12.75">
      <c r="A778" s="20"/>
      <c r="C778" s="349"/>
      <c r="D778" s="353"/>
      <c r="E778" s="20"/>
      <c r="F778" s="22"/>
      <c r="G778" s="340"/>
      <c r="H778" s="340"/>
      <c r="I778" s="340"/>
      <c r="J778" s="340"/>
      <c r="K778" s="20"/>
      <c r="L778" s="20"/>
      <c r="M778" s="20"/>
      <c r="N778" s="20"/>
      <c r="O778" s="20"/>
      <c r="P778" s="23"/>
    </row>
    <row r="779" spans="1:16" ht="12.75">
      <c r="A779" s="20"/>
      <c r="C779" s="349"/>
      <c r="D779" s="353"/>
      <c r="E779" s="20"/>
      <c r="F779" s="22"/>
      <c r="G779" s="340"/>
      <c r="H779" s="340"/>
      <c r="I779" s="340"/>
      <c r="J779" s="340"/>
      <c r="K779" s="20"/>
      <c r="L779" s="20"/>
      <c r="M779" s="20"/>
      <c r="N779" s="20"/>
      <c r="O779" s="20"/>
      <c r="P779" s="23"/>
    </row>
    <row r="780" spans="1:16" ht="12.75">
      <c r="A780" s="20"/>
      <c r="C780" s="349"/>
      <c r="D780" s="353"/>
      <c r="E780" s="20"/>
      <c r="F780" s="22"/>
      <c r="G780" s="340"/>
      <c r="H780" s="340"/>
      <c r="I780" s="340"/>
      <c r="J780" s="340"/>
      <c r="K780" s="20"/>
      <c r="L780" s="20"/>
      <c r="M780" s="20"/>
      <c r="N780" s="20"/>
      <c r="O780" s="20"/>
      <c r="P780" s="23"/>
    </row>
    <row r="781" spans="1:16" ht="12.75">
      <c r="A781" s="20"/>
      <c r="C781" s="349"/>
      <c r="D781" s="353"/>
      <c r="E781" s="20"/>
      <c r="F781" s="22"/>
      <c r="G781" s="340"/>
      <c r="H781" s="340"/>
      <c r="I781" s="340"/>
      <c r="J781" s="340"/>
      <c r="K781" s="20"/>
      <c r="L781" s="20"/>
      <c r="M781" s="20"/>
      <c r="N781" s="20"/>
      <c r="O781" s="20"/>
      <c r="P781" s="23"/>
    </row>
    <row r="782" spans="1:16" ht="12.75">
      <c r="A782" s="20"/>
      <c r="C782" s="349"/>
      <c r="D782" s="353"/>
      <c r="E782" s="20"/>
      <c r="F782" s="22"/>
      <c r="G782" s="340"/>
      <c r="H782" s="340"/>
      <c r="I782" s="340"/>
      <c r="J782" s="340"/>
      <c r="K782" s="20"/>
      <c r="L782" s="20"/>
      <c r="M782" s="20"/>
      <c r="N782" s="20"/>
      <c r="O782" s="20"/>
      <c r="P782" s="23"/>
    </row>
    <row r="783" spans="1:16" ht="12.75">
      <c r="A783" s="20"/>
      <c r="C783" s="349"/>
      <c r="D783" s="353"/>
      <c r="E783" s="20"/>
      <c r="F783" s="22"/>
      <c r="G783" s="340"/>
      <c r="H783" s="340"/>
      <c r="I783" s="340"/>
      <c r="J783" s="340"/>
      <c r="K783" s="20"/>
      <c r="L783" s="20"/>
      <c r="M783" s="20"/>
      <c r="N783" s="20"/>
      <c r="O783" s="20"/>
      <c r="P783" s="23"/>
    </row>
    <row r="784" spans="1:16" ht="12.75">
      <c r="A784" s="20"/>
      <c r="C784" s="349"/>
      <c r="D784" s="353"/>
      <c r="E784" s="20"/>
      <c r="F784" s="22"/>
      <c r="G784" s="340"/>
      <c r="H784" s="340"/>
      <c r="I784" s="340"/>
      <c r="J784" s="340"/>
      <c r="K784" s="20"/>
      <c r="L784" s="20"/>
      <c r="M784" s="20"/>
      <c r="N784" s="20"/>
      <c r="O784" s="20"/>
      <c r="P784" s="23"/>
    </row>
    <row r="785" spans="1:16" ht="12.75">
      <c r="A785" s="20"/>
      <c r="C785" s="349"/>
      <c r="D785" s="353"/>
      <c r="E785" s="20"/>
      <c r="F785" s="22"/>
      <c r="G785" s="340"/>
      <c r="H785" s="340"/>
      <c r="I785" s="340"/>
      <c r="J785" s="340"/>
      <c r="K785" s="20"/>
      <c r="L785" s="20"/>
      <c r="M785" s="20"/>
      <c r="N785" s="20"/>
      <c r="O785" s="20"/>
      <c r="P785" s="23"/>
    </row>
    <row r="786" spans="1:16" ht="12.75">
      <c r="A786" s="20"/>
      <c r="C786" s="349"/>
      <c r="D786" s="353"/>
      <c r="E786" s="20"/>
      <c r="F786" s="22"/>
      <c r="G786" s="340"/>
      <c r="H786" s="340"/>
      <c r="I786" s="340"/>
      <c r="J786" s="340"/>
      <c r="K786" s="20"/>
      <c r="L786" s="20"/>
      <c r="M786" s="20"/>
      <c r="N786" s="20"/>
      <c r="O786" s="20"/>
      <c r="P786" s="23"/>
    </row>
    <row r="787" spans="1:16" ht="12.75">
      <c r="A787" s="20"/>
      <c r="C787" s="349"/>
      <c r="D787" s="353"/>
      <c r="E787" s="20"/>
      <c r="F787" s="22"/>
      <c r="G787" s="340"/>
      <c r="H787" s="340"/>
      <c r="I787" s="340"/>
      <c r="J787" s="340"/>
      <c r="K787" s="20"/>
      <c r="L787" s="20"/>
      <c r="M787" s="20"/>
      <c r="N787" s="20"/>
      <c r="O787" s="20"/>
      <c r="P787" s="23"/>
    </row>
    <row r="788" spans="1:16" ht="12.75">
      <c r="A788" s="20"/>
      <c r="C788" s="349"/>
      <c r="D788" s="353"/>
      <c r="E788" s="20"/>
      <c r="F788" s="22"/>
      <c r="G788" s="340"/>
      <c r="H788" s="340"/>
      <c r="I788" s="340"/>
      <c r="J788" s="340"/>
      <c r="K788" s="20"/>
      <c r="L788" s="20"/>
      <c r="M788" s="20"/>
      <c r="N788" s="20"/>
      <c r="O788" s="20"/>
      <c r="P788" s="23"/>
    </row>
    <row r="789" spans="1:16" ht="12.75">
      <c r="A789" s="20"/>
      <c r="C789" s="349"/>
      <c r="D789" s="353"/>
      <c r="E789" s="20"/>
      <c r="F789" s="22"/>
      <c r="G789" s="340"/>
      <c r="H789" s="340"/>
      <c r="I789" s="340"/>
      <c r="J789" s="340"/>
      <c r="K789" s="20"/>
      <c r="L789" s="20"/>
      <c r="M789" s="20"/>
      <c r="N789" s="20"/>
      <c r="O789" s="20"/>
      <c r="P789" s="23"/>
    </row>
    <row r="790" spans="1:16" ht="12.75">
      <c r="A790" s="20"/>
      <c r="C790" s="349"/>
      <c r="D790" s="353"/>
      <c r="E790" s="20"/>
      <c r="F790" s="22"/>
      <c r="G790" s="340"/>
      <c r="H790" s="340"/>
      <c r="I790" s="340"/>
      <c r="J790" s="340"/>
      <c r="K790" s="20"/>
      <c r="L790" s="20"/>
      <c r="M790" s="20"/>
      <c r="N790" s="20"/>
      <c r="O790" s="20"/>
      <c r="P790" s="23"/>
    </row>
    <row r="791" spans="1:16" ht="12.75">
      <c r="A791" s="20"/>
      <c r="C791" s="349"/>
      <c r="D791" s="353"/>
      <c r="E791" s="20"/>
      <c r="F791" s="22"/>
      <c r="G791" s="340"/>
      <c r="H791" s="340"/>
      <c r="I791" s="340"/>
      <c r="J791" s="340"/>
      <c r="K791" s="20"/>
      <c r="L791" s="20"/>
      <c r="M791" s="20"/>
      <c r="N791" s="20"/>
      <c r="O791" s="20"/>
      <c r="P791" s="23"/>
    </row>
    <row r="792" spans="1:16" ht="12.75">
      <c r="A792" s="20"/>
      <c r="C792" s="349"/>
      <c r="D792" s="353"/>
      <c r="E792" s="20"/>
      <c r="F792" s="22"/>
      <c r="G792" s="340"/>
      <c r="H792" s="340"/>
      <c r="I792" s="340"/>
      <c r="J792" s="340"/>
      <c r="K792" s="20"/>
      <c r="L792" s="20"/>
      <c r="M792" s="20"/>
      <c r="N792" s="20"/>
      <c r="O792" s="20"/>
      <c r="P792" s="23"/>
    </row>
    <row r="793" spans="1:16" ht="12.75">
      <c r="A793" s="20"/>
      <c r="C793" s="349"/>
      <c r="D793" s="353"/>
      <c r="E793" s="20"/>
      <c r="F793" s="22"/>
      <c r="G793" s="340"/>
      <c r="H793" s="340"/>
      <c r="I793" s="340"/>
      <c r="J793" s="340"/>
      <c r="K793" s="20"/>
      <c r="L793" s="20"/>
      <c r="M793" s="20"/>
      <c r="N793" s="20"/>
      <c r="O793" s="20"/>
      <c r="P793" s="23"/>
    </row>
    <row r="794" spans="1:16" ht="12.75">
      <c r="A794" s="20"/>
      <c r="C794" s="349"/>
      <c r="D794" s="353"/>
      <c r="E794" s="20"/>
      <c r="F794" s="22"/>
      <c r="G794" s="340"/>
      <c r="H794" s="340"/>
      <c r="I794" s="340"/>
      <c r="J794" s="340"/>
      <c r="K794" s="20"/>
      <c r="L794" s="20"/>
      <c r="M794" s="20"/>
      <c r="N794" s="20"/>
      <c r="O794" s="20"/>
      <c r="P794" s="23"/>
    </row>
    <row r="795" spans="1:16" ht="12.75">
      <c r="A795" s="20"/>
      <c r="C795" s="349"/>
      <c r="D795" s="353"/>
      <c r="E795" s="20"/>
      <c r="F795" s="22"/>
      <c r="G795" s="340"/>
      <c r="H795" s="340"/>
      <c r="I795" s="340"/>
      <c r="J795" s="340"/>
      <c r="K795" s="20"/>
      <c r="L795" s="20"/>
      <c r="M795" s="20"/>
      <c r="N795" s="20"/>
      <c r="O795" s="20"/>
      <c r="P795" s="23"/>
    </row>
    <row r="796" spans="1:16" ht="12.75">
      <c r="A796" s="20"/>
      <c r="C796" s="349"/>
      <c r="D796" s="353"/>
      <c r="E796" s="20"/>
      <c r="F796" s="22"/>
      <c r="G796" s="340"/>
      <c r="H796" s="340"/>
      <c r="I796" s="340"/>
      <c r="J796" s="340"/>
      <c r="K796" s="20"/>
      <c r="L796" s="20"/>
      <c r="M796" s="20"/>
      <c r="N796" s="20"/>
      <c r="O796" s="20"/>
      <c r="P796" s="23"/>
    </row>
    <row r="797" spans="1:16" ht="12.75">
      <c r="A797" s="20"/>
      <c r="C797" s="349"/>
      <c r="D797" s="353"/>
      <c r="E797" s="20"/>
      <c r="F797" s="22"/>
      <c r="G797" s="340"/>
      <c r="H797" s="340"/>
      <c r="I797" s="340"/>
      <c r="J797" s="340"/>
      <c r="K797" s="20"/>
      <c r="L797" s="20"/>
      <c r="M797" s="20"/>
      <c r="N797" s="20"/>
      <c r="O797" s="20"/>
      <c r="P797" s="23"/>
    </row>
    <row r="798" spans="1:16" ht="12.75">
      <c r="A798" s="20"/>
      <c r="C798" s="349"/>
      <c r="D798" s="353"/>
      <c r="E798" s="20"/>
      <c r="F798" s="22"/>
      <c r="G798" s="340"/>
      <c r="H798" s="340"/>
      <c r="I798" s="340"/>
      <c r="J798" s="340"/>
      <c r="K798" s="20"/>
      <c r="L798" s="20"/>
      <c r="M798" s="20"/>
      <c r="N798" s="20"/>
      <c r="O798" s="20"/>
      <c r="P798" s="23"/>
    </row>
    <row r="799" spans="1:16" ht="12.75">
      <c r="A799" s="20"/>
      <c r="C799" s="349"/>
      <c r="D799" s="353"/>
      <c r="E799" s="20"/>
      <c r="F799" s="22"/>
      <c r="G799" s="340"/>
      <c r="H799" s="340"/>
      <c r="I799" s="340"/>
      <c r="J799" s="340"/>
      <c r="K799" s="20"/>
      <c r="L799" s="20"/>
      <c r="M799" s="20"/>
      <c r="N799" s="20"/>
      <c r="O799" s="20"/>
      <c r="P799" s="23"/>
    </row>
    <row r="800" spans="1:16" ht="12.75">
      <c r="A800" s="20"/>
      <c r="C800" s="349"/>
      <c r="D800" s="353"/>
      <c r="E800" s="20"/>
      <c r="F800" s="22"/>
      <c r="G800" s="340"/>
      <c r="H800" s="340"/>
      <c r="I800" s="340"/>
      <c r="J800" s="340"/>
      <c r="K800" s="20"/>
      <c r="L800" s="20"/>
      <c r="M800" s="20"/>
      <c r="N800" s="20"/>
      <c r="O800" s="20"/>
      <c r="P800" s="23"/>
    </row>
    <row r="801" spans="1:16" ht="12.75">
      <c r="A801" s="20"/>
      <c r="C801" s="349"/>
      <c r="D801" s="353"/>
      <c r="E801" s="20"/>
      <c r="F801" s="22"/>
      <c r="G801" s="340"/>
      <c r="H801" s="340"/>
      <c r="I801" s="340"/>
      <c r="J801" s="340"/>
      <c r="K801" s="20"/>
      <c r="L801" s="20"/>
      <c r="M801" s="20"/>
      <c r="N801" s="20"/>
      <c r="O801" s="20"/>
      <c r="P801" s="23"/>
    </row>
    <row r="802" spans="1:16" ht="15.75" customHeight="1">
      <c r="G802" s="340"/>
      <c r="H802" s="340"/>
      <c r="I802" s="340"/>
      <c r="J802" s="340"/>
    </row>
    <row r="803" spans="1:16" ht="15.75" customHeight="1">
      <c r="G803" s="340"/>
      <c r="H803" s="340"/>
      <c r="I803" s="340"/>
      <c r="J803" s="340"/>
    </row>
    <row r="804" spans="1:16" ht="15.75" customHeight="1">
      <c r="G804" s="340"/>
      <c r="H804" s="340"/>
      <c r="I804" s="340"/>
      <c r="J804" s="340"/>
    </row>
    <row r="805" spans="1:16" ht="15.75" customHeight="1">
      <c r="G805" s="340"/>
      <c r="H805" s="340"/>
      <c r="I805" s="340"/>
      <c r="J805" s="340"/>
    </row>
    <row r="806" spans="1:16" ht="15.75" customHeight="1">
      <c r="G806" s="340"/>
      <c r="H806" s="340"/>
      <c r="I806" s="340"/>
      <c r="J806" s="340"/>
    </row>
    <row r="807" spans="1:16" ht="15.75" customHeight="1">
      <c r="G807" s="340"/>
      <c r="H807" s="340"/>
      <c r="I807" s="340"/>
      <c r="J807" s="340"/>
    </row>
    <row r="808" spans="1:16" ht="15.75" customHeight="1">
      <c r="G808" s="340"/>
      <c r="H808" s="340"/>
      <c r="I808" s="340"/>
      <c r="J808" s="340"/>
    </row>
    <row r="809" spans="1:16" ht="15.75" customHeight="1">
      <c r="G809" s="340"/>
      <c r="H809" s="340"/>
      <c r="I809" s="340"/>
      <c r="J809" s="340"/>
    </row>
    <row r="810" spans="1:16" ht="15.75" customHeight="1">
      <c r="G810" s="340"/>
      <c r="H810" s="340"/>
      <c r="I810" s="340"/>
      <c r="J810" s="340"/>
    </row>
    <row r="811" spans="1:16" ht="15.75" customHeight="1">
      <c r="G811" s="340"/>
      <c r="H811" s="340"/>
      <c r="I811" s="340"/>
      <c r="J811" s="340"/>
    </row>
    <row r="812" spans="1:16" ht="15.75" customHeight="1">
      <c r="G812" s="340"/>
      <c r="H812" s="340"/>
      <c r="I812" s="340"/>
      <c r="J812" s="340"/>
    </row>
    <row r="813" spans="1:16" ht="15.75" customHeight="1">
      <c r="G813" s="340"/>
      <c r="H813" s="340"/>
      <c r="I813" s="340"/>
      <c r="J813" s="340"/>
    </row>
    <row r="814" spans="1:16" ht="15.75" customHeight="1">
      <c r="G814" s="340"/>
      <c r="H814" s="340"/>
      <c r="I814" s="340"/>
      <c r="J814" s="340"/>
    </row>
    <row r="815" spans="1:16" ht="15.75" customHeight="1">
      <c r="G815" s="340"/>
      <c r="H815" s="340"/>
      <c r="I815" s="340"/>
      <c r="J815" s="340"/>
    </row>
    <row r="816" spans="1:16" ht="15.75" customHeight="1">
      <c r="G816" s="340"/>
      <c r="H816" s="340"/>
      <c r="I816" s="340"/>
      <c r="J816" s="340"/>
    </row>
    <row r="817" spans="7:10" ht="15.75" customHeight="1">
      <c r="G817" s="340"/>
      <c r="H817" s="340"/>
      <c r="I817" s="340"/>
      <c r="J817" s="340"/>
    </row>
    <row r="818" spans="7:10" ht="15.75" customHeight="1">
      <c r="G818" s="340"/>
      <c r="H818" s="340"/>
      <c r="I818" s="340"/>
      <c r="J818" s="340"/>
    </row>
    <row r="819" spans="7:10" ht="15.75" customHeight="1">
      <c r="G819" s="340"/>
      <c r="H819" s="340"/>
      <c r="I819" s="340"/>
      <c r="J819" s="340"/>
    </row>
    <row r="820" spans="7:10" ht="15.75" customHeight="1">
      <c r="G820" s="340"/>
      <c r="H820" s="340"/>
      <c r="I820" s="340"/>
      <c r="J820" s="340"/>
    </row>
    <row r="821" spans="7:10" ht="15.75" customHeight="1">
      <c r="G821" s="340"/>
      <c r="H821" s="340"/>
      <c r="I821" s="340"/>
      <c r="J821" s="340"/>
    </row>
    <row r="822" spans="7:10" ht="15.75" customHeight="1">
      <c r="G822" s="340"/>
      <c r="H822" s="340"/>
      <c r="I822" s="340"/>
      <c r="J822" s="340"/>
    </row>
    <row r="823" spans="7:10" ht="15.75" customHeight="1">
      <c r="G823" s="340"/>
      <c r="H823" s="340"/>
      <c r="I823" s="340"/>
      <c r="J823" s="340"/>
    </row>
    <row r="824" spans="7:10" ht="15.75" customHeight="1">
      <c r="G824" s="340"/>
      <c r="H824" s="340"/>
      <c r="I824" s="340"/>
      <c r="J824" s="340"/>
    </row>
    <row r="825" spans="7:10" ht="15.75" customHeight="1">
      <c r="G825" s="340"/>
      <c r="H825" s="340"/>
      <c r="I825" s="340"/>
      <c r="J825" s="340"/>
    </row>
    <row r="826" spans="7:10" ht="15.75" customHeight="1">
      <c r="G826" s="340"/>
      <c r="H826" s="340"/>
      <c r="I826" s="340"/>
      <c r="J826" s="340"/>
    </row>
    <row r="827" spans="7:10" ht="15.75" customHeight="1">
      <c r="G827" s="340"/>
      <c r="H827" s="340"/>
      <c r="I827" s="340"/>
      <c r="J827" s="340"/>
    </row>
    <row r="828" spans="7:10" ht="15.75" customHeight="1">
      <c r="G828" s="340"/>
      <c r="H828" s="340"/>
      <c r="I828" s="340"/>
      <c r="J828" s="340"/>
    </row>
    <row r="829" spans="7:10" ht="15.75" customHeight="1">
      <c r="G829" s="340"/>
      <c r="H829" s="340"/>
      <c r="I829" s="340"/>
      <c r="J829" s="340"/>
    </row>
    <row r="830" spans="7:10" ht="15.75" customHeight="1">
      <c r="G830" s="340"/>
      <c r="H830" s="340"/>
      <c r="I830" s="340"/>
      <c r="J830" s="340"/>
    </row>
    <row r="831" spans="7:10" ht="15.75" customHeight="1">
      <c r="G831" s="340"/>
      <c r="H831" s="340"/>
      <c r="I831" s="340"/>
      <c r="J831" s="340"/>
    </row>
    <row r="832" spans="7:10" ht="15.75" customHeight="1">
      <c r="G832" s="340"/>
      <c r="H832" s="340"/>
      <c r="I832" s="340"/>
      <c r="J832" s="340"/>
    </row>
    <row r="833" spans="7:10" ht="15.75" customHeight="1">
      <c r="G833" s="340"/>
      <c r="H833" s="340"/>
      <c r="I833" s="340"/>
      <c r="J833" s="340"/>
    </row>
    <row r="834" spans="7:10" ht="15.75" customHeight="1">
      <c r="G834" s="340"/>
      <c r="H834" s="340"/>
      <c r="I834" s="340"/>
      <c r="J834" s="340"/>
    </row>
    <row r="835" spans="7:10" ht="15.75" customHeight="1">
      <c r="G835" s="340"/>
      <c r="H835" s="340"/>
      <c r="I835" s="340"/>
      <c r="J835" s="340"/>
    </row>
    <row r="836" spans="7:10" ht="15.75" customHeight="1">
      <c r="G836" s="340"/>
      <c r="H836" s="340"/>
      <c r="I836" s="340"/>
      <c r="J836" s="340"/>
    </row>
    <row r="837" spans="7:10" ht="15.75" customHeight="1">
      <c r="G837" s="340"/>
      <c r="H837" s="340"/>
      <c r="I837" s="340"/>
      <c r="J837" s="340"/>
    </row>
    <row r="838" spans="7:10" ht="15.75" customHeight="1">
      <c r="G838" s="340"/>
      <c r="H838" s="340"/>
      <c r="I838" s="340"/>
      <c r="J838" s="340"/>
    </row>
    <row r="839" spans="7:10" ht="15.75" customHeight="1">
      <c r="G839" s="340"/>
      <c r="H839" s="340"/>
      <c r="I839" s="340"/>
      <c r="J839" s="340"/>
    </row>
    <row r="840" spans="7:10" ht="15.75" customHeight="1">
      <c r="G840" s="340"/>
      <c r="H840" s="340"/>
      <c r="I840" s="340"/>
      <c r="J840" s="340"/>
    </row>
    <row r="841" spans="7:10" ht="15.75" customHeight="1">
      <c r="G841" s="340"/>
      <c r="H841" s="340"/>
      <c r="I841" s="340"/>
      <c r="J841" s="340"/>
    </row>
    <row r="842" spans="7:10" ht="15.75" customHeight="1">
      <c r="G842" s="340"/>
      <c r="H842" s="340"/>
      <c r="I842" s="340"/>
      <c r="J842" s="340"/>
    </row>
    <row r="843" spans="7:10" ht="15.75" customHeight="1">
      <c r="G843" s="340"/>
      <c r="H843" s="340"/>
      <c r="I843" s="340"/>
      <c r="J843" s="340"/>
    </row>
    <row r="844" spans="7:10" ht="15.75" customHeight="1">
      <c r="G844" s="340"/>
      <c r="H844" s="340"/>
      <c r="I844" s="340"/>
      <c r="J844" s="340"/>
    </row>
    <row r="845" spans="7:10" ht="15.75" customHeight="1">
      <c r="G845" s="340"/>
      <c r="H845" s="340"/>
      <c r="I845" s="340"/>
      <c r="J845" s="340"/>
    </row>
    <row r="846" spans="7:10" ht="15.75" customHeight="1">
      <c r="G846" s="340"/>
      <c r="H846" s="340"/>
      <c r="I846" s="340"/>
      <c r="J846" s="340"/>
    </row>
    <row r="847" spans="7:10" ht="15.75" customHeight="1">
      <c r="G847" s="340"/>
      <c r="H847" s="340"/>
      <c r="I847" s="340"/>
      <c r="J847" s="340"/>
    </row>
    <row r="848" spans="7:10" ht="15.75" customHeight="1">
      <c r="G848" s="340"/>
      <c r="H848" s="340"/>
      <c r="I848" s="340"/>
      <c r="J848" s="340"/>
    </row>
    <row r="849" spans="7:10" ht="15.75" customHeight="1">
      <c r="G849" s="340"/>
      <c r="H849" s="340"/>
      <c r="I849" s="340"/>
      <c r="J849" s="340"/>
    </row>
    <row r="850" spans="7:10" ht="15.75" customHeight="1">
      <c r="G850" s="340"/>
      <c r="H850" s="340"/>
      <c r="I850" s="340"/>
      <c r="J850" s="340"/>
    </row>
    <row r="851" spans="7:10" ht="15.75" customHeight="1">
      <c r="G851" s="340"/>
      <c r="H851" s="340"/>
      <c r="I851" s="340"/>
      <c r="J851" s="340"/>
    </row>
    <row r="852" spans="7:10" ht="15.75" customHeight="1">
      <c r="G852" s="340"/>
      <c r="H852" s="340"/>
      <c r="I852" s="340"/>
      <c r="J852" s="340"/>
    </row>
    <row r="853" spans="7:10" ht="15.75" customHeight="1">
      <c r="G853" s="340"/>
      <c r="H853" s="340"/>
      <c r="I853" s="340"/>
      <c r="J853" s="340"/>
    </row>
    <row r="854" spans="7:10" ht="15.75" customHeight="1">
      <c r="G854" s="340"/>
      <c r="H854" s="340"/>
      <c r="I854" s="340"/>
      <c r="J854" s="340"/>
    </row>
    <row r="855" spans="7:10" ht="15.75" customHeight="1">
      <c r="G855" s="340"/>
      <c r="H855" s="340"/>
      <c r="I855" s="340"/>
      <c r="J855" s="340"/>
    </row>
    <row r="856" spans="7:10" ht="15.75" customHeight="1">
      <c r="G856" s="340"/>
      <c r="H856" s="340"/>
      <c r="I856" s="340"/>
      <c r="J856" s="340"/>
    </row>
    <row r="857" spans="7:10" ht="15.75" customHeight="1">
      <c r="G857" s="340"/>
      <c r="H857" s="340"/>
      <c r="I857" s="340"/>
      <c r="J857" s="340"/>
    </row>
    <row r="858" spans="7:10" ht="15.75" customHeight="1">
      <c r="G858" s="340"/>
      <c r="H858" s="340"/>
      <c r="I858" s="340"/>
      <c r="J858" s="340"/>
    </row>
    <row r="859" spans="7:10" ht="15.75" customHeight="1">
      <c r="G859" s="340"/>
      <c r="H859" s="340"/>
      <c r="I859" s="340"/>
      <c r="J859" s="340"/>
    </row>
    <row r="860" spans="7:10" ht="15.75" customHeight="1">
      <c r="G860" s="340"/>
      <c r="H860" s="340"/>
      <c r="I860" s="340"/>
      <c r="J860" s="340"/>
    </row>
    <row r="861" spans="7:10" ht="15.75" customHeight="1">
      <c r="G861" s="340"/>
      <c r="H861" s="340"/>
      <c r="I861" s="340"/>
      <c r="J861" s="340"/>
    </row>
    <row r="862" spans="7:10" ht="15.75" customHeight="1">
      <c r="G862" s="340"/>
      <c r="H862" s="340"/>
      <c r="I862" s="340"/>
      <c r="J862" s="340"/>
    </row>
    <row r="863" spans="7:10" ht="15.75" customHeight="1">
      <c r="G863" s="340"/>
      <c r="H863" s="340"/>
      <c r="I863" s="340"/>
      <c r="J863" s="340"/>
    </row>
    <row r="864" spans="7:10" ht="15.75" customHeight="1">
      <c r="G864" s="340"/>
      <c r="H864" s="340"/>
      <c r="I864" s="340"/>
      <c r="J864" s="340"/>
    </row>
    <row r="865" spans="7:10" ht="15.75" customHeight="1">
      <c r="G865" s="340"/>
      <c r="H865" s="340"/>
      <c r="I865" s="340"/>
      <c r="J865" s="340"/>
    </row>
    <row r="866" spans="7:10" ht="15.75" customHeight="1">
      <c r="G866" s="340"/>
      <c r="H866" s="340"/>
      <c r="I866" s="340"/>
      <c r="J866" s="340"/>
    </row>
    <row r="867" spans="7:10" ht="15.75" customHeight="1">
      <c r="G867" s="340"/>
      <c r="H867" s="340"/>
      <c r="I867" s="340"/>
      <c r="J867" s="340"/>
    </row>
    <row r="868" spans="7:10" ht="15.75" customHeight="1">
      <c r="G868" s="340"/>
      <c r="H868" s="340"/>
      <c r="I868" s="340"/>
      <c r="J868" s="340"/>
    </row>
    <row r="869" spans="7:10" ht="15.75" customHeight="1">
      <c r="G869" s="340"/>
      <c r="H869" s="340"/>
      <c r="I869" s="340"/>
      <c r="J869" s="340"/>
    </row>
    <row r="870" spans="7:10" ht="15.75" customHeight="1">
      <c r="G870" s="340"/>
      <c r="H870" s="340"/>
      <c r="I870" s="340"/>
      <c r="J870" s="340"/>
    </row>
    <row r="871" spans="7:10" ht="15.75" customHeight="1">
      <c r="G871" s="340"/>
      <c r="H871" s="340"/>
      <c r="I871" s="340"/>
      <c r="J871" s="340"/>
    </row>
    <row r="872" spans="7:10" ht="15.75" customHeight="1">
      <c r="G872" s="340"/>
      <c r="H872" s="340"/>
      <c r="I872" s="340"/>
      <c r="J872" s="340"/>
    </row>
    <row r="873" spans="7:10" ht="15.75" customHeight="1">
      <c r="G873" s="340"/>
      <c r="H873" s="340"/>
      <c r="I873" s="340"/>
      <c r="J873" s="340"/>
    </row>
    <row r="874" spans="7:10" ht="15.75" customHeight="1">
      <c r="G874" s="340"/>
      <c r="H874" s="340"/>
      <c r="I874" s="340"/>
      <c r="J874" s="340"/>
    </row>
    <row r="875" spans="7:10" ht="15.75" customHeight="1">
      <c r="G875" s="340"/>
      <c r="H875" s="340"/>
      <c r="I875" s="340"/>
      <c r="J875" s="340"/>
    </row>
    <row r="876" spans="7:10" ht="15.75" customHeight="1">
      <c r="G876" s="340"/>
      <c r="H876" s="340"/>
      <c r="I876" s="340"/>
      <c r="J876" s="340"/>
    </row>
    <row r="877" spans="7:10" ht="15.75" customHeight="1">
      <c r="G877" s="340"/>
      <c r="H877" s="340"/>
      <c r="I877" s="340"/>
      <c r="J877" s="340"/>
    </row>
    <row r="878" spans="7:10" ht="15.75" customHeight="1">
      <c r="G878" s="340"/>
      <c r="H878" s="340"/>
      <c r="I878" s="340"/>
      <c r="J878" s="340"/>
    </row>
    <row r="879" spans="7:10" ht="15.75" customHeight="1">
      <c r="G879" s="340"/>
      <c r="H879" s="340"/>
      <c r="I879" s="340"/>
      <c r="J879" s="340"/>
    </row>
    <row r="880" spans="7:10" ht="15.75" customHeight="1">
      <c r="G880" s="340"/>
      <c r="H880" s="340"/>
      <c r="I880" s="340"/>
      <c r="J880" s="340"/>
    </row>
    <row r="881" spans="7:10" ht="15.75" customHeight="1">
      <c r="G881" s="340"/>
      <c r="H881" s="340"/>
      <c r="I881" s="340"/>
      <c r="J881" s="340"/>
    </row>
    <row r="882" spans="7:10" ht="15.75" customHeight="1">
      <c r="G882" s="340"/>
      <c r="H882" s="340"/>
      <c r="I882" s="340"/>
      <c r="J882" s="340"/>
    </row>
    <row r="883" spans="7:10" ht="15.75" customHeight="1">
      <c r="G883" s="340"/>
      <c r="H883" s="340"/>
      <c r="I883" s="340"/>
      <c r="J883" s="340"/>
    </row>
    <row r="884" spans="7:10" ht="15.75" customHeight="1">
      <c r="G884" s="340"/>
      <c r="H884" s="340"/>
      <c r="I884" s="340"/>
      <c r="J884" s="340"/>
    </row>
    <row r="885" spans="7:10" ht="15.75" customHeight="1">
      <c r="G885" s="340"/>
      <c r="H885" s="340"/>
      <c r="I885" s="340"/>
      <c r="J885" s="340"/>
    </row>
    <row r="886" spans="7:10" ht="15.75" customHeight="1">
      <c r="G886" s="340"/>
      <c r="H886" s="340"/>
      <c r="I886" s="340"/>
      <c r="J886" s="340"/>
    </row>
    <row r="887" spans="7:10" ht="15.75" customHeight="1">
      <c r="G887" s="340"/>
      <c r="H887" s="340"/>
      <c r="I887" s="340"/>
      <c r="J887" s="340"/>
    </row>
    <row r="888" spans="7:10" ht="15.75" customHeight="1">
      <c r="G888" s="340"/>
      <c r="H888" s="340"/>
      <c r="I888" s="340"/>
      <c r="J888" s="340"/>
    </row>
    <row r="889" spans="7:10" ht="15.75" customHeight="1">
      <c r="G889" s="340"/>
      <c r="H889" s="340"/>
      <c r="I889" s="340"/>
      <c r="J889" s="340"/>
    </row>
    <row r="890" spans="7:10" ht="15.75" customHeight="1">
      <c r="G890" s="340"/>
      <c r="H890" s="340"/>
      <c r="I890" s="340"/>
      <c r="J890" s="340"/>
    </row>
    <row r="891" spans="7:10" ht="15.75" customHeight="1">
      <c r="G891" s="340"/>
      <c r="H891" s="340"/>
      <c r="I891" s="340"/>
      <c r="J891" s="340"/>
    </row>
    <row r="892" spans="7:10" ht="15.75" customHeight="1">
      <c r="G892" s="340"/>
      <c r="H892" s="340"/>
      <c r="I892" s="340"/>
      <c r="J892" s="340"/>
    </row>
    <row r="893" spans="7:10" ht="15.75" customHeight="1">
      <c r="G893" s="340"/>
      <c r="H893" s="340"/>
      <c r="I893" s="340"/>
      <c r="J893" s="340"/>
    </row>
    <row r="894" spans="7:10" ht="15.75" customHeight="1">
      <c r="G894" s="340"/>
      <c r="H894" s="340"/>
      <c r="I894" s="340"/>
      <c r="J894" s="340"/>
    </row>
    <row r="895" spans="7:10" ht="15.75" customHeight="1">
      <c r="G895" s="340"/>
      <c r="H895" s="340"/>
      <c r="I895" s="340"/>
      <c r="J895" s="340"/>
    </row>
    <row r="896" spans="7:10" ht="15.75" customHeight="1">
      <c r="G896" s="340"/>
      <c r="H896" s="340"/>
      <c r="I896" s="340"/>
      <c r="J896" s="340"/>
    </row>
    <row r="897" spans="7:10" ht="15.75" customHeight="1">
      <c r="G897" s="340"/>
      <c r="H897" s="340"/>
      <c r="I897" s="340"/>
      <c r="J897" s="340"/>
    </row>
    <row r="898" spans="7:10" ht="15.75" customHeight="1">
      <c r="G898" s="340"/>
      <c r="H898" s="340"/>
      <c r="I898" s="340"/>
      <c r="J898" s="340"/>
    </row>
    <row r="899" spans="7:10" ht="15.75" customHeight="1">
      <c r="G899" s="340"/>
      <c r="H899" s="340"/>
      <c r="I899" s="340"/>
      <c r="J899" s="340"/>
    </row>
    <row r="900" spans="7:10" ht="15.75" customHeight="1">
      <c r="G900" s="340"/>
      <c r="H900" s="340"/>
      <c r="I900" s="340"/>
      <c r="J900" s="340"/>
    </row>
    <row r="901" spans="7:10" ht="15.75" customHeight="1">
      <c r="G901" s="340"/>
      <c r="H901" s="340"/>
      <c r="I901" s="340"/>
      <c r="J901" s="340"/>
    </row>
    <row r="902" spans="7:10" ht="15.75" customHeight="1">
      <c r="G902" s="340"/>
      <c r="H902" s="340"/>
      <c r="I902" s="340"/>
      <c r="J902" s="340"/>
    </row>
    <row r="903" spans="7:10" ht="15.75" customHeight="1">
      <c r="G903" s="340"/>
      <c r="H903" s="340"/>
      <c r="I903" s="340"/>
      <c r="J903" s="340"/>
    </row>
    <row r="904" spans="7:10" ht="15.75" customHeight="1">
      <c r="G904" s="340"/>
      <c r="H904" s="340"/>
      <c r="I904" s="340"/>
      <c r="J904" s="340"/>
    </row>
    <row r="905" spans="7:10" ht="15.75" customHeight="1">
      <c r="G905" s="340"/>
      <c r="H905" s="340"/>
      <c r="I905" s="340"/>
      <c r="J905" s="340"/>
    </row>
    <row r="906" spans="7:10" ht="15.75" customHeight="1">
      <c r="G906" s="340"/>
      <c r="H906" s="340"/>
      <c r="I906" s="340"/>
      <c r="J906" s="340"/>
    </row>
    <row r="907" spans="7:10" ht="15.75" customHeight="1">
      <c r="G907" s="340"/>
      <c r="H907" s="340"/>
      <c r="I907" s="340"/>
      <c r="J907" s="340"/>
    </row>
    <row r="908" spans="7:10" ht="15.75" customHeight="1">
      <c r="G908" s="340"/>
      <c r="H908" s="340"/>
      <c r="I908" s="340"/>
      <c r="J908" s="340"/>
    </row>
    <row r="909" spans="7:10" ht="15.75" customHeight="1">
      <c r="G909" s="340"/>
      <c r="H909" s="340"/>
      <c r="I909" s="340"/>
      <c r="J909" s="340"/>
    </row>
    <row r="910" spans="7:10" ht="15.75" customHeight="1">
      <c r="G910" s="340"/>
      <c r="H910" s="340"/>
      <c r="I910" s="340"/>
      <c r="J910" s="340"/>
    </row>
    <row r="911" spans="7:10" ht="15.75" customHeight="1">
      <c r="G911" s="340"/>
      <c r="H911" s="340"/>
      <c r="I911" s="340"/>
      <c r="J911" s="340"/>
    </row>
    <row r="912" spans="7:10" ht="15.75" customHeight="1">
      <c r="G912" s="340"/>
      <c r="H912" s="340"/>
      <c r="I912" s="340"/>
      <c r="J912" s="340"/>
    </row>
    <row r="913" spans="7:10" ht="15.75" customHeight="1">
      <c r="G913" s="340"/>
      <c r="H913" s="340"/>
      <c r="I913" s="340"/>
      <c r="J913" s="340"/>
    </row>
    <row r="914" spans="7:10" ht="15.75" customHeight="1">
      <c r="G914" s="340"/>
      <c r="H914" s="340"/>
      <c r="I914" s="340"/>
      <c r="J914" s="340"/>
    </row>
    <row r="915" spans="7:10" ht="15.75" customHeight="1">
      <c r="G915" s="340"/>
      <c r="H915" s="340"/>
      <c r="I915" s="340"/>
      <c r="J915" s="340"/>
    </row>
    <row r="916" spans="7:10" ht="15.75" customHeight="1">
      <c r="G916" s="340"/>
      <c r="H916" s="340"/>
      <c r="I916" s="340"/>
      <c r="J916" s="340"/>
    </row>
    <row r="917" spans="7:10" ht="15.75" customHeight="1">
      <c r="G917" s="340"/>
      <c r="H917" s="340"/>
      <c r="I917" s="340"/>
      <c r="J917" s="340"/>
    </row>
    <row r="918" spans="7:10" ht="15.75" customHeight="1">
      <c r="G918" s="340"/>
      <c r="H918" s="340"/>
      <c r="I918" s="340"/>
      <c r="J918" s="340"/>
    </row>
    <row r="919" spans="7:10" ht="15.75" customHeight="1">
      <c r="G919" s="340"/>
      <c r="H919" s="340"/>
      <c r="I919" s="340"/>
      <c r="J919" s="340"/>
    </row>
    <row r="920" spans="7:10" ht="15.75" customHeight="1">
      <c r="G920" s="340"/>
      <c r="H920" s="340"/>
      <c r="I920" s="340"/>
      <c r="J920" s="340"/>
    </row>
    <row r="921" spans="7:10" ht="15.75" customHeight="1">
      <c r="G921" s="340"/>
      <c r="H921" s="340"/>
      <c r="I921" s="340"/>
      <c r="J921" s="340"/>
    </row>
    <row r="922" spans="7:10" ht="15.75" customHeight="1">
      <c r="G922" s="340"/>
      <c r="H922" s="340"/>
      <c r="I922" s="340"/>
      <c r="J922" s="340"/>
    </row>
    <row r="923" spans="7:10" ht="15.75" customHeight="1">
      <c r="G923" s="340"/>
      <c r="H923" s="340"/>
      <c r="I923" s="340"/>
      <c r="J923" s="340"/>
    </row>
    <row r="924" spans="7:10" ht="15.75" customHeight="1">
      <c r="G924" s="340"/>
      <c r="H924" s="340"/>
      <c r="I924" s="340"/>
      <c r="J924" s="340"/>
    </row>
    <row r="925" spans="7:10" ht="15.75" customHeight="1">
      <c r="G925" s="340"/>
      <c r="H925" s="340"/>
      <c r="I925" s="340"/>
      <c r="J925" s="340"/>
    </row>
    <row r="926" spans="7:10" ht="15.75" customHeight="1">
      <c r="G926" s="340"/>
      <c r="H926" s="340"/>
      <c r="I926" s="340"/>
      <c r="J926" s="340"/>
    </row>
    <row r="927" spans="7:10" ht="15.75" customHeight="1">
      <c r="G927" s="340"/>
      <c r="H927" s="340"/>
      <c r="I927" s="340"/>
      <c r="J927" s="340"/>
    </row>
    <row r="928" spans="7:10" ht="15.75" customHeight="1">
      <c r="G928" s="340"/>
      <c r="H928" s="340"/>
      <c r="I928" s="340"/>
      <c r="J928" s="340"/>
    </row>
    <row r="929" spans="7:10" ht="15.75" customHeight="1">
      <c r="G929" s="340"/>
      <c r="H929" s="340"/>
      <c r="I929" s="340"/>
      <c r="J929" s="340"/>
    </row>
    <row r="930" spans="7:10" ht="15.75" customHeight="1">
      <c r="G930" s="340"/>
      <c r="H930" s="340"/>
      <c r="I930" s="340"/>
      <c r="J930" s="340"/>
    </row>
    <row r="931" spans="7:10" ht="15.75" customHeight="1">
      <c r="G931" s="340"/>
      <c r="H931" s="340"/>
      <c r="I931" s="340"/>
      <c r="J931" s="340"/>
    </row>
    <row r="932" spans="7:10" ht="15.75" customHeight="1">
      <c r="G932" s="340"/>
      <c r="H932" s="340"/>
      <c r="I932" s="340"/>
      <c r="J932" s="340"/>
    </row>
    <row r="933" spans="7:10" ht="15.75" customHeight="1">
      <c r="G933" s="340"/>
      <c r="H933" s="340"/>
      <c r="I933" s="340"/>
      <c r="J933" s="340"/>
    </row>
    <row r="934" spans="7:10" ht="15.75" customHeight="1">
      <c r="G934" s="340"/>
      <c r="H934" s="340"/>
      <c r="I934" s="340"/>
      <c r="J934" s="340"/>
    </row>
    <row r="935" spans="7:10" ht="15.75" customHeight="1">
      <c r="G935" s="340"/>
      <c r="H935" s="340"/>
      <c r="I935" s="340"/>
      <c r="J935" s="340"/>
    </row>
    <row r="936" spans="7:10" ht="15.75" customHeight="1">
      <c r="G936" s="340"/>
      <c r="H936" s="340"/>
      <c r="I936" s="340"/>
      <c r="J936" s="340"/>
    </row>
    <row r="937" spans="7:10" ht="15.75" customHeight="1">
      <c r="G937" s="340"/>
      <c r="H937" s="340"/>
      <c r="I937" s="340"/>
      <c r="J937" s="340"/>
    </row>
    <row r="938" spans="7:10" ht="15.75" customHeight="1">
      <c r="G938" s="340"/>
      <c r="H938" s="340"/>
      <c r="I938" s="340"/>
      <c r="J938" s="340"/>
    </row>
    <row r="939" spans="7:10" ht="15.75" customHeight="1">
      <c r="G939" s="340"/>
      <c r="H939" s="340"/>
      <c r="I939" s="340"/>
      <c r="J939" s="340"/>
    </row>
    <row r="940" spans="7:10" ht="15.75" customHeight="1">
      <c r="G940" s="340"/>
      <c r="H940" s="340"/>
      <c r="I940" s="340"/>
      <c r="J940" s="340"/>
    </row>
    <row r="941" spans="7:10" ht="15.75" customHeight="1">
      <c r="G941" s="340"/>
      <c r="H941" s="340"/>
      <c r="I941" s="340"/>
      <c r="J941" s="340"/>
    </row>
    <row r="942" spans="7:10" ht="15.75" customHeight="1">
      <c r="G942" s="340"/>
      <c r="H942" s="340"/>
      <c r="I942" s="340"/>
      <c r="J942" s="340"/>
    </row>
    <row r="943" spans="7:10" ht="15.75" customHeight="1">
      <c r="G943" s="340"/>
      <c r="H943" s="340"/>
      <c r="I943" s="340"/>
      <c r="J943" s="340"/>
    </row>
    <row r="944" spans="7:10" ht="15.75" customHeight="1">
      <c r="G944" s="340"/>
      <c r="H944" s="340"/>
      <c r="I944" s="340"/>
      <c r="J944" s="340"/>
    </row>
    <row r="945" spans="7:10" ht="15.75" customHeight="1">
      <c r="G945" s="340"/>
      <c r="H945" s="340"/>
      <c r="I945" s="340"/>
      <c r="J945" s="340"/>
    </row>
    <row r="946" spans="7:10" ht="15.75" customHeight="1">
      <c r="G946" s="340"/>
      <c r="H946" s="340"/>
      <c r="I946" s="340"/>
      <c r="J946" s="340"/>
    </row>
    <row r="947" spans="7:10" ht="15.75" customHeight="1">
      <c r="G947" s="340"/>
      <c r="H947" s="340"/>
      <c r="I947" s="340"/>
      <c r="J947" s="340"/>
    </row>
    <row r="948" spans="7:10" ht="15.75" customHeight="1">
      <c r="G948" s="340"/>
      <c r="H948" s="340"/>
      <c r="I948" s="340"/>
      <c r="J948" s="340"/>
    </row>
    <row r="949" spans="7:10" ht="15.75" customHeight="1">
      <c r="G949" s="340"/>
      <c r="H949" s="340"/>
      <c r="I949" s="340"/>
      <c r="J949" s="340"/>
    </row>
    <row r="950" spans="7:10" ht="15.75" customHeight="1">
      <c r="G950" s="340"/>
      <c r="H950" s="340"/>
      <c r="I950" s="340"/>
      <c r="J950" s="340"/>
    </row>
    <row r="951" spans="7:10" ht="15.75" customHeight="1">
      <c r="G951" s="340"/>
      <c r="H951" s="340"/>
      <c r="I951" s="340"/>
      <c r="J951" s="340"/>
    </row>
    <row r="952" spans="7:10" ht="15.75" customHeight="1">
      <c r="G952" s="340"/>
      <c r="H952" s="340"/>
      <c r="I952" s="340"/>
      <c r="J952" s="340"/>
    </row>
    <row r="953" spans="7:10" ht="15.75" customHeight="1">
      <c r="G953" s="340"/>
      <c r="H953" s="340"/>
      <c r="I953" s="340"/>
      <c r="J953" s="340"/>
    </row>
    <row r="954" spans="7:10" ht="15.75" customHeight="1">
      <c r="G954" s="340"/>
      <c r="H954" s="340"/>
      <c r="I954" s="340"/>
      <c r="J954" s="340"/>
    </row>
    <row r="955" spans="7:10" ht="15.75" customHeight="1">
      <c r="G955" s="340"/>
      <c r="H955" s="340"/>
      <c r="I955" s="340"/>
      <c r="J955" s="340"/>
    </row>
    <row r="956" spans="7:10" ht="15.75" customHeight="1">
      <c r="G956" s="340"/>
      <c r="H956" s="340"/>
      <c r="I956" s="340"/>
      <c r="J956" s="340"/>
    </row>
    <row r="957" spans="7:10" ht="15.75" customHeight="1">
      <c r="G957" s="340"/>
      <c r="H957" s="340"/>
      <c r="I957" s="340"/>
      <c r="J957" s="340"/>
    </row>
    <row r="958" spans="7:10" ht="15.75" customHeight="1">
      <c r="G958" s="340"/>
      <c r="H958" s="340"/>
      <c r="I958" s="340"/>
      <c r="J958" s="340"/>
    </row>
    <row r="959" spans="7:10" ht="15.75" customHeight="1">
      <c r="G959" s="340"/>
      <c r="H959" s="340"/>
      <c r="I959" s="340"/>
      <c r="J959" s="340"/>
    </row>
    <row r="960" spans="7:10" ht="15.75" customHeight="1">
      <c r="G960" s="340"/>
      <c r="H960" s="340"/>
      <c r="I960" s="340"/>
      <c r="J960" s="340"/>
    </row>
    <row r="961" spans="7:10" ht="15.75" customHeight="1">
      <c r="G961" s="340"/>
      <c r="H961" s="340"/>
      <c r="I961" s="340"/>
      <c r="J961" s="340"/>
    </row>
    <row r="962" spans="7:10" ht="15.75" customHeight="1">
      <c r="G962" s="340"/>
      <c r="H962" s="340"/>
      <c r="I962" s="340"/>
      <c r="J962" s="340"/>
    </row>
    <row r="963" spans="7:10" ht="15.75" customHeight="1">
      <c r="G963" s="340"/>
      <c r="H963" s="340"/>
      <c r="I963" s="340"/>
      <c r="J963" s="340"/>
    </row>
    <row r="964" spans="7:10" ht="15.75" customHeight="1">
      <c r="G964" s="340"/>
      <c r="H964" s="340"/>
      <c r="I964" s="340"/>
      <c r="J964" s="340"/>
    </row>
    <row r="965" spans="7:10" ht="15.75" customHeight="1">
      <c r="G965" s="340"/>
      <c r="H965" s="340"/>
      <c r="I965" s="340"/>
      <c r="J965" s="340"/>
    </row>
    <row r="966" spans="7:10" ht="15.75" customHeight="1">
      <c r="G966" s="340"/>
      <c r="H966" s="340"/>
      <c r="I966" s="340"/>
      <c r="J966" s="340"/>
    </row>
    <row r="967" spans="7:10" ht="15.75" customHeight="1">
      <c r="G967" s="340"/>
      <c r="H967" s="340"/>
      <c r="I967" s="340"/>
      <c r="J967" s="340"/>
    </row>
    <row r="968" spans="7:10" ht="15.75" customHeight="1">
      <c r="G968" s="340"/>
      <c r="H968" s="340"/>
      <c r="I968" s="340"/>
      <c r="J968" s="340"/>
    </row>
    <row r="969" spans="7:10" ht="15.75" customHeight="1">
      <c r="G969" s="340"/>
      <c r="H969" s="340"/>
      <c r="I969" s="340"/>
      <c r="J969" s="340"/>
    </row>
    <row r="970" spans="7:10" ht="15.75" customHeight="1">
      <c r="G970" s="340"/>
      <c r="H970" s="340"/>
      <c r="I970" s="340"/>
      <c r="J970" s="340"/>
    </row>
    <row r="971" spans="7:10" ht="15.75" customHeight="1">
      <c r="G971" s="340"/>
      <c r="H971" s="340"/>
      <c r="I971" s="340"/>
      <c r="J971" s="340"/>
    </row>
    <row r="972" spans="7:10" ht="15.75" customHeight="1">
      <c r="G972" s="340"/>
      <c r="H972" s="340"/>
      <c r="I972" s="340"/>
      <c r="J972" s="340"/>
    </row>
    <row r="973" spans="7:10" ht="15.75" customHeight="1">
      <c r="G973" s="340"/>
      <c r="H973" s="340"/>
      <c r="I973" s="340"/>
      <c r="J973" s="340"/>
    </row>
    <row r="974" spans="7:10" ht="15.75" customHeight="1">
      <c r="G974" s="340"/>
      <c r="H974" s="340"/>
      <c r="I974" s="340"/>
      <c r="J974" s="340"/>
    </row>
    <row r="975" spans="7:10" ht="15.75" customHeight="1">
      <c r="G975" s="340"/>
      <c r="H975" s="340"/>
      <c r="I975" s="340"/>
      <c r="J975" s="340"/>
    </row>
    <row r="976" spans="7:10" ht="15.75" customHeight="1">
      <c r="G976" s="340"/>
      <c r="H976" s="340"/>
      <c r="I976" s="340"/>
      <c r="J976" s="340"/>
    </row>
    <row r="977" spans="7:10" ht="15.75" customHeight="1">
      <c r="G977" s="340"/>
      <c r="H977" s="340"/>
      <c r="I977" s="340"/>
      <c r="J977" s="340"/>
    </row>
    <row r="978" spans="7:10" ht="15.75" customHeight="1">
      <c r="G978" s="340"/>
      <c r="H978" s="340"/>
      <c r="I978" s="340"/>
      <c r="J978" s="340"/>
    </row>
    <row r="979" spans="7:10" ht="15.75" customHeight="1">
      <c r="G979" s="340"/>
      <c r="H979" s="340"/>
      <c r="I979" s="340"/>
      <c r="J979" s="340"/>
    </row>
    <row r="980" spans="7:10" ht="15.75" customHeight="1">
      <c r="G980" s="340"/>
      <c r="H980" s="340"/>
      <c r="I980" s="340"/>
      <c r="J980" s="340"/>
    </row>
    <row r="981" spans="7:10" ht="15.75" customHeight="1">
      <c r="G981" s="340"/>
      <c r="H981" s="340"/>
      <c r="I981" s="340"/>
      <c r="J981" s="340"/>
    </row>
    <row r="982" spans="7:10" ht="15.75" customHeight="1">
      <c r="G982" s="340"/>
      <c r="H982" s="340"/>
      <c r="I982" s="340"/>
      <c r="J982" s="340"/>
    </row>
    <row r="983" spans="7:10" ht="15.75" customHeight="1">
      <c r="G983" s="340"/>
      <c r="H983" s="340"/>
      <c r="I983" s="340"/>
      <c r="J983" s="340"/>
    </row>
    <row r="984" spans="7:10" ht="15.75" customHeight="1">
      <c r="G984" s="340"/>
      <c r="H984" s="340"/>
      <c r="I984" s="340"/>
      <c r="J984" s="340"/>
    </row>
    <row r="985" spans="7:10" ht="15.75" customHeight="1">
      <c r="G985" s="340"/>
      <c r="H985" s="340"/>
      <c r="I985" s="340"/>
      <c r="J985" s="340"/>
    </row>
    <row r="986" spans="7:10" ht="15.75" customHeight="1">
      <c r="G986" s="340"/>
      <c r="H986" s="340"/>
      <c r="I986" s="340"/>
      <c r="J986" s="340"/>
    </row>
    <row r="987" spans="7:10" ht="15.75" customHeight="1">
      <c r="G987" s="340"/>
      <c r="H987" s="340"/>
      <c r="I987" s="340"/>
      <c r="J987" s="340"/>
    </row>
    <row r="988" spans="7:10" ht="15.75" customHeight="1">
      <c r="G988" s="340"/>
      <c r="H988" s="340"/>
      <c r="I988" s="340"/>
      <c r="J988" s="340"/>
    </row>
    <row r="989" spans="7:10" ht="15.75" customHeight="1">
      <c r="G989" s="340"/>
      <c r="H989" s="340"/>
      <c r="I989" s="340"/>
      <c r="J989" s="340"/>
    </row>
    <row r="990" spans="7:10" ht="15.75" customHeight="1">
      <c r="G990" s="340"/>
      <c r="H990" s="340"/>
      <c r="I990" s="340"/>
      <c r="J990" s="340"/>
    </row>
    <row r="991" spans="7:10" ht="15.75" customHeight="1">
      <c r="G991" s="340"/>
      <c r="H991" s="340"/>
      <c r="I991" s="340"/>
      <c r="J991" s="340"/>
    </row>
    <row r="992" spans="7:10" ht="15.75" customHeight="1">
      <c r="G992" s="340"/>
      <c r="H992" s="340"/>
      <c r="I992" s="340"/>
      <c r="J992" s="340"/>
    </row>
    <row r="993" spans="7:10" ht="15.75" customHeight="1">
      <c r="G993" s="340"/>
      <c r="H993" s="340"/>
      <c r="I993" s="340"/>
      <c r="J993" s="340"/>
    </row>
    <row r="994" spans="7:10" ht="15.75" customHeight="1">
      <c r="G994" s="340"/>
      <c r="H994" s="340"/>
      <c r="I994" s="340"/>
      <c r="J994" s="340"/>
    </row>
    <row r="995" spans="7:10" ht="15.75" customHeight="1">
      <c r="G995" s="340"/>
      <c r="H995" s="340"/>
      <c r="I995" s="340"/>
      <c r="J995" s="340"/>
    </row>
    <row r="996" spans="7:10" ht="15.75" customHeight="1">
      <c r="G996" s="340"/>
      <c r="H996" s="340"/>
      <c r="I996" s="340"/>
      <c r="J996" s="340"/>
    </row>
    <row r="997" spans="7:10" ht="15.75" customHeight="1">
      <c r="G997" s="340"/>
      <c r="H997" s="340"/>
      <c r="I997" s="340"/>
      <c r="J997" s="340"/>
    </row>
    <row r="998" spans="7:10" ht="15.75" customHeight="1">
      <c r="G998" s="340"/>
      <c r="H998" s="340"/>
      <c r="I998" s="340"/>
      <c r="J998" s="340"/>
    </row>
    <row r="999" spans="7:10" ht="15.75" customHeight="1">
      <c r="G999" s="340"/>
      <c r="H999" s="340"/>
      <c r="I999" s="340"/>
      <c r="J999" s="340"/>
    </row>
  </sheetData>
  <autoFilter ref="A2:P301" xr:uid="{4B41D9A7-36B0-413D-A0D1-2B7441371169}"/>
  <dataValidations count="5">
    <dataValidation type="custom" allowBlank="1" showDropDown="1" showInputMessage="1" showErrorMessage="1" prompt="Digite somente números" sqref="D207:D302" xr:uid="{00000000-0002-0000-0000-000000000000}">
      <formula1>ISNUMBER(D207:D704)</formula1>
    </dataValidation>
    <dataValidation type="date" allowBlank="1" showDropDown="1" showInputMessage="1" showErrorMessage="1" prompt="Digite uma data entre 01/01/2024 e 31/12/2026" sqref="L3:L301 M207:N301" xr:uid="{00000000-0002-0000-0000-000001000000}">
      <formula1>45292</formula1>
      <formula2>46387</formula2>
    </dataValidation>
    <dataValidation type="list" allowBlank="1" showErrorMessage="1" sqref="E3:E301" xr:uid="{00000000-0002-0000-0000-000002000000}">
      <formula1>"CUSTEIO,INVESTIMENTO"</formula1>
    </dataValidation>
    <dataValidation type="list" allowBlank="1" showErrorMessage="1" sqref="F3:F301" xr:uid="{00000000-0002-0000-0000-000003000000}">
      <formula1>"Licitação,Dispensa de Licitação,Inexigibilidade,SRP Estadual,SRP Estadual (Carona),SRP Federal,SRP Federal (Carona)"</formula1>
    </dataValidation>
    <dataValidation type="list" allowBlank="1" showErrorMessage="1" sqref="O3:O301" xr:uid="{00000000-0002-0000-0000-000004000000}">
      <formula1>"TRAMITANDO,ARQUIVADO,FINALIZADO"</formula1>
    </dataValidation>
  </dataValidation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U999"/>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2.5703125" defaultRowHeight="15.75" customHeight="1"/>
  <cols>
    <col min="1" max="1" width="12.5703125" customWidth="1"/>
    <col min="2" max="2" width="33.42578125" customWidth="1"/>
    <col min="3" max="3" width="12" customWidth="1"/>
    <col min="4" max="4" width="17" customWidth="1"/>
    <col min="5" max="5" width="14.7109375" customWidth="1"/>
    <col min="6" max="6" width="18.85546875" customWidth="1"/>
    <col min="8" max="8" width="15" customWidth="1"/>
    <col min="10" max="10" width="18.85546875" customWidth="1"/>
    <col min="15" max="15" width="19" customWidth="1"/>
    <col min="16" max="16" width="16.42578125" customWidth="1"/>
  </cols>
  <sheetData>
    <row r="1" spans="1:21">
      <c r="A1" s="1">
        <f>SUBTOTAL(3,A3:A1095)</f>
        <v>204</v>
      </c>
      <c r="B1" s="2"/>
      <c r="C1" s="3"/>
      <c r="D1" s="4">
        <f>SUBTOTAL(9,D3:D1094)</f>
        <v>174190352.20999998</v>
      </c>
      <c r="E1" s="3"/>
      <c r="F1" s="3"/>
      <c r="G1" s="3"/>
      <c r="H1" s="3"/>
      <c r="I1" s="5">
        <f t="shared" ref="I1:J1" si="0">SUBTOTAL(3,I3:I500)</f>
        <v>110</v>
      </c>
      <c r="J1" s="5">
        <f t="shared" si="0"/>
        <v>110</v>
      </c>
      <c r="K1" s="3"/>
      <c r="L1" s="3"/>
      <c r="M1" s="3"/>
      <c r="N1" s="5">
        <f>SUBTOTAL(3,N3:N1094)</f>
        <v>78</v>
      </c>
      <c r="O1" s="5">
        <f>COUNTIF(O3:O499,"FINALIZADO")</f>
        <v>78</v>
      </c>
      <c r="P1" s="6"/>
      <c r="Q1" s="7"/>
      <c r="R1" s="7"/>
      <c r="S1" s="7"/>
      <c r="T1" s="8"/>
      <c r="U1" s="8"/>
    </row>
    <row r="2" spans="1:21">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7"/>
      <c r="R2" s="7"/>
      <c r="S2" s="7"/>
      <c r="T2" s="7"/>
      <c r="U2" s="7"/>
    </row>
    <row r="3" spans="1:21">
      <c r="A3" s="24" t="s">
        <v>16</v>
      </c>
      <c r="B3" s="25" t="s">
        <v>17</v>
      </c>
      <c r="C3" s="26">
        <v>45715</v>
      </c>
      <c r="D3" s="27">
        <v>10560</v>
      </c>
      <c r="E3" s="28" t="s">
        <v>18</v>
      </c>
      <c r="F3" s="29" t="s">
        <v>19</v>
      </c>
      <c r="G3" s="30"/>
      <c r="H3" s="31">
        <v>45839</v>
      </c>
      <c r="I3" s="31">
        <v>45848</v>
      </c>
      <c r="J3" s="31">
        <v>45852</v>
      </c>
      <c r="K3" s="32">
        <v>30</v>
      </c>
      <c r="L3" s="31">
        <f t="shared" ref="L3:L499" si="1">IF(ISBLANK(J3), "", SUM(J3, K3))</f>
        <v>45882</v>
      </c>
      <c r="M3" s="30"/>
      <c r="N3" s="31">
        <v>45839</v>
      </c>
      <c r="O3" s="33" t="s">
        <v>20</v>
      </c>
      <c r="P3" s="34"/>
      <c r="Q3" s="7"/>
      <c r="R3" s="7"/>
      <c r="S3" s="7"/>
      <c r="T3" s="8"/>
      <c r="U3" s="8"/>
    </row>
    <row r="4" spans="1:21">
      <c r="A4" s="24" t="s">
        <v>21</v>
      </c>
      <c r="B4" s="25" t="s">
        <v>22</v>
      </c>
      <c r="C4" s="26">
        <v>45714</v>
      </c>
      <c r="D4" s="35">
        <v>1778400</v>
      </c>
      <c r="E4" s="28" t="s">
        <v>18</v>
      </c>
      <c r="F4" s="32" t="s">
        <v>23</v>
      </c>
      <c r="G4" s="31">
        <v>45875</v>
      </c>
      <c r="H4" s="31">
        <v>45932</v>
      </c>
      <c r="I4" s="36">
        <v>45951</v>
      </c>
      <c r="J4" s="36">
        <v>45951</v>
      </c>
      <c r="K4" s="32">
        <v>30</v>
      </c>
      <c r="L4" s="36">
        <f t="shared" si="1"/>
        <v>45981</v>
      </c>
      <c r="M4" s="30"/>
      <c r="N4" s="36">
        <v>45981</v>
      </c>
      <c r="O4" s="33" t="s">
        <v>20</v>
      </c>
      <c r="P4" s="34"/>
      <c r="Q4" s="7"/>
      <c r="R4" s="7"/>
      <c r="S4" s="7"/>
      <c r="T4" s="8"/>
      <c r="U4" s="8"/>
    </row>
    <row r="5" spans="1:21">
      <c r="A5" s="37" t="s">
        <v>24</v>
      </c>
      <c r="B5" s="38" t="s">
        <v>25</v>
      </c>
      <c r="C5" s="39">
        <v>45734</v>
      </c>
      <c r="D5" s="40">
        <v>531310</v>
      </c>
      <c r="E5" s="41" t="s">
        <v>18</v>
      </c>
      <c r="F5" s="42" t="s">
        <v>26</v>
      </c>
      <c r="G5" s="12"/>
      <c r="H5" s="12"/>
      <c r="I5" s="12"/>
      <c r="J5" s="17"/>
      <c r="K5" s="42">
        <v>30</v>
      </c>
      <c r="L5" s="42" t="str">
        <f t="shared" si="1"/>
        <v/>
      </c>
      <c r="M5" s="12"/>
      <c r="N5" s="12"/>
      <c r="O5" s="18" t="s">
        <v>27</v>
      </c>
      <c r="P5" s="15"/>
      <c r="Q5" s="7"/>
      <c r="R5" s="7"/>
      <c r="S5" s="7"/>
      <c r="T5" s="8"/>
      <c r="U5" s="8"/>
    </row>
    <row r="6" spans="1:21">
      <c r="A6" s="37" t="s">
        <v>28</v>
      </c>
      <c r="B6" s="38" t="s">
        <v>29</v>
      </c>
      <c r="C6" s="39">
        <v>45750</v>
      </c>
      <c r="D6" s="40">
        <v>106123</v>
      </c>
      <c r="E6" s="43" t="s">
        <v>30</v>
      </c>
      <c r="F6" s="44" t="s">
        <v>19</v>
      </c>
      <c r="G6" s="12"/>
      <c r="H6" s="45">
        <v>45903</v>
      </c>
      <c r="I6" s="45">
        <v>45922</v>
      </c>
      <c r="J6" s="45">
        <v>45923</v>
      </c>
      <c r="K6" s="42">
        <v>90</v>
      </c>
      <c r="L6" s="45">
        <f t="shared" si="1"/>
        <v>46013</v>
      </c>
      <c r="M6" s="46">
        <v>45992</v>
      </c>
      <c r="N6" s="12"/>
      <c r="O6" s="47" t="s">
        <v>27</v>
      </c>
      <c r="P6" s="15"/>
      <c r="Q6" s="7"/>
      <c r="R6" s="7"/>
      <c r="S6" s="7"/>
      <c r="T6" s="8"/>
      <c r="U6" s="8"/>
    </row>
    <row r="7" spans="1:21">
      <c r="A7" s="24" t="s">
        <v>31</v>
      </c>
      <c r="B7" s="25" t="s">
        <v>32</v>
      </c>
      <c r="C7" s="26">
        <v>45674</v>
      </c>
      <c r="D7" s="35">
        <v>171111.52</v>
      </c>
      <c r="E7" s="28" t="s">
        <v>18</v>
      </c>
      <c r="F7" s="32" t="s">
        <v>23</v>
      </c>
      <c r="G7" s="30"/>
      <c r="H7" s="31">
        <v>45917</v>
      </c>
      <c r="I7" s="31">
        <v>45937</v>
      </c>
      <c r="J7" s="31">
        <v>45936</v>
      </c>
      <c r="K7" s="32">
        <v>15</v>
      </c>
      <c r="L7" s="31">
        <f t="shared" si="1"/>
        <v>45951</v>
      </c>
      <c r="M7" s="30"/>
      <c r="N7" s="36">
        <v>45951</v>
      </c>
      <c r="O7" s="33" t="s">
        <v>20</v>
      </c>
      <c r="P7" s="34"/>
      <c r="Q7" s="7"/>
      <c r="R7" s="7"/>
      <c r="S7" s="7"/>
      <c r="T7" s="8"/>
      <c r="U7" s="8"/>
    </row>
    <row r="8" spans="1:21">
      <c r="A8" s="37" t="s">
        <v>33</v>
      </c>
      <c r="B8" s="38" t="s">
        <v>34</v>
      </c>
      <c r="C8" s="39">
        <v>45678</v>
      </c>
      <c r="D8" s="40">
        <v>193026.4</v>
      </c>
      <c r="E8" s="43" t="s">
        <v>30</v>
      </c>
      <c r="F8" s="42" t="s">
        <v>23</v>
      </c>
      <c r="G8" s="12"/>
      <c r="H8" s="12"/>
      <c r="I8" s="12"/>
      <c r="J8" s="14"/>
      <c r="K8" s="42">
        <v>30</v>
      </c>
      <c r="L8" s="42" t="str">
        <f t="shared" si="1"/>
        <v/>
      </c>
      <c r="M8" s="12"/>
      <c r="N8" s="12"/>
      <c r="O8" s="47" t="s">
        <v>27</v>
      </c>
      <c r="P8" s="15"/>
      <c r="Q8" s="7"/>
      <c r="R8" s="7"/>
      <c r="S8" s="7"/>
      <c r="T8" s="8"/>
      <c r="U8" s="8"/>
    </row>
    <row r="9" spans="1:21">
      <c r="A9" s="37" t="s">
        <v>35</v>
      </c>
      <c r="B9" s="38" t="s">
        <v>36</v>
      </c>
      <c r="C9" s="39">
        <v>45751</v>
      </c>
      <c r="D9" s="40">
        <v>85981.41</v>
      </c>
      <c r="E9" s="43" t="s">
        <v>30</v>
      </c>
      <c r="F9" s="42" t="s">
        <v>23</v>
      </c>
      <c r="G9" s="12"/>
      <c r="H9" s="12"/>
      <c r="I9" s="12"/>
      <c r="J9" s="14"/>
      <c r="K9" s="42">
        <v>30</v>
      </c>
      <c r="L9" s="42" t="str">
        <f t="shared" si="1"/>
        <v/>
      </c>
      <c r="M9" s="12"/>
      <c r="N9" s="12"/>
      <c r="O9" s="47" t="s">
        <v>27</v>
      </c>
      <c r="P9" s="15"/>
      <c r="Q9" s="7"/>
      <c r="R9" s="7"/>
      <c r="S9" s="7"/>
      <c r="T9" s="8"/>
      <c r="U9" s="8"/>
    </row>
    <row r="10" spans="1:21">
      <c r="A10" s="37" t="s">
        <v>37</v>
      </c>
      <c r="B10" s="38" t="s">
        <v>38</v>
      </c>
      <c r="C10" s="39">
        <v>45763</v>
      </c>
      <c r="D10" s="40">
        <v>33480720</v>
      </c>
      <c r="E10" s="41" t="s">
        <v>18</v>
      </c>
      <c r="F10" s="42" t="s">
        <v>23</v>
      </c>
      <c r="G10" s="45">
        <v>45702</v>
      </c>
      <c r="H10" s="45">
        <v>45820</v>
      </c>
      <c r="I10" s="45">
        <v>45868</v>
      </c>
      <c r="J10" s="45">
        <v>45821</v>
      </c>
      <c r="K10" s="42">
        <v>60</v>
      </c>
      <c r="L10" s="45">
        <f t="shared" si="1"/>
        <v>45881</v>
      </c>
      <c r="M10" s="12"/>
      <c r="N10" s="12"/>
      <c r="O10" s="47" t="s">
        <v>27</v>
      </c>
      <c r="P10" s="15"/>
      <c r="Q10" s="7"/>
      <c r="R10" s="7"/>
      <c r="S10" s="7"/>
      <c r="T10" s="8"/>
      <c r="U10" s="8"/>
    </row>
    <row r="11" spans="1:21">
      <c r="A11" s="37" t="s">
        <v>39</v>
      </c>
      <c r="B11" s="38" t="s">
        <v>40</v>
      </c>
      <c r="C11" s="39">
        <v>45747</v>
      </c>
      <c r="D11" s="40">
        <v>990000</v>
      </c>
      <c r="E11" s="43" t="s">
        <v>30</v>
      </c>
      <c r="F11" s="42" t="s">
        <v>26</v>
      </c>
      <c r="G11" s="12"/>
      <c r="H11" s="48">
        <v>45999</v>
      </c>
      <c r="I11" s="12"/>
      <c r="J11" s="14"/>
      <c r="K11" s="42">
        <v>30</v>
      </c>
      <c r="L11" s="42" t="str">
        <f t="shared" si="1"/>
        <v/>
      </c>
      <c r="M11" s="12"/>
      <c r="N11" s="12"/>
      <c r="O11" s="47" t="s">
        <v>27</v>
      </c>
      <c r="P11" s="49" t="s">
        <v>41</v>
      </c>
      <c r="Q11" s="7"/>
      <c r="R11" s="7"/>
      <c r="S11" s="7"/>
      <c r="T11" s="8"/>
      <c r="U11" s="8"/>
    </row>
    <row r="12" spans="1:21">
      <c r="A12" s="24" t="s">
        <v>42</v>
      </c>
      <c r="B12" s="25" t="s">
        <v>43</v>
      </c>
      <c r="C12" s="26">
        <v>45686</v>
      </c>
      <c r="D12" s="35">
        <v>50000</v>
      </c>
      <c r="E12" s="28" t="s">
        <v>18</v>
      </c>
      <c r="F12" s="32" t="s">
        <v>44</v>
      </c>
      <c r="G12" s="36">
        <v>45946</v>
      </c>
      <c r="H12" s="31">
        <v>45733</v>
      </c>
      <c r="I12" s="31">
        <v>45748</v>
      </c>
      <c r="J12" s="31">
        <v>45756</v>
      </c>
      <c r="K12" s="32">
        <v>360</v>
      </c>
      <c r="L12" s="31">
        <f t="shared" si="1"/>
        <v>46116</v>
      </c>
      <c r="M12" s="30"/>
      <c r="N12" s="31">
        <v>45751</v>
      </c>
      <c r="O12" s="33" t="s">
        <v>20</v>
      </c>
      <c r="P12" s="34"/>
      <c r="Q12" s="7"/>
      <c r="R12" s="7"/>
      <c r="S12" s="7"/>
      <c r="T12" s="8"/>
      <c r="U12" s="8"/>
    </row>
    <row r="13" spans="1:21">
      <c r="A13" s="24" t="s">
        <v>45</v>
      </c>
      <c r="B13" s="25" t="s">
        <v>46</v>
      </c>
      <c r="C13" s="26">
        <v>45688</v>
      </c>
      <c r="D13" s="35">
        <v>233.25</v>
      </c>
      <c r="E13" s="28" t="s">
        <v>18</v>
      </c>
      <c r="F13" s="32" t="s">
        <v>44</v>
      </c>
      <c r="G13" s="30"/>
      <c r="H13" s="30"/>
      <c r="I13" s="30"/>
      <c r="J13" s="50"/>
      <c r="K13" s="30"/>
      <c r="L13" s="30" t="str">
        <f t="shared" si="1"/>
        <v/>
      </c>
      <c r="M13" s="30"/>
      <c r="N13" s="30"/>
      <c r="O13" s="51" t="s">
        <v>47</v>
      </c>
      <c r="P13" s="34"/>
      <c r="Q13" s="7"/>
      <c r="R13" s="7"/>
      <c r="S13" s="7"/>
      <c r="T13" s="8"/>
      <c r="U13" s="8"/>
    </row>
    <row r="14" spans="1:21">
      <c r="A14" s="24" t="s">
        <v>48</v>
      </c>
      <c r="B14" s="25" t="s">
        <v>49</v>
      </c>
      <c r="C14" s="26">
        <v>45698</v>
      </c>
      <c r="D14" s="35">
        <v>17473</v>
      </c>
      <c r="E14" s="28" t="s">
        <v>18</v>
      </c>
      <c r="F14" s="32" t="s">
        <v>44</v>
      </c>
      <c r="G14" s="31">
        <v>46044</v>
      </c>
      <c r="H14" s="30"/>
      <c r="I14" s="31">
        <v>45702</v>
      </c>
      <c r="J14" s="31">
        <v>45786</v>
      </c>
      <c r="K14" s="32">
        <v>30</v>
      </c>
      <c r="L14" s="31">
        <f t="shared" si="1"/>
        <v>45816</v>
      </c>
      <c r="M14" s="31">
        <v>45805</v>
      </c>
      <c r="N14" s="31">
        <v>45833</v>
      </c>
      <c r="O14" s="33" t="s">
        <v>20</v>
      </c>
      <c r="P14" s="34"/>
      <c r="Q14" s="7"/>
      <c r="R14" s="7"/>
      <c r="S14" s="7"/>
      <c r="T14" s="8"/>
      <c r="U14" s="8"/>
    </row>
    <row r="15" spans="1:21">
      <c r="A15" s="24" t="s">
        <v>50</v>
      </c>
      <c r="B15" s="25" t="s">
        <v>51</v>
      </c>
      <c r="C15" s="26">
        <v>45712</v>
      </c>
      <c r="D15" s="35">
        <v>68276.399999999994</v>
      </c>
      <c r="E15" s="28" t="s">
        <v>18</v>
      </c>
      <c r="F15" s="32" t="s">
        <v>44</v>
      </c>
      <c r="G15" s="30"/>
      <c r="H15" s="30"/>
      <c r="I15" s="31">
        <v>45806</v>
      </c>
      <c r="J15" s="31">
        <v>45812</v>
      </c>
      <c r="K15" s="32">
        <v>15</v>
      </c>
      <c r="L15" s="31">
        <f t="shared" si="1"/>
        <v>45827</v>
      </c>
      <c r="M15" s="31">
        <v>45910</v>
      </c>
      <c r="N15" s="31">
        <v>45915</v>
      </c>
      <c r="O15" s="33" t="s">
        <v>20</v>
      </c>
      <c r="P15" s="34"/>
      <c r="Q15" s="7"/>
      <c r="R15" s="7"/>
      <c r="S15" s="7"/>
      <c r="T15" s="8"/>
      <c r="U15" s="8"/>
    </row>
    <row r="16" spans="1:21">
      <c r="A16" s="24" t="s">
        <v>52</v>
      </c>
      <c r="B16" s="25" t="s">
        <v>53</v>
      </c>
      <c r="C16" s="26">
        <v>45735</v>
      </c>
      <c r="D16" s="35">
        <v>292600</v>
      </c>
      <c r="E16" s="52" t="s">
        <v>30</v>
      </c>
      <c r="F16" s="32" t="s">
        <v>44</v>
      </c>
      <c r="G16" s="30"/>
      <c r="H16" s="30"/>
      <c r="I16" s="31">
        <v>45800</v>
      </c>
      <c r="J16" s="31">
        <v>45792</v>
      </c>
      <c r="K16" s="32">
        <v>45</v>
      </c>
      <c r="L16" s="31">
        <f t="shared" si="1"/>
        <v>45837</v>
      </c>
      <c r="M16" s="31">
        <v>45862</v>
      </c>
      <c r="N16" s="31">
        <v>45867</v>
      </c>
      <c r="O16" s="33" t="s">
        <v>20</v>
      </c>
      <c r="P16" s="53" t="s">
        <v>54</v>
      </c>
      <c r="Q16" s="7"/>
      <c r="R16" s="7"/>
      <c r="S16" s="7"/>
      <c r="T16" s="8"/>
      <c r="U16" s="8"/>
    </row>
    <row r="17" spans="1:21">
      <c r="A17" s="24" t="s">
        <v>55</v>
      </c>
      <c r="B17" s="25" t="s">
        <v>56</v>
      </c>
      <c r="C17" s="26">
        <v>45743</v>
      </c>
      <c r="D17" s="35">
        <v>19470</v>
      </c>
      <c r="E17" s="28" t="s">
        <v>18</v>
      </c>
      <c r="F17" s="32" t="s">
        <v>44</v>
      </c>
      <c r="G17" s="30"/>
      <c r="H17" s="30"/>
      <c r="I17" s="31">
        <v>45775</v>
      </c>
      <c r="J17" s="31">
        <v>45826</v>
      </c>
      <c r="K17" s="32">
        <v>30</v>
      </c>
      <c r="L17" s="31">
        <f t="shared" si="1"/>
        <v>45856</v>
      </c>
      <c r="M17" s="30"/>
      <c r="N17" s="31">
        <v>45846</v>
      </c>
      <c r="O17" s="33" t="s">
        <v>20</v>
      </c>
      <c r="P17" s="34"/>
      <c r="Q17" s="7"/>
      <c r="R17" s="7"/>
      <c r="S17" s="7"/>
      <c r="T17" s="8"/>
      <c r="U17" s="8"/>
    </row>
    <row r="18" spans="1:21">
      <c r="A18" s="24" t="s">
        <v>57</v>
      </c>
      <c r="B18" s="25" t="s">
        <v>58</v>
      </c>
      <c r="C18" s="26">
        <v>45762</v>
      </c>
      <c r="D18" s="35">
        <v>57317.760000000002</v>
      </c>
      <c r="E18" s="28" t="s">
        <v>18</v>
      </c>
      <c r="F18" s="32" t="s">
        <v>44</v>
      </c>
      <c r="G18" s="30"/>
      <c r="H18" s="30"/>
      <c r="I18" s="30"/>
      <c r="J18" s="50"/>
      <c r="K18" s="30"/>
      <c r="L18" s="30" t="str">
        <f t="shared" si="1"/>
        <v/>
      </c>
      <c r="M18" s="30"/>
      <c r="N18" s="30"/>
      <c r="O18" s="51" t="s">
        <v>47</v>
      </c>
      <c r="P18" s="34"/>
      <c r="Q18" s="7"/>
      <c r="R18" s="7"/>
      <c r="S18" s="7"/>
      <c r="T18" s="8"/>
      <c r="U18" s="8"/>
    </row>
    <row r="19" spans="1:21">
      <c r="A19" s="24" t="s">
        <v>59</v>
      </c>
      <c r="B19" s="25" t="s">
        <v>60</v>
      </c>
      <c r="C19" s="26">
        <v>45763</v>
      </c>
      <c r="D19" s="35">
        <v>89853.91</v>
      </c>
      <c r="E19" s="28" t="s">
        <v>18</v>
      </c>
      <c r="F19" s="32" t="s">
        <v>44</v>
      </c>
      <c r="G19" s="30"/>
      <c r="H19" s="30"/>
      <c r="I19" s="31">
        <v>45840</v>
      </c>
      <c r="J19" s="31">
        <v>45852</v>
      </c>
      <c r="K19" s="32">
        <v>10</v>
      </c>
      <c r="L19" s="31">
        <f t="shared" si="1"/>
        <v>45862</v>
      </c>
      <c r="M19" s="30"/>
      <c r="N19" s="31">
        <v>45862</v>
      </c>
      <c r="O19" s="33" t="s">
        <v>20</v>
      </c>
      <c r="P19" s="34"/>
      <c r="Q19" s="7"/>
      <c r="R19" s="7"/>
      <c r="S19" s="7"/>
      <c r="T19" s="8"/>
      <c r="U19" s="8"/>
    </row>
    <row r="20" spans="1:21">
      <c r="A20" s="24" t="s">
        <v>61</v>
      </c>
      <c r="B20" s="25" t="s">
        <v>62</v>
      </c>
      <c r="C20" s="26">
        <v>45755</v>
      </c>
      <c r="D20" s="35">
        <v>2375</v>
      </c>
      <c r="E20" s="28" t="s">
        <v>18</v>
      </c>
      <c r="F20" s="32" t="s">
        <v>63</v>
      </c>
      <c r="G20" s="30"/>
      <c r="H20" s="31">
        <v>45852</v>
      </c>
      <c r="I20" s="31">
        <v>45883</v>
      </c>
      <c r="J20" s="31">
        <v>45852</v>
      </c>
      <c r="K20" s="32">
        <v>60</v>
      </c>
      <c r="L20" s="31">
        <f t="shared" si="1"/>
        <v>45912</v>
      </c>
      <c r="M20" s="31">
        <v>45890</v>
      </c>
      <c r="N20" s="31">
        <v>45887</v>
      </c>
      <c r="O20" s="33" t="s">
        <v>20</v>
      </c>
      <c r="P20" s="34"/>
      <c r="Q20" s="7"/>
      <c r="R20" s="7"/>
      <c r="S20" s="7"/>
      <c r="T20" s="8"/>
      <c r="U20" s="8"/>
    </row>
    <row r="21" spans="1:21">
      <c r="A21" s="24" t="s">
        <v>64</v>
      </c>
      <c r="B21" s="25" t="s">
        <v>65</v>
      </c>
      <c r="C21" s="26">
        <v>45713</v>
      </c>
      <c r="D21" s="35">
        <v>53179.5</v>
      </c>
      <c r="E21" s="28" t="s">
        <v>18</v>
      </c>
      <c r="F21" s="29" t="s">
        <v>19</v>
      </c>
      <c r="G21" s="30"/>
      <c r="H21" s="30"/>
      <c r="I21" s="31">
        <v>45777</v>
      </c>
      <c r="J21" s="31">
        <v>45784</v>
      </c>
      <c r="K21" s="32">
        <v>30</v>
      </c>
      <c r="L21" s="31">
        <f t="shared" si="1"/>
        <v>45814</v>
      </c>
      <c r="M21" s="30"/>
      <c r="N21" s="31">
        <v>45799</v>
      </c>
      <c r="O21" s="33" t="s">
        <v>20</v>
      </c>
      <c r="P21" s="34"/>
      <c r="Q21" s="7"/>
      <c r="R21" s="7"/>
      <c r="S21" s="7"/>
      <c r="T21" s="8"/>
      <c r="U21" s="8"/>
    </row>
    <row r="22" spans="1:21">
      <c r="A22" s="24" t="s">
        <v>66</v>
      </c>
      <c r="B22" s="25" t="s">
        <v>67</v>
      </c>
      <c r="C22" s="26">
        <v>45715</v>
      </c>
      <c r="D22" s="35">
        <v>51776</v>
      </c>
      <c r="E22" s="28" t="s">
        <v>18</v>
      </c>
      <c r="F22" s="29" t="s">
        <v>19</v>
      </c>
      <c r="G22" s="30"/>
      <c r="H22" s="30"/>
      <c r="I22" s="31">
        <v>45792</v>
      </c>
      <c r="J22" s="31">
        <v>45796</v>
      </c>
      <c r="K22" s="32">
        <v>30</v>
      </c>
      <c r="L22" s="31">
        <f t="shared" si="1"/>
        <v>45826</v>
      </c>
      <c r="M22" s="30"/>
      <c r="N22" s="31">
        <v>45824</v>
      </c>
      <c r="O22" s="33" t="s">
        <v>20</v>
      </c>
      <c r="P22" s="34"/>
      <c r="Q22" s="7"/>
      <c r="R22" s="7"/>
      <c r="S22" s="7"/>
      <c r="T22" s="8"/>
      <c r="U22" s="8"/>
    </row>
    <row r="23" spans="1:21">
      <c r="A23" s="24" t="s">
        <v>68</v>
      </c>
      <c r="B23" s="25" t="s">
        <v>69</v>
      </c>
      <c r="C23" s="26">
        <v>45722</v>
      </c>
      <c r="D23" s="35">
        <v>16271.44</v>
      </c>
      <c r="E23" s="28" t="s">
        <v>18</v>
      </c>
      <c r="F23" s="29" t="s">
        <v>19</v>
      </c>
      <c r="G23" s="30"/>
      <c r="H23" s="30"/>
      <c r="I23" s="31">
        <v>45786</v>
      </c>
      <c r="J23" s="31">
        <v>45792</v>
      </c>
      <c r="K23" s="32">
        <v>30</v>
      </c>
      <c r="L23" s="31">
        <f t="shared" si="1"/>
        <v>45822</v>
      </c>
      <c r="M23" s="30"/>
      <c r="N23" s="31">
        <v>45804</v>
      </c>
      <c r="O23" s="33" t="s">
        <v>20</v>
      </c>
      <c r="P23" s="34"/>
      <c r="Q23" s="7"/>
      <c r="R23" s="7"/>
      <c r="S23" s="7"/>
      <c r="T23" s="8"/>
      <c r="U23" s="8"/>
    </row>
    <row r="24" spans="1:21">
      <c r="A24" s="37" t="s">
        <v>70</v>
      </c>
      <c r="B24" s="38" t="s">
        <v>71</v>
      </c>
      <c r="C24" s="39">
        <v>45692</v>
      </c>
      <c r="D24" s="40">
        <v>360551.24</v>
      </c>
      <c r="E24" s="41" t="s">
        <v>18</v>
      </c>
      <c r="F24" s="42" t="s">
        <v>26</v>
      </c>
      <c r="G24" s="12"/>
      <c r="H24" s="12"/>
      <c r="I24" s="12"/>
      <c r="J24" s="14"/>
      <c r="K24" s="12"/>
      <c r="L24" s="12" t="str">
        <f t="shared" si="1"/>
        <v/>
      </c>
      <c r="M24" s="12"/>
      <c r="N24" s="12"/>
      <c r="O24" s="47" t="s">
        <v>27</v>
      </c>
      <c r="P24" s="15"/>
      <c r="Q24" s="7"/>
      <c r="R24" s="7"/>
      <c r="S24" s="7"/>
      <c r="T24" s="8"/>
      <c r="U24" s="8"/>
    </row>
    <row r="25" spans="1:21">
      <c r="A25" s="37" t="s">
        <v>72</v>
      </c>
      <c r="B25" s="38" t="s">
        <v>73</v>
      </c>
      <c r="C25" s="39">
        <v>45741</v>
      </c>
      <c r="D25" s="40">
        <v>1538000</v>
      </c>
      <c r="E25" s="41" t="s">
        <v>18</v>
      </c>
      <c r="F25" s="42" t="s">
        <v>26</v>
      </c>
      <c r="G25" s="12"/>
      <c r="H25" s="12"/>
      <c r="I25" s="12"/>
      <c r="J25" s="14"/>
      <c r="K25" s="42">
        <v>90</v>
      </c>
      <c r="L25" s="42" t="str">
        <f t="shared" si="1"/>
        <v/>
      </c>
      <c r="M25" s="12"/>
      <c r="N25" s="12"/>
      <c r="O25" s="47" t="s">
        <v>27</v>
      </c>
      <c r="P25" s="15"/>
      <c r="Q25" s="7"/>
      <c r="R25" s="7"/>
      <c r="S25" s="7"/>
      <c r="T25" s="8"/>
      <c r="U25" s="8"/>
    </row>
    <row r="26" spans="1:21">
      <c r="A26" s="37" t="s">
        <v>74</v>
      </c>
      <c r="B26" s="38" t="s">
        <v>75</v>
      </c>
      <c r="C26" s="39">
        <v>45734</v>
      </c>
      <c r="D26" s="40">
        <v>434305.84</v>
      </c>
      <c r="E26" s="41" t="s">
        <v>18</v>
      </c>
      <c r="F26" s="42" t="s">
        <v>26</v>
      </c>
      <c r="G26" s="12"/>
      <c r="H26" s="12"/>
      <c r="I26" s="12"/>
      <c r="J26" s="14"/>
      <c r="K26" s="42">
        <v>90</v>
      </c>
      <c r="L26" s="42" t="str">
        <f t="shared" si="1"/>
        <v/>
      </c>
      <c r="M26" s="12"/>
      <c r="N26" s="12"/>
      <c r="O26" s="47" t="s">
        <v>27</v>
      </c>
      <c r="P26" s="15"/>
      <c r="Q26" s="7"/>
      <c r="R26" s="7"/>
      <c r="S26" s="7"/>
      <c r="T26" s="8"/>
      <c r="U26" s="8"/>
    </row>
    <row r="27" spans="1:21">
      <c r="A27" s="24" t="s">
        <v>76</v>
      </c>
      <c r="B27" s="25" t="s">
        <v>77</v>
      </c>
      <c r="C27" s="26">
        <v>45702</v>
      </c>
      <c r="D27" s="35">
        <v>6480</v>
      </c>
      <c r="E27" s="28" t="s">
        <v>18</v>
      </c>
      <c r="F27" s="32" t="s">
        <v>44</v>
      </c>
      <c r="G27" s="36">
        <v>46003</v>
      </c>
      <c r="H27" s="30"/>
      <c r="I27" s="31">
        <v>45709</v>
      </c>
      <c r="J27" s="54">
        <v>45715</v>
      </c>
      <c r="K27" s="32">
        <v>30</v>
      </c>
      <c r="L27" s="54">
        <f t="shared" si="1"/>
        <v>45745</v>
      </c>
      <c r="M27" s="30"/>
      <c r="N27" s="31">
        <v>45761</v>
      </c>
      <c r="O27" s="33" t="s">
        <v>20</v>
      </c>
      <c r="P27" s="34"/>
      <c r="Q27" s="7"/>
      <c r="R27" s="7"/>
      <c r="S27" s="7"/>
      <c r="T27" s="8"/>
      <c r="U27" s="8"/>
    </row>
    <row r="28" spans="1:21">
      <c r="A28" s="24" t="s">
        <v>78</v>
      </c>
      <c r="B28" s="25" t="s">
        <v>79</v>
      </c>
      <c r="C28" s="26">
        <v>45712</v>
      </c>
      <c r="D28" s="35">
        <v>25816.46</v>
      </c>
      <c r="E28" s="28" t="s">
        <v>18</v>
      </c>
      <c r="F28" s="32" t="s">
        <v>44</v>
      </c>
      <c r="G28" s="30"/>
      <c r="H28" s="30"/>
      <c r="I28" s="31">
        <v>45721</v>
      </c>
      <c r="J28" s="31">
        <v>45733</v>
      </c>
      <c r="K28" s="32">
        <v>30</v>
      </c>
      <c r="L28" s="31">
        <f t="shared" si="1"/>
        <v>45763</v>
      </c>
      <c r="M28" s="31">
        <v>45861</v>
      </c>
      <c r="N28" s="31">
        <v>45910</v>
      </c>
      <c r="O28" s="33" t="s">
        <v>20</v>
      </c>
      <c r="P28" s="34"/>
      <c r="Q28" s="7"/>
      <c r="R28" s="7"/>
      <c r="S28" s="7"/>
      <c r="T28" s="8"/>
      <c r="U28" s="8"/>
    </row>
    <row r="29" spans="1:21">
      <c r="A29" s="24" t="s">
        <v>80</v>
      </c>
      <c r="B29" s="25" t="s">
        <v>81</v>
      </c>
      <c r="C29" s="26">
        <v>45717</v>
      </c>
      <c r="D29" s="35">
        <v>4666</v>
      </c>
      <c r="E29" s="28" t="s">
        <v>18</v>
      </c>
      <c r="F29" s="32" t="s">
        <v>44</v>
      </c>
      <c r="G29" s="31">
        <v>46066</v>
      </c>
      <c r="H29" s="30"/>
      <c r="I29" s="31">
        <v>45729</v>
      </c>
      <c r="J29" s="31">
        <v>45733</v>
      </c>
      <c r="K29" s="32">
        <v>30</v>
      </c>
      <c r="L29" s="31">
        <f t="shared" si="1"/>
        <v>45763</v>
      </c>
      <c r="M29" s="30"/>
      <c r="N29" s="31">
        <v>45744</v>
      </c>
      <c r="O29" s="33" t="s">
        <v>20</v>
      </c>
      <c r="P29" s="34"/>
      <c r="Q29" s="7"/>
      <c r="R29" s="7"/>
      <c r="S29" s="7"/>
      <c r="T29" s="8"/>
      <c r="U29" s="8"/>
    </row>
    <row r="30" spans="1:21">
      <c r="A30" s="24" t="s">
        <v>82</v>
      </c>
      <c r="B30" s="25" t="s">
        <v>83</v>
      </c>
      <c r="C30" s="26">
        <v>45733</v>
      </c>
      <c r="D30" s="35">
        <v>192</v>
      </c>
      <c r="E30" s="28" t="s">
        <v>18</v>
      </c>
      <c r="F30" s="32" t="s">
        <v>44</v>
      </c>
      <c r="G30" s="36">
        <v>46007</v>
      </c>
      <c r="H30" s="30"/>
      <c r="I30" s="31">
        <v>45737</v>
      </c>
      <c r="J30" s="31">
        <v>45740</v>
      </c>
      <c r="K30" s="32">
        <v>30</v>
      </c>
      <c r="L30" s="31">
        <f t="shared" si="1"/>
        <v>45770</v>
      </c>
      <c r="M30" s="30"/>
      <c r="N30" s="31">
        <v>45775</v>
      </c>
      <c r="O30" s="33" t="s">
        <v>20</v>
      </c>
      <c r="P30" s="34"/>
      <c r="Q30" s="7"/>
      <c r="R30" s="7"/>
      <c r="S30" s="7"/>
      <c r="T30" s="8"/>
      <c r="U30" s="8"/>
    </row>
    <row r="31" spans="1:21">
      <c r="A31" s="24" t="s">
        <v>84</v>
      </c>
      <c r="B31" s="25" t="s">
        <v>85</v>
      </c>
      <c r="C31" s="26">
        <v>45729</v>
      </c>
      <c r="D31" s="35">
        <v>976.92</v>
      </c>
      <c r="E31" s="28" t="s">
        <v>18</v>
      </c>
      <c r="F31" s="32" t="s">
        <v>44</v>
      </c>
      <c r="G31" s="30"/>
      <c r="H31" s="30"/>
      <c r="I31" s="31">
        <v>45736</v>
      </c>
      <c r="J31" s="31">
        <v>45740</v>
      </c>
      <c r="K31" s="32">
        <v>30</v>
      </c>
      <c r="L31" s="31">
        <f t="shared" si="1"/>
        <v>45770</v>
      </c>
      <c r="M31" s="30"/>
      <c r="N31" s="31">
        <v>45772</v>
      </c>
      <c r="O31" s="33" t="s">
        <v>20</v>
      </c>
      <c r="P31" s="34"/>
      <c r="Q31" s="7"/>
      <c r="R31" s="7"/>
      <c r="S31" s="7"/>
      <c r="T31" s="8"/>
      <c r="U31" s="8"/>
    </row>
    <row r="32" spans="1:21">
      <c r="A32" s="24" t="s">
        <v>86</v>
      </c>
      <c r="B32" s="25" t="s">
        <v>87</v>
      </c>
      <c r="C32" s="26">
        <v>45728</v>
      </c>
      <c r="D32" s="35">
        <v>1631.75</v>
      </c>
      <c r="E32" s="28" t="s">
        <v>18</v>
      </c>
      <c r="F32" s="32" t="s">
        <v>44</v>
      </c>
      <c r="G32" s="30"/>
      <c r="H32" s="30"/>
      <c r="I32" s="31">
        <v>45740</v>
      </c>
      <c r="J32" s="31">
        <v>45748</v>
      </c>
      <c r="K32" s="32">
        <v>30</v>
      </c>
      <c r="L32" s="31">
        <f t="shared" si="1"/>
        <v>45778</v>
      </c>
      <c r="M32" s="30"/>
      <c r="N32" s="31">
        <v>45803</v>
      </c>
      <c r="O32" s="33" t="s">
        <v>20</v>
      </c>
      <c r="P32" s="34"/>
      <c r="Q32" s="7"/>
      <c r="R32" s="7"/>
      <c r="S32" s="7"/>
      <c r="T32" s="8"/>
      <c r="U32" s="8"/>
    </row>
    <row r="33" spans="1:21">
      <c r="A33" s="24" t="s">
        <v>88</v>
      </c>
      <c r="B33" s="25" t="s">
        <v>89</v>
      </c>
      <c r="C33" s="26">
        <v>45716</v>
      </c>
      <c r="D33" s="35">
        <v>11757.8</v>
      </c>
      <c r="E33" s="28" t="s">
        <v>18</v>
      </c>
      <c r="F33" s="32" t="s">
        <v>44</v>
      </c>
      <c r="G33" s="30"/>
      <c r="H33" s="30"/>
      <c r="I33" s="31">
        <v>45729</v>
      </c>
      <c r="J33" s="31">
        <v>45770</v>
      </c>
      <c r="K33" s="32">
        <v>30</v>
      </c>
      <c r="L33" s="31">
        <f t="shared" si="1"/>
        <v>45800</v>
      </c>
      <c r="M33" s="31">
        <v>45834</v>
      </c>
      <c r="N33" s="31">
        <v>45839</v>
      </c>
      <c r="O33" s="33" t="s">
        <v>20</v>
      </c>
      <c r="P33" s="34"/>
      <c r="Q33" s="7"/>
      <c r="R33" s="7"/>
      <c r="S33" s="7"/>
      <c r="T33" s="8"/>
      <c r="U33" s="8"/>
    </row>
    <row r="34" spans="1:21">
      <c r="A34" s="24" t="s">
        <v>90</v>
      </c>
      <c r="B34" s="25" t="s">
        <v>91</v>
      </c>
      <c r="C34" s="26">
        <v>45673</v>
      </c>
      <c r="D34" s="35">
        <v>7000</v>
      </c>
      <c r="E34" s="28" t="s">
        <v>18</v>
      </c>
      <c r="F34" s="32" t="s">
        <v>63</v>
      </c>
      <c r="G34" s="36">
        <v>46006</v>
      </c>
      <c r="H34" s="30"/>
      <c r="I34" s="31">
        <v>45686</v>
      </c>
      <c r="J34" s="31">
        <v>45692</v>
      </c>
      <c r="K34" s="32">
        <v>30</v>
      </c>
      <c r="L34" s="31">
        <f t="shared" si="1"/>
        <v>45722</v>
      </c>
      <c r="M34" s="30"/>
      <c r="N34" s="31">
        <v>45701</v>
      </c>
      <c r="O34" s="33" t="s">
        <v>20</v>
      </c>
      <c r="P34" s="34"/>
      <c r="Q34" s="7"/>
      <c r="R34" s="7"/>
      <c r="S34" s="7"/>
      <c r="T34" s="8"/>
      <c r="U34" s="8"/>
    </row>
    <row r="35" spans="1:21">
      <c r="A35" s="24" t="s">
        <v>92</v>
      </c>
      <c r="B35" s="25" t="s">
        <v>93</v>
      </c>
      <c r="C35" s="26">
        <v>45698</v>
      </c>
      <c r="D35" s="35">
        <v>3078.15</v>
      </c>
      <c r="E35" s="28" t="s">
        <v>18</v>
      </c>
      <c r="F35" s="32" t="s">
        <v>44</v>
      </c>
      <c r="G35" s="31">
        <v>46055</v>
      </c>
      <c r="H35" s="30"/>
      <c r="I35" s="31">
        <v>45702</v>
      </c>
      <c r="J35" s="31">
        <v>45722</v>
      </c>
      <c r="K35" s="32">
        <v>30</v>
      </c>
      <c r="L35" s="31">
        <f t="shared" si="1"/>
        <v>45752</v>
      </c>
      <c r="M35" s="30"/>
      <c r="N35" s="31">
        <v>45730</v>
      </c>
      <c r="O35" s="33" t="s">
        <v>20</v>
      </c>
      <c r="P35" s="34"/>
      <c r="Q35" s="7"/>
      <c r="R35" s="7"/>
      <c r="S35" s="7"/>
      <c r="T35" s="8"/>
      <c r="U35" s="8"/>
    </row>
    <row r="36" spans="1:21">
      <c r="A36" s="24" t="s">
        <v>94</v>
      </c>
      <c r="B36" s="25" t="s">
        <v>95</v>
      </c>
      <c r="C36" s="26">
        <v>45705</v>
      </c>
      <c r="D36" s="35">
        <v>1301.9100000000001</v>
      </c>
      <c r="E36" s="28" t="s">
        <v>18</v>
      </c>
      <c r="F36" s="32" t="s">
        <v>44</v>
      </c>
      <c r="G36" s="31">
        <v>45939</v>
      </c>
      <c r="H36" s="30"/>
      <c r="I36" s="31">
        <v>45707</v>
      </c>
      <c r="J36" s="31">
        <v>45723</v>
      </c>
      <c r="K36" s="32">
        <v>30</v>
      </c>
      <c r="L36" s="31">
        <f t="shared" si="1"/>
        <v>45753</v>
      </c>
      <c r="M36" s="30"/>
      <c r="N36" s="31">
        <v>45737</v>
      </c>
      <c r="O36" s="33" t="s">
        <v>20</v>
      </c>
      <c r="P36" s="34"/>
      <c r="Q36" s="7"/>
      <c r="R36" s="7"/>
      <c r="S36" s="7"/>
      <c r="T36" s="8"/>
      <c r="U36" s="8"/>
    </row>
    <row r="37" spans="1:21">
      <c r="A37" s="24" t="s">
        <v>96</v>
      </c>
      <c r="B37" s="25" t="s">
        <v>97</v>
      </c>
      <c r="C37" s="26">
        <v>45692</v>
      </c>
      <c r="D37" s="35">
        <v>2862</v>
      </c>
      <c r="E37" s="28" t="s">
        <v>18</v>
      </c>
      <c r="F37" s="32" t="s">
        <v>44</v>
      </c>
      <c r="G37" s="31">
        <v>45715</v>
      </c>
      <c r="H37" s="30"/>
      <c r="I37" s="31">
        <v>45700</v>
      </c>
      <c r="J37" s="31">
        <v>45708</v>
      </c>
      <c r="K37" s="32">
        <v>30</v>
      </c>
      <c r="L37" s="31">
        <f t="shared" si="1"/>
        <v>45738</v>
      </c>
      <c r="M37" s="30"/>
      <c r="N37" s="31">
        <v>45728</v>
      </c>
      <c r="O37" s="33" t="s">
        <v>20</v>
      </c>
      <c r="P37" s="34"/>
      <c r="Q37" s="7"/>
      <c r="R37" s="7"/>
      <c r="S37" s="7"/>
      <c r="T37" s="8"/>
      <c r="U37" s="8"/>
    </row>
    <row r="38" spans="1:21">
      <c r="A38" s="24" t="s">
        <v>98</v>
      </c>
      <c r="B38" s="25" t="s">
        <v>99</v>
      </c>
      <c r="C38" s="26">
        <v>45705</v>
      </c>
      <c r="D38" s="35">
        <v>2847.5</v>
      </c>
      <c r="E38" s="28" t="s">
        <v>18</v>
      </c>
      <c r="F38" s="32" t="s">
        <v>44</v>
      </c>
      <c r="G38" s="31">
        <v>45901</v>
      </c>
      <c r="H38" s="30"/>
      <c r="I38" s="31">
        <v>45716</v>
      </c>
      <c r="J38" s="31">
        <v>45722</v>
      </c>
      <c r="K38" s="32">
        <v>30</v>
      </c>
      <c r="L38" s="31">
        <f t="shared" si="1"/>
        <v>45752</v>
      </c>
      <c r="M38" s="30"/>
      <c r="N38" s="31">
        <v>45737</v>
      </c>
      <c r="O38" s="33" t="s">
        <v>20</v>
      </c>
      <c r="P38" s="34"/>
      <c r="Q38" s="7"/>
      <c r="R38" s="7"/>
      <c r="S38" s="7"/>
      <c r="T38" s="8"/>
      <c r="U38" s="8"/>
    </row>
    <row r="39" spans="1:21">
      <c r="A39" s="24" t="s">
        <v>100</v>
      </c>
      <c r="B39" s="25" t="s">
        <v>101</v>
      </c>
      <c r="C39" s="26">
        <v>45695</v>
      </c>
      <c r="D39" s="35">
        <v>99500.4</v>
      </c>
      <c r="E39" s="28" t="s">
        <v>18</v>
      </c>
      <c r="F39" s="32" t="s">
        <v>44</v>
      </c>
      <c r="G39" s="31">
        <v>45776</v>
      </c>
      <c r="H39" s="30"/>
      <c r="I39" s="31">
        <v>45701</v>
      </c>
      <c r="J39" s="31">
        <v>45729</v>
      </c>
      <c r="K39" s="32">
        <v>30</v>
      </c>
      <c r="L39" s="31">
        <f t="shared" si="1"/>
        <v>45759</v>
      </c>
      <c r="M39" s="30"/>
      <c r="N39" s="31">
        <v>45742</v>
      </c>
      <c r="O39" s="33" t="s">
        <v>20</v>
      </c>
      <c r="P39" s="34"/>
      <c r="Q39" s="7"/>
      <c r="R39" s="7"/>
      <c r="S39" s="7"/>
      <c r="T39" s="8"/>
      <c r="U39" s="8"/>
    </row>
    <row r="40" spans="1:21">
      <c r="A40" s="24" t="s">
        <v>102</v>
      </c>
      <c r="B40" s="25" t="s">
        <v>103</v>
      </c>
      <c r="C40" s="26">
        <v>45735</v>
      </c>
      <c r="D40" s="35">
        <v>2600</v>
      </c>
      <c r="E40" s="28" t="s">
        <v>18</v>
      </c>
      <c r="F40" s="29" t="s">
        <v>19</v>
      </c>
      <c r="G40" s="30"/>
      <c r="H40" s="30"/>
      <c r="I40" s="31">
        <v>45818</v>
      </c>
      <c r="J40" s="31">
        <v>45824</v>
      </c>
      <c r="K40" s="32">
        <v>30</v>
      </c>
      <c r="L40" s="31">
        <f t="shared" si="1"/>
        <v>45854</v>
      </c>
      <c r="M40" s="30"/>
      <c r="N40" s="31">
        <v>45847</v>
      </c>
      <c r="O40" s="33" t="s">
        <v>20</v>
      </c>
      <c r="P40" s="34"/>
      <c r="Q40" s="7"/>
      <c r="R40" s="7"/>
      <c r="S40" s="7"/>
      <c r="T40" s="8"/>
      <c r="U40" s="8"/>
    </row>
    <row r="41" spans="1:21">
      <c r="A41" s="37" t="s">
        <v>104</v>
      </c>
      <c r="B41" s="38" t="s">
        <v>105</v>
      </c>
      <c r="C41" s="39">
        <v>45687</v>
      </c>
      <c r="D41" s="40">
        <v>0</v>
      </c>
      <c r="E41" s="43" t="s">
        <v>30</v>
      </c>
      <c r="F41" s="42" t="s">
        <v>44</v>
      </c>
      <c r="G41" s="12"/>
      <c r="H41" s="12"/>
      <c r="I41" s="12"/>
      <c r="J41" s="14"/>
      <c r="K41" s="12"/>
      <c r="L41" s="12" t="str">
        <f t="shared" si="1"/>
        <v/>
      </c>
      <c r="M41" s="12"/>
      <c r="N41" s="12"/>
      <c r="O41" s="47" t="s">
        <v>27</v>
      </c>
      <c r="P41" s="15"/>
      <c r="Q41" s="7"/>
      <c r="R41" s="7"/>
      <c r="S41" s="7"/>
      <c r="T41" s="8"/>
      <c r="U41" s="8"/>
    </row>
    <row r="42" spans="1:21">
      <c r="A42" s="24" t="s">
        <v>106</v>
      </c>
      <c r="B42" s="25" t="s">
        <v>107</v>
      </c>
      <c r="C42" s="26">
        <v>45727</v>
      </c>
      <c r="D42" s="35">
        <v>110000</v>
      </c>
      <c r="E42" s="28" t="s">
        <v>18</v>
      </c>
      <c r="F42" s="32" t="s">
        <v>26</v>
      </c>
      <c r="G42" s="30"/>
      <c r="H42" s="31">
        <v>45868</v>
      </c>
      <c r="I42" s="31">
        <v>45877</v>
      </c>
      <c r="J42" s="31">
        <v>45869</v>
      </c>
      <c r="K42" s="32">
        <v>30</v>
      </c>
      <c r="L42" s="31">
        <f t="shared" si="1"/>
        <v>45899</v>
      </c>
      <c r="M42" s="30"/>
      <c r="N42" s="31">
        <v>45870</v>
      </c>
      <c r="O42" s="33" t="s">
        <v>20</v>
      </c>
      <c r="P42" s="34"/>
      <c r="Q42" s="7"/>
      <c r="R42" s="7"/>
      <c r="S42" s="7"/>
      <c r="T42" s="8"/>
      <c r="U42" s="8"/>
    </row>
    <row r="43" spans="1:21">
      <c r="A43" s="37" t="s">
        <v>108</v>
      </c>
      <c r="B43" s="38" t="s">
        <v>109</v>
      </c>
      <c r="C43" s="39">
        <v>45763</v>
      </c>
      <c r="D43" s="40">
        <v>144046.09</v>
      </c>
      <c r="E43" s="41" t="s">
        <v>18</v>
      </c>
      <c r="F43" s="42" t="s">
        <v>23</v>
      </c>
      <c r="G43" s="12"/>
      <c r="H43" s="12"/>
      <c r="I43" s="12"/>
      <c r="J43" s="14"/>
      <c r="K43" s="12"/>
      <c r="L43" s="12" t="str">
        <f t="shared" si="1"/>
        <v/>
      </c>
      <c r="M43" s="12"/>
      <c r="N43" s="12"/>
      <c r="O43" s="47" t="s">
        <v>27</v>
      </c>
      <c r="P43" s="15"/>
      <c r="Q43" s="7"/>
      <c r="R43" s="7"/>
      <c r="S43" s="7"/>
      <c r="T43" s="8"/>
      <c r="U43" s="8"/>
    </row>
    <row r="44" spans="1:21">
      <c r="A44" s="37" t="s">
        <v>110</v>
      </c>
      <c r="B44" s="38" t="s">
        <v>111</v>
      </c>
      <c r="C44" s="39">
        <v>45771</v>
      </c>
      <c r="D44" s="40">
        <v>113526</v>
      </c>
      <c r="E44" s="41" t="s">
        <v>18</v>
      </c>
      <c r="F44" s="42" t="s">
        <v>26</v>
      </c>
      <c r="G44" s="12"/>
      <c r="H44" s="45">
        <v>45917</v>
      </c>
      <c r="I44" s="45">
        <v>45938</v>
      </c>
      <c r="J44" s="45">
        <v>45938</v>
      </c>
      <c r="K44" s="42">
        <v>30</v>
      </c>
      <c r="L44" s="45">
        <f t="shared" si="1"/>
        <v>45968</v>
      </c>
      <c r="M44" s="12"/>
      <c r="N44" s="12"/>
      <c r="O44" s="47" t="s">
        <v>27</v>
      </c>
      <c r="P44" s="15"/>
      <c r="Q44" s="7"/>
      <c r="R44" s="7"/>
      <c r="S44" s="7"/>
      <c r="T44" s="8"/>
      <c r="U44" s="8"/>
    </row>
    <row r="45" spans="1:21">
      <c r="A45" s="24" t="s">
        <v>112</v>
      </c>
      <c r="B45" s="25" t="s">
        <v>113</v>
      </c>
      <c r="C45" s="26">
        <v>45701</v>
      </c>
      <c r="D45" s="35">
        <v>16234</v>
      </c>
      <c r="E45" s="28" t="s">
        <v>18</v>
      </c>
      <c r="F45" s="32" t="s">
        <v>63</v>
      </c>
      <c r="G45" s="30"/>
      <c r="H45" s="30"/>
      <c r="I45" s="31">
        <v>45791</v>
      </c>
      <c r="J45" s="31">
        <v>45777</v>
      </c>
      <c r="K45" s="32">
        <v>30</v>
      </c>
      <c r="L45" s="31">
        <f t="shared" si="1"/>
        <v>45807</v>
      </c>
      <c r="M45" s="30"/>
      <c r="N45" s="31">
        <v>45805</v>
      </c>
      <c r="O45" s="33" t="s">
        <v>20</v>
      </c>
      <c r="P45" s="34"/>
      <c r="Q45" s="7"/>
      <c r="R45" s="7"/>
      <c r="S45" s="7"/>
      <c r="T45" s="8"/>
      <c r="U45" s="8"/>
    </row>
    <row r="46" spans="1:21">
      <c r="A46" s="55" t="s">
        <v>114</v>
      </c>
      <c r="B46" s="56" t="s">
        <v>115</v>
      </c>
      <c r="C46" s="57">
        <v>45691</v>
      </c>
      <c r="D46" s="58">
        <v>838189.8</v>
      </c>
      <c r="E46" s="59" t="s">
        <v>18</v>
      </c>
      <c r="F46" s="60" t="s">
        <v>23</v>
      </c>
      <c r="G46" s="61">
        <v>45826</v>
      </c>
      <c r="H46" s="61">
        <v>45922</v>
      </c>
      <c r="I46" s="61">
        <v>45937</v>
      </c>
      <c r="J46" s="61">
        <v>45938</v>
      </c>
      <c r="K46" s="60">
        <v>60</v>
      </c>
      <c r="L46" s="61">
        <f t="shared" si="1"/>
        <v>45998</v>
      </c>
      <c r="M46" s="62">
        <v>45987</v>
      </c>
      <c r="N46" s="63"/>
      <c r="O46" s="64" t="s">
        <v>27</v>
      </c>
      <c r="P46" s="65" t="s">
        <v>116</v>
      </c>
      <c r="Q46" s="66"/>
      <c r="R46" s="66"/>
      <c r="S46" s="66"/>
      <c r="T46" s="67"/>
      <c r="U46" s="67"/>
    </row>
    <row r="47" spans="1:21">
      <c r="A47" s="24" t="s">
        <v>117</v>
      </c>
      <c r="B47" s="25" t="s">
        <v>118</v>
      </c>
      <c r="C47" s="26">
        <v>45782</v>
      </c>
      <c r="D47" s="35">
        <v>7960</v>
      </c>
      <c r="E47" s="28" t="s">
        <v>18</v>
      </c>
      <c r="F47" s="29" t="s">
        <v>19</v>
      </c>
      <c r="G47" s="31">
        <v>45819</v>
      </c>
      <c r="H47" s="30"/>
      <c r="I47" s="31">
        <v>45861</v>
      </c>
      <c r="J47" s="31">
        <v>45862</v>
      </c>
      <c r="K47" s="32">
        <v>30</v>
      </c>
      <c r="L47" s="31">
        <f t="shared" si="1"/>
        <v>45892</v>
      </c>
      <c r="M47" s="31">
        <v>45904</v>
      </c>
      <c r="N47" s="31">
        <v>45905</v>
      </c>
      <c r="O47" s="33" t="s">
        <v>20</v>
      </c>
      <c r="P47" s="34"/>
      <c r="Q47" s="7"/>
      <c r="R47" s="7"/>
      <c r="S47" s="7"/>
      <c r="T47" s="8"/>
      <c r="U47" s="8"/>
    </row>
    <row r="48" spans="1:21">
      <c r="A48" s="24" t="s">
        <v>119</v>
      </c>
      <c r="B48" s="25" t="s">
        <v>120</v>
      </c>
      <c r="C48" s="26">
        <v>45785</v>
      </c>
      <c r="D48" s="35">
        <v>11407</v>
      </c>
      <c r="E48" s="28" t="s">
        <v>18</v>
      </c>
      <c r="F48" s="32" t="s">
        <v>63</v>
      </c>
      <c r="G48" s="31">
        <v>45966</v>
      </c>
      <c r="H48" s="30"/>
      <c r="I48" s="31">
        <v>45826</v>
      </c>
      <c r="J48" s="31">
        <v>45832</v>
      </c>
      <c r="K48" s="32">
        <v>30</v>
      </c>
      <c r="L48" s="31">
        <f t="shared" si="1"/>
        <v>45862</v>
      </c>
      <c r="M48" s="30"/>
      <c r="N48" s="31">
        <v>45835</v>
      </c>
      <c r="O48" s="33" t="s">
        <v>20</v>
      </c>
      <c r="P48" s="34"/>
      <c r="Q48" s="7"/>
      <c r="R48" s="7"/>
      <c r="S48" s="7"/>
      <c r="T48" s="8"/>
      <c r="U48" s="8"/>
    </row>
    <row r="49" spans="1:21">
      <c r="A49" s="24" t="s">
        <v>121</v>
      </c>
      <c r="B49" s="25" t="s">
        <v>122</v>
      </c>
      <c r="C49" s="26">
        <v>45758</v>
      </c>
      <c r="D49" s="35">
        <v>196096.08</v>
      </c>
      <c r="E49" s="28" t="s">
        <v>18</v>
      </c>
      <c r="F49" s="32" t="s">
        <v>123</v>
      </c>
      <c r="G49" s="30"/>
      <c r="H49" s="30"/>
      <c r="I49" s="30"/>
      <c r="J49" s="50"/>
      <c r="K49" s="30"/>
      <c r="L49" s="30" t="str">
        <f t="shared" si="1"/>
        <v/>
      </c>
      <c r="M49" s="30"/>
      <c r="N49" s="30"/>
      <c r="O49" s="51" t="s">
        <v>47</v>
      </c>
      <c r="P49" s="34"/>
      <c r="Q49" s="7"/>
      <c r="R49" s="7"/>
      <c r="S49" s="7"/>
      <c r="T49" s="8"/>
      <c r="U49" s="8"/>
    </row>
    <row r="50" spans="1:21">
      <c r="A50" s="37" t="s">
        <v>124</v>
      </c>
      <c r="B50" s="38" t="s">
        <v>125</v>
      </c>
      <c r="C50" s="39">
        <v>45777</v>
      </c>
      <c r="D50" s="40">
        <v>835200</v>
      </c>
      <c r="E50" s="43" t="s">
        <v>30</v>
      </c>
      <c r="F50" s="42" t="s">
        <v>123</v>
      </c>
      <c r="G50" s="12"/>
      <c r="H50" s="45">
        <v>45883</v>
      </c>
      <c r="I50" s="45">
        <v>45902</v>
      </c>
      <c r="J50" s="45">
        <v>45902</v>
      </c>
      <c r="K50" s="42">
        <v>180</v>
      </c>
      <c r="L50" s="45">
        <f t="shared" si="1"/>
        <v>46082</v>
      </c>
      <c r="M50" s="68">
        <v>46050</v>
      </c>
      <c r="N50" s="12"/>
      <c r="O50" s="47" t="s">
        <v>27</v>
      </c>
      <c r="P50" s="15"/>
      <c r="Q50" s="7"/>
      <c r="R50" s="7"/>
      <c r="S50" s="7"/>
      <c r="T50" s="8"/>
      <c r="U50" s="8"/>
    </row>
    <row r="51" spans="1:21">
      <c r="A51" s="24" t="s">
        <v>126</v>
      </c>
      <c r="B51" s="25" t="s">
        <v>127</v>
      </c>
      <c r="C51" s="26">
        <v>45685</v>
      </c>
      <c r="D51" s="35">
        <v>4504</v>
      </c>
      <c r="E51" s="28" t="s">
        <v>18</v>
      </c>
      <c r="F51" s="29" t="s">
        <v>19</v>
      </c>
      <c r="G51" s="30"/>
      <c r="H51" s="30"/>
      <c r="I51" s="30"/>
      <c r="J51" s="50"/>
      <c r="K51" s="30"/>
      <c r="L51" s="30" t="str">
        <f t="shared" si="1"/>
        <v/>
      </c>
      <c r="M51" s="30"/>
      <c r="N51" s="30"/>
      <c r="O51" s="51" t="s">
        <v>47</v>
      </c>
      <c r="P51" s="34"/>
      <c r="Q51" s="7"/>
      <c r="R51" s="7"/>
      <c r="S51" s="7"/>
      <c r="T51" s="8"/>
      <c r="U51" s="8"/>
    </row>
    <row r="52" spans="1:21">
      <c r="A52" s="37" t="s">
        <v>128</v>
      </c>
      <c r="B52" s="69" t="s">
        <v>129</v>
      </c>
      <c r="C52" s="39">
        <v>45756</v>
      </c>
      <c r="D52" s="40">
        <v>9904.2000000000007</v>
      </c>
      <c r="E52" s="43" t="s">
        <v>30</v>
      </c>
      <c r="F52" s="44" t="s">
        <v>19</v>
      </c>
      <c r="G52" s="12"/>
      <c r="H52" s="12"/>
      <c r="I52" s="45">
        <v>45869</v>
      </c>
      <c r="J52" s="14"/>
      <c r="K52" s="42">
        <v>30</v>
      </c>
      <c r="L52" s="42" t="str">
        <f t="shared" si="1"/>
        <v/>
      </c>
      <c r="M52" s="12"/>
      <c r="N52" s="12"/>
      <c r="O52" s="47" t="s">
        <v>27</v>
      </c>
      <c r="P52" s="49" t="s">
        <v>130</v>
      </c>
      <c r="Q52" s="7"/>
      <c r="R52" s="7"/>
      <c r="S52" s="7"/>
      <c r="T52" s="8"/>
      <c r="U52" s="8"/>
    </row>
    <row r="53" spans="1:21">
      <c r="A53" s="24" t="s">
        <v>131</v>
      </c>
      <c r="B53" s="25" t="s">
        <v>132</v>
      </c>
      <c r="C53" s="26">
        <v>45701</v>
      </c>
      <c r="D53" s="35">
        <v>11160</v>
      </c>
      <c r="E53" s="28" t="s">
        <v>18</v>
      </c>
      <c r="F53" s="29" t="s">
        <v>19</v>
      </c>
      <c r="G53" s="30"/>
      <c r="H53" s="30"/>
      <c r="I53" s="30"/>
      <c r="J53" s="50"/>
      <c r="K53" s="30"/>
      <c r="L53" s="30" t="str">
        <f t="shared" si="1"/>
        <v/>
      </c>
      <c r="M53" s="30"/>
      <c r="N53" s="30"/>
      <c r="O53" s="51" t="s">
        <v>47</v>
      </c>
      <c r="P53" s="34"/>
      <c r="Q53" s="7"/>
      <c r="R53" s="7"/>
      <c r="S53" s="7"/>
      <c r="T53" s="8"/>
      <c r="U53" s="8"/>
    </row>
    <row r="54" spans="1:21">
      <c r="A54" s="37" t="s">
        <v>133</v>
      </c>
      <c r="B54" s="38" t="s">
        <v>134</v>
      </c>
      <c r="C54" s="39">
        <v>45777</v>
      </c>
      <c r="D54" s="40">
        <v>152155.20000000001</v>
      </c>
      <c r="E54" s="43" t="s">
        <v>30</v>
      </c>
      <c r="F54" s="42" t="s">
        <v>23</v>
      </c>
      <c r="G54" s="45">
        <v>45888</v>
      </c>
      <c r="H54" s="12"/>
      <c r="I54" s="12"/>
      <c r="J54" s="14"/>
      <c r="K54" s="12"/>
      <c r="L54" s="12" t="str">
        <f t="shared" si="1"/>
        <v/>
      </c>
      <c r="M54" s="12"/>
      <c r="N54" s="12"/>
      <c r="O54" s="47" t="s">
        <v>27</v>
      </c>
      <c r="P54" s="15"/>
      <c r="Q54" s="7"/>
      <c r="R54" s="7"/>
      <c r="S54" s="7"/>
      <c r="T54" s="8"/>
      <c r="U54" s="8"/>
    </row>
    <row r="55" spans="1:21">
      <c r="A55" s="37" t="s">
        <v>135</v>
      </c>
      <c r="B55" s="38" t="s">
        <v>136</v>
      </c>
      <c r="C55" s="39">
        <v>45673</v>
      </c>
      <c r="D55" s="40">
        <v>98295.8</v>
      </c>
      <c r="E55" s="41" t="s">
        <v>18</v>
      </c>
      <c r="F55" s="42" t="s">
        <v>23</v>
      </c>
      <c r="G55" s="45">
        <v>45926</v>
      </c>
      <c r="H55" s="70">
        <v>45993</v>
      </c>
      <c r="I55" s="70">
        <v>45996</v>
      </c>
      <c r="J55" s="17">
        <v>46000</v>
      </c>
      <c r="K55" s="42">
        <v>60</v>
      </c>
      <c r="L55" s="45">
        <f t="shared" si="1"/>
        <v>46060</v>
      </c>
      <c r="M55" s="12"/>
      <c r="N55" s="12"/>
      <c r="O55" s="47" t="s">
        <v>27</v>
      </c>
      <c r="P55" s="15"/>
      <c r="Q55" s="7"/>
      <c r="R55" s="7"/>
      <c r="S55" s="7"/>
      <c r="T55" s="8"/>
      <c r="U55" s="8"/>
    </row>
    <row r="56" spans="1:21">
      <c r="A56" s="24" t="s">
        <v>137</v>
      </c>
      <c r="B56" s="25" t="s">
        <v>138</v>
      </c>
      <c r="C56" s="26">
        <v>45715</v>
      </c>
      <c r="D56" s="35">
        <v>22453.8</v>
      </c>
      <c r="E56" s="28" t="s">
        <v>18</v>
      </c>
      <c r="F56" s="32" t="s">
        <v>44</v>
      </c>
      <c r="G56" s="31">
        <v>45866</v>
      </c>
      <c r="H56" s="30"/>
      <c r="I56" s="31">
        <v>45757</v>
      </c>
      <c r="J56" s="31">
        <v>45762</v>
      </c>
      <c r="K56" s="32">
        <v>30</v>
      </c>
      <c r="L56" s="31">
        <f t="shared" si="1"/>
        <v>45792</v>
      </c>
      <c r="M56" s="30"/>
      <c r="N56" s="31">
        <v>45838</v>
      </c>
      <c r="O56" s="33" t="s">
        <v>20</v>
      </c>
      <c r="P56" s="34"/>
      <c r="Q56" s="7"/>
      <c r="R56" s="7"/>
      <c r="S56" s="7"/>
      <c r="T56" s="8"/>
      <c r="U56" s="8"/>
    </row>
    <row r="57" spans="1:21">
      <c r="A57" s="24" t="s">
        <v>139</v>
      </c>
      <c r="B57" s="71" t="s">
        <v>140</v>
      </c>
      <c r="C57" s="26">
        <v>45440</v>
      </c>
      <c r="D57" s="35">
        <v>75039.399999999994</v>
      </c>
      <c r="E57" s="52" t="s">
        <v>30</v>
      </c>
      <c r="F57" s="32" t="s">
        <v>23</v>
      </c>
      <c r="G57" s="36">
        <v>45623</v>
      </c>
      <c r="H57" s="31">
        <v>45692</v>
      </c>
      <c r="I57" s="31">
        <v>45706</v>
      </c>
      <c r="J57" s="31">
        <v>45709</v>
      </c>
      <c r="K57" s="32">
        <v>45</v>
      </c>
      <c r="L57" s="31">
        <f t="shared" si="1"/>
        <v>45754</v>
      </c>
      <c r="M57" s="30"/>
      <c r="N57" s="31">
        <v>45736</v>
      </c>
      <c r="O57" s="33" t="s">
        <v>20</v>
      </c>
      <c r="P57" s="34"/>
      <c r="Q57" s="7"/>
      <c r="R57" s="7"/>
      <c r="S57" s="7"/>
      <c r="T57" s="8"/>
      <c r="U57" s="8"/>
    </row>
    <row r="58" spans="1:21">
      <c r="A58" s="24" t="s">
        <v>141</v>
      </c>
      <c r="B58" s="71" t="s">
        <v>142</v>
      </c>
      <c r="C58" s="26">
        <v>45357</v>
      </c>
      <c r="D58" s="35">
        <v>642413</v>
      </c>
      <c r="E58" s="52" t="s">
        <v>30</v>
      </c>
      <c r="F58" s="32" t="s">
        <v>23</v>
      </c>
      <c r="G58" s="31">
        <v>45603</v>
      </c>
      <c r="H58" s="31">
        <v>45670</v>
      </c>
      <c r="I58" s="31">
        <v>45680</v>
      </c>
      <c r="J58" s="31">
        <v>45692</v>
      </c>
      <c r="K58" s="32">
        <v>60</v>
      </c>
      <c r="L58" s="31">
        <f t="shared" si="1"/>
        <v>45752</v>
      </c>
      <c r="M58" s="30"/>
      <c r="N58" s="31">
        <v>45757</v>
      </c>
      <c r="O58" s="33" t="s">
        <v>20</v>
      </c>
      <c r="P58" s="34"/>
      <c r="Q58" s="7"/>
      <c r="R58" s="7"/>
      <c r="S58" s="7"/>
      <c r="T58" s="8"/>
      <c r="U58" s="8"/>
    </row>
    <row r="59" spans="1:21">
      <c r="A59" s="37" t="s">
        <v>143</v>
      </c>
      <c r="B59" s="72" t="s">
        <v>144</v>
      </c>
      <c r="C59" s="39">
        <v>45776</v>
      </c>
      <c r="D59" s="40">
        <v>147814.9</v>
      </c>
      <c r="E59" s="41" t="s">
        <v>18</v>
      </c>
      <c r="F59" s="42" t="s">
        <v>26</v>
      </c>
      <c r="G59" s="12"/>
      <c r="H59" s="12"/>
      <c r="I59" s="12"/>
      <c r="J59" s="14"/>
      <c r="K59" s="12"/>
      <c r="L59" s="12" t="str">
        <f t="shared" si="1"/>
        <v/>
      </c>
      <c r="M59" s="12"/>
      <c r="N59" s="12"/>
      <c r="O59" s="47" t="s">
        <v>27</v>
      </c>
      <c r="P59" s="15"/>
      <c r="Q59" s="7"/>
      <c r="R59" s="7"/>
      <c r="S59" s="7"/>
      <c r="T59" s="8"/>
      <c r="U59" s="8"/>
    </row>
    <row r="60" spans="1:21">
      <c r="A60" s="24" t="s">
        <v>145</v>
      </c>
      <c r="B60" s="25" t="s">
        <v>146</v>
      </c>
      <c r="C60" s="26">
        <v>45777</v>
      </c>
      <c r="D60" s="35">
        <v>18161.650000000001</v>
      </c>
      <c r="E60" s="52" t="s">
        <v>30</v>
      </c>
      <c r="F60" s="32" t="s">
        <v>63</v>
      </c>
      <c r="G60" s="30"/>
      <c r="H60" s="30"/>
      <c r="I60" s="30"/>
      <c r="J60" s="50"/>
      <c r="K60" s="30"/>
      <c r="L60" s="30" t="str">
        <f t="shared" si="1"/>
        <v/>
      </c>
      <c r="M60" s="30"/>
      <c r="N60" s="30"/>
      <c r="O60" s="51" t="s">
        <v>47</v>
      </c>
      <c r="P60" s="53" t="s">
        <v>147</v>
      </c>
      <c r="Q60" s="7"/>
      <c r="R60" s="7"/>
      <c r="S60" s="7"/>
      <c r="T60" s="8"/>
      <c r="U60" s="8"/>
    </row>
    <row r="61" spans="1:21">
      <c r="A61" s="24" t="s">
        <v>148</v>
      </c>
      <c r="B61" s="25" t="s">
        <v>149</v>
      </c>
      <c r="C61" s="26">
        <v>45783</v>
      </c>
      <c r="D61" s="35">
        <v>274500</v>
      </c>
      <c r="E61" s="52" t="s">
        <v>30</v>
      </c>
      <c r="F61" s="32" t="s">
        <v>63</v>
      </c>
      <c r="G61" s="30"/>
      <c r="H61" s="30"/>
      <c r="I61" s="31">
        <v>45859</v>
      </c>
      <c r="J61" s="31">
        <v>45866</v>
      </c>
      <c r="K61" s="32">
        <v>60</v>
      </c>
      <c r="L61" s="31">
        <f t="shared" si="1"/>
        <v>45926</v>
      </c>
      <c r="M61" s="31">
        <v>45896</v>
      </c>
      <c r="N61" s="31">
        <v>45901</v>
      </c>
      <c r="O61" s="33" t="s">
        <v>20</v>
      </c>
      <c r="P61" s="34"/>
      <c r="Q61" s="7"/>
      <c r="R61" s="7"/>
      <c r="S61" s="7"/>
      <c r="T61" s="8"/>
      <c r="U61" s="8"/>
    </row>
    <row r="62" spans="1:21">
      <c r="A62" s="24" t="s">
        <v>150</v>
      </c>
      <c r="B62" s="25" t="s">
        <v>151</v>
      </c>
      <c r="C62" s="26">
        <v>45516</v>
      </c>
      <c r="D62" s="35">
        <v>9301.9500000000007</v>
      </c>
      <c r="E62" s="28" t="s">
        <v>18</v>
      </c>
      <c r="F62" s="29" t="s">
        <v>19</v>
      </c>
      <c r="G62" s="30"/>
      <c r="H62" s="30"/>
      <c r="I62" s="31">
        <v>45782</v>
      </c>
      <c r="J62" s="31">
        <v>45790</v>
      </c>
      <c r="K62" s="32">
        <v>30</v>
      </c>
      <c r="L62" s="31">
        <f t="shared" si="1"/>
        <v>45820</v>
      </c>
      <c r="M62" s="30"/>
      <c r="N62" s="31">
        <v>45810</v>
      </c>
      <c r="O62" s="33" t="s">
        <v>20</v>
      </c>
      <c r="P62" s="34"/>
      <c r="Q62" s="7"/>
      <c r="R62" s="7"/>
      <c r="S62" s="7"/>
      <c r="T62" s="8"/>
      <c r="U62" s="8"/>
    </row>
    <row r="63" spans="1:21">
      <c r="A63" s="24" t="s">
        <v>152</v>
      </c>
      <c r="B63" s="25" t="s">
        <v>153</v>
      </c>
      <c r="C63" s="26">
        <v>45790</v>
      </c>
      <c r="D63" s="35">
        <v>8059.06</v>
      </c>
      <c r="E63" s="28" t="s">
        <v>18</v>
      </c>
      <c r="F63" s="29" t="s">
        <v>19</v>
      </c>
      <c r="G63" s="30"/>
      <c r="H63" s="30"/>
      <c r="I63" s="31">
        <v>45848</v>
      </c>
      <c r="J63" s="31">
        <v>45852</v>
      </c>
      <c r="K63" s="32">
        <v>30</v>
      </c>
      <c r="L63" s="31">
        <f t="shared" si="1"/>
        <v>45882</v>
      </c>
      <c r="M63" s="31">
        <v>45924</v>
      </c>
      <c r="N63" s="31">
        <v>45937</v>
      </c>
      <c r="O63" s="33" t="s">
        <v>20</v>
      </c>
      <c r="P63" s="34"/>
      <c r="Q63" s="7"/>
      <c r="R63" s="7"/>
      <c r="S63" s="7"/>
      <c r="T63" s="8"/>
      <c r="U63" s="8"/>
    </row>
    <row r="64" spans="1:21">
      <c r="A64" s="73" t="s">
        <v>154</v>
      </c>
      <c r="B64" s="25" t="s">
        <v>155</v>
      </c>
      <c r="C64" s="26">
        <v>45789</v>
      </c>
      <c r="D64" s="35">
        <v>26808</v>
      </c>
      <c r="E64" s="28" t="s">
        <v>18</v>
      </c>
      <c r="F64" s="29" t="s">
        <v>19</v>
      </c>
      <c r="G64" s="30"/>
      <c r="H64" s="30"/>
      <c r="I64" s="30"/>
      <c r="J64" s="50"/>
      <c r="K64" s="30"/>
      <c r="L64" s="30" t="str">
        <f t="shared" si="1"/>
        <v/>
      </c>
      <c r="M64" s="30"/>
      <c r="N64" s="30"/>
      <c r="O64" s="51" t="s">
        <v>47</v>
      </c>
      <c r="P64" s="34"/>
      <c r="Q64" s="7"/>
      <c r="R64" s="7"/>
      <c r="S64" s="7"/>
      <c r="T64" s="8"/>
      <c r="U64" s="8"/>
    </row>
    <row r="65" spans="1:21">
      <c r="A65" s="24" t="s">
        <v>156</v>
      </c>
      <c r="B65" s="25" t="s">
        <v>157</v>
      </c>
      <c r="C65" s="26">
        <v>45791</v>
      </c>
      <c r="D65" s="35">
        <v>69200</v>
      </c>
      <c r="E65" s="52" t="s">
        <v>30</v>
      </c>
      <c r="F65" s="32" t="s">
        <v>44</v>
      </c>
      <c r="G65" s="30"/>
      <c r="H65" s="31">
        <v>45856</v>
      </c>
      <c r="I65" s="31">
        <v>45876</v>
      </c>
      <c r="J65" s="31">
        <v>45860</v>
      </c>
      <c r="K65" s="32">
        <v>30</v>
      </c>
      <c r="L65" s="31">
        <f t="shared" si="1"/>
        <v>45890</v>
      </c>
      <c r="M65" s="31">
        <v>45881</v>
      </c>
      <c r="N65" s="31">
        <v>45884</v>
      </c>
      <c r="O65" s="33" t="s">
        <v>20</v>
      </c>
      <c r="P65" s="34"/>
      <c r="Q65" s="74"/>
      <c r="R65" s="74"/>
      <c r="S65" s="74"/>
      <c r="T65" s="75"/>
      <c r="U65" s="75"/>
    </row>
    <row r="66" spans="1:21">
      <c r="A66" s="24" t="s">
        <v>158</v>
      </c>
      <c r="B66" s="25" t="s">
        <v>159</v>
      </c>
      <c r="C66" s="26">
        <v>45791</v>
      </c>
      <c r="D66" s="35">
        <v>963.9</v>
      </c>
      <c r="E66" s="28" t="s">
        <v>18</v>
      </c>
      <c r="F66" s="32" t="s">
        <v>44</v>
      </c>
      <c r="G66" s="30"/>
      <c r="H66" s="30"/>
      <c r="I66" s="31">
        <v>45812</v>
      </c>
      <c r="J66" s="31">
        <v>45817</v>
      </c>
      <c r="K66" s="32">
        <v>30</v>
      </c>
      <c r="L66" s="31">
        <f t="shared" si="1"/>
        <v>45847</v>
      </c>
      <c r="M66" s="30"/>
      <c r="N66" s="31">
        <v>45832</v>
      </c>
      <c r="O66" s="33" t="s">
        <v>20</v>
      </c>
      <c r="P66" s="34"/>
      <c r="Q66" s="7"/>
      <c r="R66" s="7"/>
      <c r="S66" s="7"/>
      <c r="T66" s="8"/>
      <c r="U66" s="8"/>
    </row>
    <row r="67" spans="1:21">
      <c r="A67" s="24" t="s">
        <v>160</v>
      </c>
      <c r="B67" s="25" t="s">
        <v>161</v>
      </c>
      <c r="C67" s="26">
        <v>45792</v>
      </c>
      <c r="D67" s="35">
        <v>13750</v>
      </c>
      <c r="E67" s="28" t="s">
        <v>18</v>
      </c>
      <c r="F67" s="32" t="s">
        <v>44</v>
      </c>
      <c r="G67" s="30"/>
      <c r="H67" s="30"/>
      <c r="I67" s="31">
        <v>45807</v>
      </c>
      <c r="J67" s="31">
        <v>45817</v>
      </c>
      <c r="K67" s="32">
        <v>30</v>
      </c>
      <c r="L67" s="31">
        <f t="shared" si="1"/>
        <v>45847</v>
      </c>
      <c r="M67" s="30"/>
      <c r="N67" s="31">
        <v>45853</v>
      </c>
      <c r="O67" s="33" t="s">
        <v>20</v>
      </c>
      <c r="P67" s="34"/>
      <c r="Q67" s="7"/>
      <c r="R67" s="7"/>
      <c r="S67" s="7"/>
      <c r="T67" s="8"/>
      <c r="U67" s="8"/>
    </row>
    <row r="68" spans="1:21">
      <c r="A68" s="24" t="s">
        <v>162</v>
      </c>
      <c r="B68" s="25" t="s">
        <v>163</v>
      </c>
      <c r="C68" s="26">
        <v>45775</v>
      </c>
      <c r="D68" s="35">
        <v>798231</v>
      </c>
      <c r="E68" s="52" t="s">
        <v>30</v>
      </c>
      <c r="F68" s="32" t="s">
        <v>26</v>
      </c>
      <c r="G68" s="30"/>
      <c r="H68" s="31">
        <v>45909</v>
      </c>
      <c r="I68" s="31">
        <v>45918</v>
      </c>
      <c r="J68" s="31">
        <v>45918</v>
      </c>
      <c r="K68" s="32">
        <v>90</v>
      </c>
      <c r="L68" s="31">
        <f t="shared" si="1"/>
        <v>46008</v>
      </c>
      <c r="M68" s="30"/>
      <c r="N68" s="31">
        <v>45967</v>
      </c>
      <c r="O68" s="33" t="s">
        <v>20</v>
      </c>
      <c r="P68" s="34"/>
      <c r="Q68" s="7"/>
      <c r="R68" s="7"/>
      <c r="S68" s="7"/>
      <c r="T68" s="8"/>
      <c r="U68" s="8"/>
    </row>
    <row r="69" spans="1:21">
      <c r="A69" s="24" t="s">
        <v>164</v>
      </c>
      <c r="B69" s="25" t="s">
        <v>165</v>
      </c>
      <c r="C69" s="26">
        <v>45631</v>
      </c>
      <c r="D69" s="35">
        <v>121371.5</v>
      </c>
      <c r="E69" s="52" t="s">
        <v>30</v>
      </c>
      <c r="F69" s="32" t="s">
        <v>23</v>
      </c>
      <c r="G69" s="30"/>
      <c r="H69" s="30"/>
      <c r="I69" s="30"/>
      <c r="J69" s="50"/>
      <c r="K69" s="30"/>
      <c r="L69" s="30" t="str">
        <f t="shared" si="1"/>
        <v/>
      </c>
      <c r="M69" s="30"/>
      <c r="N69" s="30"/>
      <c r="O69" s="51" t="s">
        <v>47</v>
      </c>
      <c r="P69" s="76"/>
      <c r="Q69" s="7"/>
      <c r="R69" s="7"/>
      <c r="S69" s="7"/>
      <c r="T69" s="8"/>
      <c r="U69" s="8"/>
    </row>
    <row r="70" spans="1:21">
      <c r="A70" s="37" t="s">
        <v>166</v>
      </c>
      <c r="B70" s="38" t="s">
        <v>167</v>
      </c>
      <c r="C70" s="39">
        <v>45747</v>
      </c>
      <c r="D70" s="40">
        <v>7650</v>
      </c>
      <c r="E70" s="43" t="s">
        <v>30</v>
      </c>
      <c r="F70" s="42" t="s">
        <v>63</v>
      </c>
      <c r="G70" s="12"/>
      <c r="H70" s="12"/>
      <c r="I70" s="12"/>
      <c r="J70" s="14"/>
      <c r="K70" s="12"/>
      <c r="L70" s="12" t="str">
        <f t="shared" si="1"/>
        <v/>
      </c>
      <c r="M70" s="12"/>
      <c r="N70" s="12"/>
      <c r="O70" s="47" t="s">
        <v>27</v>
      </c>
      <c r="P70" s="15"/>
      <c r="Q70" s="7"/>
      <c r="R70" s="7"/>
      <c r="S70" s="7"/>
      <c r="T70" s="8"/>
      <c r="U70" s="8"/>
    </row>
    <row r="71" spans="1:21">
      <c r="A71" s="24" t="s">
        <v>168</v>
      </c>
      <c r="B71" s="25" t="s">
        <v>169</v>
      </c>
      <c r="C71" s="26">
        <v>45762</v>
      </c>
      <c r="D71" s="35">
        <v>820</v>
      </c>
      <c r="E71" s="28" t="s">
        <v>18</v>
      </c>
      <c r="F71" s="32" t="s">
        <v>170</v>
      </c>
      <c r="G71" s="30"/>
      <c r="H71" s="30"/>
      <c r="I71" s="30"/>
      <c r="J71" s="50"/>
      <c r="K71" s="30"/>
      <c r="L71" s="30" t="str">
        <f t="shared" si="1"/>
        <v/>
      </c>
      <c r="M71" s="30"/>
      <c r="N71" s="30"/>
      <c r="O71" s="51" t="s">
        <v>47</v>
      </c>
      <c r="P71" s="34"/>
      <c r="Q71" s="7"/>
      <c r="R71" s="7"/>
      <c r="S71" s="7"/>
      <c r="T71" s="8"/>
      <c r="U71" s="8"/>
    </row>
    <row r="72" spans="1:21">
      <c r="A72" s="37" t="s">
        <v>171</v>
      </c>
      <c r="B72" s="38" t="s">
        <v>172</v>
      </c>
      <c r="C72" s="39">
        <v>45799</v>
      </c>
      <c r="D72" s="40">
        <v>150480</v>
      </c>
      <c r="E72" s="43" t="s">
        <v>30</v>
      </c>
      <c r="F72" s="42" t="s">
        <v>44</v>
      </c>
      <c r="G72" s="12"/>
      <c r="H72" s="45">
        <v>45915</v>
      </c>
      <c r="I72" s="45">
        <v>45934</v>
      </c>
      <c r="J72" s="45">
        <v>45915</v>
      </c>
      <c r="K72" s="42">
        <v>120</v>
      </c>
      <c r="L72" s="45">
        <f t="shared" si="1"/>
        <v>46035</v>
      </c>
      <c r="M72" s="77">
        <v>46006</v>
      </c>
      <c r="N72" s="12"/>
      <c r="O72" s="47" t="s">
        <v>27</v>
      </c>
      <c r="P72" s="15"/>
      <c r="Q72" s="7"/>
      <c r="R72" s="7"/>
      <c r="S72" s="7"/>
      <c r="T72" s="8"/>
      <c r="U72" s="8"/>
    </row>
    <row r="73" spans="1:21">
      <c r="A73" s="24" t="s">
        <v>173</v>
      </c>
      <c r="B73" s="25" t="s">
        <v>174</v>
      </c>
      <c r="C73" s="26">
        <v>45800</v>
      </c>
      <c r="D73" s="35">
        <v>73530</v>
      </c>
      <c r="E73" s="28" t="s">
        <v>18</v>
      </c>
      <c r="F73" s="32" t="s">
        <v>44</v>
      </c>
      <c r="G73" s="30"/>
      <c r="H73" s="30"/>
      <c r="I73" s="30"/>
      <c r="J73" s="50"/>
      <c r="K73" s="32">
        <v>10</v>
      </c>
      <c r="L73" s="32" t="str">
        <f t="shared" si="1"/>
        <v/>
      </c>
      <c r="M73" s="30"/>
      <c r="N73" s="30"/>
      <c r="O73" s="51" t="s">
        <v>47</v>
      </c>
      <c r="P73" s="53" t="s">
        <v>175</v>
      </c>
      <c r="Q73" s="7"/>
      <c r="R73" s="7"/>
      <c r="S73" s="7"/>
      <c r="T73" s="8"/>
      <c r="U73" s="8"/>
    </row>
    <row r="74" spans="1:21">
      <c r="A74" s="37" t="s">
        <v>176</v>
      </c>
      <c r="B74" s="78" t="s">
        <v>177</v>
      </c>
      <c r="C74" s="39">
        <v>45534</v>
      </c>
      <c r="D74" s="40">
        <v>6793984.1699999999</v>
      </c>
      <c r="E74" s="43" t="s">
        <v>30</v>
      </c>
      <c r="F74" s="42" t="s">
        <v>23</v>
      </c>
      <c r="G74" s="45">
        <v>45895</v>
      </c>
      <c r="H74" s="45">
        <v>45996</v>
      </c>
      <c r="I74" s="45">
        <v>45999</v>
      </c>
      <c r="J74" s="45">
        <v>46000</v>
      </c>
      <c r="K74" s="42">
        <v>120</v>
      </c>
      <c r="L74" s="45">
        <f t="shared" si="1"/>
        <v>46120</v>
      </c>
      <c r="M74" s="45"/>
      <c r="N74" s="45"/>
      <c r="O74" s="47" t="s">
        <v>27</v>
      </c>
      <c r="P74" s="15"/>
      <c r="Q74" s="7"/>
      <c r="R74" s="7"/>
      <c r="S74" s="7"/>
      <c r="T74" s="8"/>
      <c r="U74" s="8"/>
    </row>
    <row r="75" spans="1:21">
      <c r="A75" s="24" t="s">
        <v>178</v>
      </c>
      <c r="B75" s="25" t="s">
        <v>179</v>
      </c>
      <c r="C75" s="26">
        <v>45806</v>
      </c>
      <c r="D75" s="35">
        <v>1325</v>
      </c>
      <c r="E75" s="28" t="s">
        <v>18</v>
      </c>
      <c r="F75" s="32" t="s">
        <v>44</v>
      </c>
      <c r="G75" s="30"/>
      <c r="H75" s="30"/>
      <c r="I75" s="31">
        <v>45835</v>
      </c>
      <c r="J75" s="31">
        <v>45840</v>
      </c>
      <c r="K75" s="32">
        <v>30</v>
      </c>
      <c r="L75" s="31">
        <f t="shared" si="1"/>
        <v>45870</v>
      </c>
      <c r="M75" s="31">
        <v>45923</v>
      </c>
      <c r="N75" s="31">
        <v>45852</v>
      </c>
      <c r="O75" s="33" t="s">
        <v>20</v>
      </c>
      <c r="P75" s="34"/>
      <c r="Q75" s="7"/>
      <c r="R75" s="7"/>
      <c r="S75" s="7"/>
      <c r="T75" s="8"/>
      <c r="U75" s="8"/>
    </row>
    <row r="76" spans="1:21">
      <c r="A76" s="24" t="s">
        <v>180</v>
      </c>
      <c r="B76" s="71" t="s">
        <v>181</v>
      </c>
      <c r="C76" s="26">
        <v>45553</v>
      </c>
      <c r="D76" s="35">
        <v>40970</v>
      </c>
      <c r="E76" s="52" t="s">
        <v>30</v>
      </c>
      <c r="F76" s="32" t="s">
        <v>63</v>
      </c>
      <c r="G76" s="30"/>
      <c r="H76" s="30"/>
      <c r="I76" s="31">
        <v>45775</v>
      </c>
      <c r="J76" s="31">
        <v>45784</v>
      </c>
      <c r="K76" s="32">
        <v>120</v>
      </c>
      <c r="L76" s="31">
        <f t="shared" si="1"/>
        <v>45904</v>
      </c>
      <c r="M76" s="30"/>
      <c r="N76" s="31">
        <v>45925</v>
      </c>
      <c r="O76" s="33" t="s">
        <v>20</v>
      </c>
      <c r="P76" s="34"/>
      <c r="Q76" s="7"/>
      <c r="R76" s="7"/>
      <c r="S76" s="7"/>
      <c r="T76" s="8"/>
      <c r="U76" s="8"/>
    </row>
    <row r="77" spans="1:21">
      <c r="A77" s="37" t="s">
        <v>182</v>
      </c>
      <c r="B77" s="38" t="s">
        <v>183</v>
      </c>
      <c r="C77" s="39">
        <v>45797</v>
      </c>
      <c r="D77" s="40">
        <v>30802722</v>
      </c>
      <c r="E77" s="43" t="s">
        <v>30</v>
      </c>
      <c r="F77" s="42" t="s">
        <v>44</v>
      </c>
      <c r="G77" s="12"/>
      <c r="H77" s="12"/>
      <c r="I77" s="12"/>
      <c r="J77" s="14"/>
      <c r="K77" s="12"/>
      <c r="L77" s="12" t="str">
        <f t="shared" si="1"/>
        <v/>
      </c>
      <c r="M77" s="12"/>
      <c r="N77" s="12"/>
      <c r="O77" s="47" t="s">
        <v>27</v>
      </c>
      <c r="P77" s="15"/>
      <c r="Q77" s="7"/>
      <c r="R77" s="7"/>
      <c r="S77" s="7"/>
      <c r="T77" s="8"/>
      <c r="U77" s="8"/>
    </row>
    <row r="78" spans="1:21">
      <c r="A78" s="24" t="s">
        <v>184</v>
      </c>
      <c r="B78" s="25" t="s">
        <v>185</v>
      </c>
      <c r="C78" s="26">
        <v>45445</v>
      </c>
      <c r="D78" s="35">
        <v>104850</v>
      </c>
      <c r="E78" s="52" t="s">
        <v>30</v>
      </c>
      <c r="F78" s="32" t="s">
        <v>63</v>
      </c>
      <c r="G78" s="30"/>
      <c r="H78" s="31">
        <v>45903</v>
      </c>
      <c r="I78" s="31">
        <v>45924</v>
      </c>
      <c r="J78" s="31">
        <v>45925</v>
      </c>
      <c r="K78" s="32">
        <v>30</v>
      </c>
      <c r="L78" s="31">
        <f t="shared" si="1"/>
        <v>45955</v>
      </c>
      <c r="M78" s="36">
        <v>45942</v>
      </c>
      <c r="N78" s="36">
        <v>45950</v>
      </c>
      <c r="O78" s="33" t="s">
        <v>20</v>
      </c>
      <c r="P78" s="34"/>
      <c r="Q78" s="7"/>
      <c r="R78" s="7"/>
      <c r="S78" s="7"/>
      <c r="T78" s="8"/>
      <c r="U78" s="8"/>
    </row>
    <row r="79" spans="1:21">
      <c r="A79" s="37" t="s">
        <v>186</v>
      </c>
      <c r="B79" s="79" t="s">
        <v>187</v>
      </c>
      <c r="C79" s="39">
        <v>45750</v>
      </c>
      <c r="D79" s="40">
        <v>4382364</v>
      </c>
      <c r="E79" s="43" t="s">
        <v>30</v>
      </c>
      <c r="F79" s="42" t="s">
        <v>23</v>
      </c>
      <c r="G79" s="12"/>
      <c r="H79" s="12"/>
      <c r="I79" s="12"/>
      <c r="J79" s="14"/>
      <c r="K79" s="12"/>
      <c r="L79" s="12" t="str">
        <f t="shared" si="1"/>
        <v/>
      </c>
      <c r="M79" s="12"/>
      <c r="N79" s="12"/>
      <c r="O79" s="47" t="s">
        <v>27</v>
      </c>
      <c r="P79" s="15"/>
      <c r="Q79" s="7"/>
      <c r="R79" s="7"/>
      <c r="S79" s="7"/>
      <c r="T79" s="8"/>
      <c r="U79" s="8"/>
    </row>
    <row r="80" spans="1:21">
      <c r="A80" s="37" t="s">
        <v>188</v>
      </c>
      <c r="B80" s="78" t="s">
        <v>189</v>
      </c>
      <c r="C80" s="80">
        <v>45477</v>
      </c>
      <c r="D80" s="81">
        <v>5922423.1200000001</v>
      </c>
      <c r="E80" s="43" t="s">
        <v>30</v>
      </c>
      <c r="F80" s="42" t="s">
        <v>23</v>
      </c>
      <c r="G80" s="12"/>
      <c r="H80" s="45">
        <v>45902</v>
      </c>
      <c r="I80" s="45">
        <v>45922</v>
      </c>
      <c r="J80" s="45">
        <v>45923</v>
      </c>
      <c r="K80" s="42">
        <v>90</v>
      </c>
      <c r="L80" s="45">
        <f t="shared" si="1"/>
        <v>46013</v>
      </c>
      <c r="M80" s="46">
        <v>45992</v>
      </c>
      <c r="N80" s="12"/>
      <c r="O80" s="47" t="s">
        <v>27</v>
      </c>
      <c r="P80" s="15"/>
      <c r="Q80" s="7"/>
      <c r="R80" s="7"/>
      <c r="S80" s="7"/>
      <c r="T80" s="8"/>
      <c r="U80" s="8"/>
    </row>
    <row r="81" spans="1:21">
      <c r="A81" s="24" t="s">
        <v>190</v>
      </c>
      <c r="B81" s="71" t="s">
        <v>191</v>
      </c>
      <c r="C81" s="26">
        <v>45531</v>
      </c>
      <c r="D81" s="35">
        <v>29093</v>
      </c>
      <c r="E81" s="28" t="s">
        <v>18</v>
      </c>
      <c r="F81" s="29" t="s">
        <v>19</v>
      </c>
      <c r="G81" s="30"/>
      <c r="H81" s="30"/>
      <c r="I81" s="31">
        <v>45810</v>
      </c>
      <c r="J81" s="31">
        <v>45810</v>
      </c>
      <c r="K81" s="32">
        <v>30</v>
      </c>
      <c r="L81" s="31">
        <f t="shared" si="1"/>
        <v>45840</v>
      </c>
      <c r="M81" s="30"/>
      <c r="N81" s="31">
        <v>45840</v>
      </c>
      <c r="O81" s="33" t="s">
        <v>20</v>
      </c>
      <c r="P81" s="53" t="s">
        <v>192</v>
      </c>
      <c r="Q81" s="7"/>
      <c r="R81" s="7"/>
      <c r="S81" s="7"/>
      <c r="T81" s="8"/>
      <c r="U81" s="8"/>
    </row>
    <row r="82" spans="1:21">
      <c r="A82" s="24" t="s">
        <v>193</v>
      </c>
      <c r="B82" s="71" t="s">
        <v>194</v>
      </c>
      <c r="C82" s="26">
        <v>45492</v>
      </c>
      <c r="D82" s="35">
        <v>7879099.6699999999</v>
      </c>
      <c r="E82" s="52" t="s">
        <v>30</v>
      </c>
      <c r="F82" s="32" t="s">
        <v>23</v>
      </c>
      <c r="G82" s="36">
        <v>45644</v>
      </c>
      <c r="H82" s="31">
        <v>45813</v>
      </c>
      <c r="I82" s="31">
        <v>45826</v>
      </c>
      <c r="J82" s="31">
        <v>45832</v>
      </c>
      <c r="K82" s="32">
        <v>90</v>
      </c>
      <c r="L82" s="31">
        <f t="shared" si="1"/>
        <v>45922</v>
      </c>
      <c r="M82" s="30"/>
      <c r="N82" s="31">
        <v>45901</v>
      </c>
      <c r="O82" s="33" t="s">
        <v>20</v>
      </c>
      <c r="P82" s="34"/>
      <c r="Q82" s="7"/>
      <c r="R82" s="7"/>
      <c r="S82" s="7"/>
      <c r="T82" s="8"/>
      <c r="U82" s="8"/>
    </row>
    <row r="83" spans="1:21">
      <c r="A83" s="24" t="s">
        <v>195</v>
      </c>
      <c r="B83" s="25" t="s">
        <v>196</v>
      </c>
      <c r="C83" s="26">
        <v>45811</v>
      </c>
      <c r="D83" s="35">
        <v>579575.06000000006</v>
      </c>
      <c r="E83" s="52" t="s">
        <v>30</v>
      </c>
      <c r="F83" s="32" t="s">
        <v>44</v>
      </c>
      <c r="G83" s="30"/>
      <c r="H83" s="31">
        <v>45896</v>
      </c>
      <c r="I83" s="31">
        <v>45840</v>
      </c>
      <c r="J83" s="31">
        <v>45895</v>
      </c>
      <c r="K83" s="32">
        <v>60</v>
      </c>
      <c r="L83" s="31">
        <f t="shared" si="1"/>
        <v>45955</v>
      </c>
      <c r="M83" s="36">
        <v>45943</v>
      </c>
      <c r="N83" s="31">
        <v>45964</v>
      </c>
      <c r="O83" s="33" t="s">
        <v>20</v>
      </c>
      <c r="P83" s="53" t="s">
        <v>197</v>
      </c>
      <c r="Q83" s="7"/>
      <c r="R83" s="7"/>
      <c r="S83" s="7"/>
      <c r="T83" s="8"/>
      <c r="U83" s="8"/>
    </row>
    <row r="84" spans="1:21">
      <c r="A84" s="24" t="s">
        <v>198</v>
      </c>
      <c r="B84" s="71" t="s">
        <v>199</v>
      </c>
      <c r="C84" s="26">
        <v>45484</v>
      </c>
      <c r="D84" s="35">
        <v>8432255.9100000001</v>
      </c>
      <c r="E84" s="52" t="s">
        <v>30</v>
      </c>
      <c r="F84" s="32" t="s">
        <v>23</v>
      </c>
      <c r="G84" s="36">
        <v>45596</v>
      </c>
      <c r="H84" s="31">
        <v>45716</v>
      </c>
      <c r="I84" s="31">
        <v>45735</v>
      </c>
      <c r="J84" s="31">
        <v>45736</v>
      </c>
      <c r="K84" s="32">
        <v>120</v>
      </c>
      <c r="L84" s="31">
        <f t="shared" si="1"/>
        <v>45856</v>
      </c>
      <c r="M84" s="30"/>
      <c r="N84" s="31">
        <v>45853</v>
      </c>
      <c r="O84" s="33" t="s">
        <v>20</v>
      </c>
      <c r="P84" s="34"/>
      <c r="Q84" s="7"/>
      <c r="R84" s="7"/>
      <c r="S84" s="7"/>
      <c r="T84" s="8"/>
      <c r="U84" s="8"/>
    </row>
    <row r="85" spans="1:21">
      <c r="A85" s="37" t="s">
        <v>200</v>
      </c>
      <c r="B85" s="38" t="s">
        <v>201</v>
      </c>
      <c r="C85" s="39">
        <v>45730</v>
      </c>
      <c r="D85" s="81">
        <v>116360.88</v>
      </c>
      <c r="E85" s="41" t="s">
        <v>18</v>
      </c>
      <c r="F85" s="42" t="s">
        <v>44</v>
      </c>
      <c r="G85" s="82">
        <v>45621</v>
      </c>
      <c r="H85" s="12"/>
      <c r="I85" s="12"/>
      <c r="J85" s="14"/>
      <c r="K85" s="12"/>
      <c r="L85" s="12" t="str">
        <f t="shared" si="1"/>
        <v/>
      </c>
      <c r="M85" s="12"/>
      <c r="N85" s="12"/>
      <c r="O85" s="47" t="s">
        <v>27</v>
      </c>
      <c r="P85" s="15"/>
      <c r="Q85" s="7"/>
      <c r="R85" s="7"/>
      <c r="S85" s="7"/>
      <c r="T85" s="8"/>
      <c r="U85" s="8"/>
    </row>
    <row r="86" spans="1:21">
      <c r="A86" s="24" t="s">
        <v>202</v>
      </c>
      <c r="B86" s="25" t="s">
        <v>203</v>
      </c>
      <c r="C86" s="26">
        <v>45748</v>
      </c>
      <c r="D86" s="35">
        <v>9744.27</v>
      </c>
      <c r="E86" s="28" t="s">
        <v>18</v>
      </c>
      <c r="F86" s="32" t="s">
        <v>44</v>
      </c>
      <c r="G86" s="30"/>
      <c r="H86" s="31">
        <v>45881</v>
      </c>
      <c r="I86" s="31">
        <v>45902</v>
      </c>
      <c r="J86" s="31">
        <v>45881</v>
      </c>
      <c r="K86" s="32">
        <v>60</v>
      </c>
      <c r="L86" s="31">
        <f t="shared" si="1"/>
        <v>45941</v>
      </c>
      <c r="M86" s="31">
        <v>45925</v>
      </c>
      <c r="N86" s="31">
        <v>45939</v>
      </c>
      <c r="O86" s="33" t="s">
        <v>20</v>
      </c>
      <c r="P86" s="34"/>
      <c r="Q86" s="7"/>
      <c r="R86" s="7"/>
      <c r="S86" s="7"/>
      <c r="T86" s="8"/>
      <c r="U86" s="8"/>
    </row>
    <row r="87" spans="1:21">
      <c r="A87" s="24" t="s">
        <v>204</v>
      </c>
      <c r="B87" s="71" t="s">
        <v>205</v>
      </c>
      <c r="C87" s="26">
        <v>45441</v>
      </c>
      <c r="D87" s="35">
        <v>1436816.34</v>
      </c>
      <c r="E87" s="52" t="s">
        <v>30</v>
      </c>
      <c r="F87" s="32" t="s">
        <v>23</v>
      </c>
      <c r="G87" s="30"/>
      <c r="H87" s="30"/>
      <c r="I87" s="31">
        <v>45757</v>
      </c>
      <c r="J87" s="31">
        <v>45814</v>
      </c>
      <c r="K87" s="32">
        <v>60</v>
      </c>
      <c r="L87" s="31">
        <f t="shared" si="1"/>
        <v>45874</v>
      </c>
      <c r="M87" s="31">
        <v>45848</v>
      </c>
      <c r="N87" s="31">
        <v>45918</v>
      </c>
      <c r="O87" s="33" t="s">
        <v>20</v>
      </c>
      <c r="P87" s="34"/>
      <c r="Q87" s="7"/>
      <c r="R87" s="7"/>
      <c r="S87" s="7"/>
      <c r="T87" s="8"/>
      <c r="U87" s="8"/>
    </row>
    <row r="88" spans="1:21">
      <c r="A88" s="24" t="s">
        <v>206</v>
      </c>
      <c r="B88" s="25" t="s">
        <v>207</v>
      </c>
      <c r="C88" s="26">
        <v>45813</v>
      </c>
      <c r="D88" s="35">
        <v>83360</v>
      </c>
      <c r="E88" s="52" t="s">
        <v>30</v>
      </c>
      <c r="F88" s="32" t="s">
        <v>170</v>
      </c>
      <c r="G88" s="30"/>
      <c r="H88" s="31">
        <v>45903</v>
      </c>
      <c r="I88" s="31">
        <v>45918</v>
      </c>
      <c r="J88" s="31">
        <v>45903</v>
      </c>
      <c r="K88" s="32">
        <v>30</v>
      </c>
      <c r="L88" s="31">
        <f t="shared" si="1"/>
        <v>45933</v>
      </c>
      <c r="M88" s="31">
        <v>45919</v>
      </c>
      <c r="N88" s="31">
        <v>45929</v>
      </c>
      <c r="O88" s="33" t="s">
        <v>20</v>
      </c>
      <c r="P88" s="34"/>
      <c r="Q88" s="7"/>
      <c r="R88" s="7"/>
      <c r="S88" s="7"/>
      <c r="T88" s="8"/>
      <c r="U88" s="8"/>
    </row>
    <row r="89" spans="1:21">
      <c r="A89" s="24" t="s">
        <v>208</v>
      </c>
      <c r="B89" s="71" t="s">
        <v>209</v>
      </c>
      <c r="C89" s="26">
        <v>45495</v>
      </c>
      <c r="D89" s="35">
        <v>4768676.76</v>
      </c>
      <c r="E89" s="52" t="s">
        <v>30</v>
      </c>
      <c r="F89" s="32" t="s">
        <v>26</v>
      </c>
      <c r="G89" s="30"/>
      <c r="H89" s="31">
        <v>45799</v>
      </c>
      <c r="I89" s="31">
        <v>45814</v>
      </c>
      <c r="J89" s="31">
        <v>45817</v>
      </c>
      <c r="K89" s="32">
        <v>30</v>
      </c>
      <c r="L89" s="31">
        <f t="shared" si="1"/>
        <v>45847</v>
      </c>
      <c r="M89" s="30"/>
      <c r="N89" s="31">
        <v>45847</v>
      </c>
      <c r="O89" s="33" t="s">
        <v>20</v>
      </c>
      <c r="P89" s="34"/>
      <c r="Q89" s="7"/>
      <c r="R89" s="7"/>
      <c r="S89" s="7"/>
      <c r="T89" s="8"/>
      <c r="U89" s="8"/>
    </row>
    <row r="90" spans="1:21">
      <c r="A90" s="24" t="s">
        <v>210</v>
      </c>
      <c r="B90" s="71" t="s">
        <v>211</v>
      </c>
      <c r="C90" s="26">
        <v>45435</v>
      </c>
      <c r="D90" s="35">
        <v>2192989.56</v>
      </c>
      <c r="E90" s="28" t="s">
        <v>18</v>
      </c>
      <c r="F90" s="32" t="s">
        <v>23</v>
      </c>
      <c r="G90" s="31">
        <v>45714</v>
      </c>
      <c r="H90" s="31">
        <v>45819</v>
      </c>
      <c r="I90" s="31">
        <v>45849</v>
      </c>
      <c r="J90" s="31">
        <v>45852</v>
      </c>
      <c r="K90" s="32">
        <v>0</v>
      </c>
      <c r="L90" s="31">
        <f t="shared" si="1"/>
        <v>45852</v>
      </c>
      <c r="M90" s="30"/>
      <c r="N90" s="31">
        <v>45852</v>
      </c>
      <c r="O90" s="33" t="s">
        <v>20</v>
      </c>
      <c r="P90" s="34"/>
      <c r="Q90" s="7"/>
      <c r="R90" s="7"/>
      <c r="S90" s="7"/>
      <c r="T90" s="8"/>
      <c r="U90" s="8"/>
    </row>
    <row r="91" spans="1:21">
      <c r="A91" s="24" t="s">
        <v>212</v>
      </c>
      <c r="B91" s="71" t="s">
        <v>213</v>
      </c>
      <c r="C91" s="26">
        <v>45418</v>
      </c>
      <c r="D91" s="35">
        <v>697746</v>
      </c>
      <c r="E91" s="52" t="s">
        <v>30</v>
      </c>
      <c r="F91" s="32" t="s">
        <v>23</v>
      </c>
      <c r="G91" s="30"/>
      <c r="H91" s="31">
        <v>45729</v>
      </c>
      <c r="I91" s="31">
        <v>45737</v>
      </c>
      <c r="J91" s="31">
        <v>45740</v>
      </c>
      <c r="K91" s="32">
        <v>60</v>
      </c>
      <c r="L91" s="31">
        <f t="shared" si="1"/>
        <v>45800</v>
      </c>
      <c r="M91" s="30"/>
      <c r="N91" s="31">
        <v>45820</v>
      </c>
      <c r="O91" s="33" t="s">
        <v>20</v>
      </c>
      <c r="P91" s="34"/>
      <c r="Q91" s="7"/>
      <c r="R91" s="7"/>
      <c r="S91" s="7"/>
      <c r="T91" s="8"/>
      <c r="U91" s="8"/>
    </row>
    <row r="92" spans="1:21">
      <c r="A92" s="37" t="s">
        <v>214</v>
      </c>
      <c r="B92" s="79" t="s">
        <v>215</v>
      </c>
      <c r="C92" s="39">
        <v>45483</v>
      </c>
      <c r="D92" s="81">
        <v>1439800</v>
      </c>
      <c r="E92" s="43" t="s">
        <v>30</v>
      </c>
      <c r="F92" s="42" t="s">
        <v>23</v>
      </c>
      <c r="G92" s="82">
        <v>46009</v>
      </c>
      <c r="H92" s="45">
        <v>45799</v>
      </c>
      <c r="I92" s="45">
        <v>45799</v>
      </c>
      <c r="J92" s="45">
        <v>45825</v>
      </c>
      <c r="K92" s="42">
        <v>90</v>
      </c>
      <c r="L92" s="45">
        <f t="shared" si="1"/>
        <v>45915</v>
      </c>
      <c r="M92" s="46">
        <v>45890</v>
      </c>
      <c r="N92" s="12"/>
      <c r="O92" s="47" t="s">
        <v>27</v>
      </c>
      <c r="P92" s="49" t="s">
        <v>216</v>
      </c>
      <c r="Q92" s="7"/>
      <c r="R92" s="7"/>
      <c r="S92" s="7"/>
      <c r="T92" s="8"/>
      <c r="U92" s="8"/>
    </row>
    <row r="93" spans="1:21">
      <c r="A93" s="37" t="s">
        <v>217</v>
      </c>
      <c r="B93" s="79" t="s">
        <v>218</v>
      </c>
      <c r="C93" s="39">
        <v>45821</v>
      </c>
      <c r="D93" s="81">
        <v>87471</v>
      </c>
      <c r="E93" s="43" t="s">
        <v>30</v>
      </c>
      <c r="F93" s="42" t="s">
        <v>23</v>
      </c>
      <c r="G93" s="12"/>
      <c r="H93" s="12"/>
      <c r="I93" s="12"/>
      <c r="J93" s="14"/>
      <c r="K93" s="12"/>
      <c r="L93" s="12" t="str">
        <f t="shared" si="1"/>
        <v/>
      </c>
      <c r="M93" s="12"/>
      <c r="N93" s="12"/>
      <c r="O93" s="47" t="s">
        <v>27</v>
      </c>
      <c r="P93" s="15"/>
      <c r="Q93" s="7"/>
      <c r="R93" s="7"/>
      <c r="S93" s="7"/>
      <c r="T93" s="8"/>
      <c r="U93" s="8"/>
    </row>
    <row r="94" spans="1:21">
      <c r="A94" s="24" t="s">
        <v>219</v>
      </c>
      <c r="B94" s="25" t="s">
        <v>220</v>
      </c>
      <c r="C94" s="26">
        <v>45806</v>
      </c>
      <c r="D94" s="35">
        <v>255509.8</v>
      </c>
      <c r="E94" s="52" t="s">
        <v>30</v>
      </c>
      <c r="F94" s="32" t="s">
        <v>63</v>
      </c>
      <c r="G94" s="30"/>
      <c r="H94" s="30"/>
      <c r="I94" s="30"/>
      <c r="J94" s="50"/>
      <c r="K94" s="30"/>
      <c r="L94" s="30" t="str">
        <f t="shared" si="1"/>
        <v/>
      </c>
      <c r="M94" s="30"/>
      <c r="N94" s="30"/>
      <c r="O94" s="51" t="s">
        <v>47</v>
      </c>
      <c r="P94" s="53" t="s">
        <v>221</v>
      </c>
      <c r="Q94" s="7"/>
      <c r="R94" s="7"/>
      <c r="S94" s="7"/>
      <c r="T94" s="8"/>
      <c r="U94" s="8"/>
    </row>
    <row r="95" spans="1:21">
      <c r="A95" s="24" t="s">
        <v>222</v>
      </c>
      <c r="B95" s="25" t="s">
        <v>223</v>
      </c>
      <c r="C95" s="26">
        <v>45824</v>
      </c>
      <c r="D95" s="35">
        <v>6784</v>
      </c>
      <c r="E95" s="28" t="s">
        <v>18</v>
      </c>
      <c r="F95" s="32" t="s">
        <v>170</v>
      </c>
      <c r="G95" s="30"/>
      <c r="H95" s="30"/>
      <c r="I95" s="31">
        <v>45901</v>
      </c>
      <c r="J95" s="31">
        <v>45910</v>
      </c>
      <c r="K95" s="32">
        <v>30</v>
      </c>
      <c r="L95" s="31">
        <f t="shared" si="1"/>
        <v>45940</v>
      </c>
      <c r="M95" s="30"/>
      <c r="N95" s="31">
        <v>45916</v>
      </c>
      <c r="O95" s="33" t="s">
        <v>20</v>
      </c>
      <c r="P95" s="34"/>
      <c r="Q95" s="7"/>
      <c r="R95" s="7"/>
      <c r="S95" s="7"/>
      <c r="T95" s="8"/>
      <c r="U95" s="8"/>
    </row>
    <row r="96" spans="1:21">
      <c r="A96" s="37" t="s">
        <v>224</v>
      </c>
      <c r="B96" s="79" t="s">
        <v>225</v>
      </c>
      <c r="C96" s="39">
        <v>45831</v>
      </c>
      <c r="D96" s="81">
        <v>2072</v>
      </c>
      <c r="E96" s="43" t="s">
        <v>30</v>
      </c>
      <c r="F96" s="42" t="s">
        <v>63</v>
      </c>
      <c r="G96" s="12"/>
      <c r="H96" s="12"/>
      <c r="I96" s="82">
        <v>45961</v>
      </c>
      <c r="J96" s="45">
        <v>45966</v>
      </c>
      <c r="K96" s="42">
        <v>30</v>
      </c>
      <c r="L96" s="45">
        <f t="shared" si="1"/>
        <v>45996</v>
      </c>
      <c r="M96" s="12"/>
      <c r="N96" s="12"/>
      <c r="O96" s="47" t="s">
        <v>27</v>
      </c>
      <c r="P96" s="15"/>
      <c r="Q96" s="7"/>
      <c r="R96" s="7"/>
      <c r="S96" s="7"/>
      <c r="T96" s="8"/>
      <c r="U96" s="8"/>
    </row>
    <row r="97" spans="1:21">
      <c r="A97" s="24" t="s">
        <v>226</v>
      </c>
      <c r="B97" s="25" t="s">
        <v>227</v>
      </c>
      <c r="C97" s="26">
        <v>45834</v>
      </c>
      <c r="D97" s="35">
        <v>1050.05</v>
      </c>
      <c r="E97" s="28" t="s">
        <v>18</v>
      </c>
      <c r="F97" s="32" t="s">
        <v>44</v>
      </c>
      <c r="G97" s="30"/>
      <c r="H97" s="30"/>
      <c r="I97" s="31">
        <v>45840</v>
      </c>
      <c r="J97" s="31">
        <v>45842</v>
      </c>
      <c r="K97" s="32">
        <v>30</v>
      </c>
      <c r="L97" s="31">
        <f t="shared" si="1"/>
        <v>45872</v>
      </c>
      <c r="M97" s="30"/>
      <c r="N97" s="31">
        <v>45859</v>
      </c>
      <c r="O97" s="33" t="s">
        <v>20</v>
      </c>
      <c r="P97" s="34"/>
      <c r="Q97" s="7"/>
      <c r="R97" s="7"/>
      <c r="S97" s="7"/>
      <c r="T97" s="8"/>
      <c r="U97" s="8"/>
    </row>
    <row r="98" spans="1:21">
      <c r="A98" s="37" t="s">
        <v>228</v>
      </c>
      <c r="B98" s="79" t="s">
        <v>229</v>
      </c>
      <c r="C98" s="39">
        <v>45831</v>
      </c>
      <c r="D98" s="40">
        <v>1952460.71</v>
      </c>
      <c r="E98" s="43" t="s">
        <v>30</v>
      </c>
      <c r="F98" s="42" t="s">
        <v>26</v>
      </c>
      <c r="G98" s="12"/>
      <c r="H98" s="12"/>
      <c r="I98" s="12"/>
      <c r="J98" s="14"/>
      <c r="K98" s="12"/>
      <c r="L98" s="12" t="str">
        <f t="shared" si="1"/>
        <v/>
      </c>
      <c r="M98" s="12"/>
      <c r="N98" s="12"/>
      <c r="O98" s="47" t="s">
        <v>27</v>
      </c>
      <c r="P98" s="15"/>
      <c r="Q98" s="7"/>
      <c r="R98" s="7"/>
      <c r="S98" s="7"/>
      <c r="T98" s="8"/>
      <c r="U98" s="8"/>
    </row>
    <row r="99" spans="1:21">
      <c r="A99" s="24" t="s">
        <v>230</v>
      </c>
      <c r="B99" s="25" t="s">
        <v>231</v>
      </c>
      <c r="C99" s="26">
        <v>45831</v>
      </c>
      <c r="D99" s="35">
        <v>13311.15</v>
      </c>
      <c r="E99" s="28" t="s">
        <v>18</v>
      </c>
      <c r="F99" s="32" t="s">
        <v>63</v>
      </c>
      <c r="G99" s="30"/>
      <c r="H99" s="30"/>
      <c r="I99" s="31">
        <v>45867</v>
      </c>
      <c r="J99" s="31">
        <v>45868</v>
      </c>
      <c r="K99" s="32">
        <v>30</v>
      </c>
      <c r="L99" s="31">
        <f t="shared" si="1"/>
        <v>45898</v>
      </c>
      <c r="M99" s="31">
        <v>45915</v>
      </c>
      <c r="N99" s="31">
        <v>45888</v>
      </c>
      <c r="O99" s="33" t="s">
        <v>20</v>
      </c>
      <c r="P99" s="34"/>
      <c r="Q99" s="7"/>
      <c r="R99" s="7"/>
      <c r="S99" s="7"/>
      <c r="T99" s="8"/>
      <c r="U99" s="8"/>
    </row>
    <row r="100" spans="1:21">
      <c r="A100" s="24" t="s">
        <v>232</v>
      </c>
      <c r="B100" s="25" t="s">
        <v>233</v>
      </c>
      <c r="C100" s="26">
        <v>45825</v>
      </c>
      <c r="D100" s="35">
        <v>18480</v>
      </c>
      <c r="E100" s="28" t="s">
        <v>18</v>
      </c>
      <c r="F100" s="32" t="s">
        <v>63</v>
      </c>
      <c r="G100" s="30"/>
      <c r="H100" s="30"/>
      <c r="I100" s="31">
        <v>45895</v>
      </c>
      <c r="J100" s="31">
        <v>45896</v>
      </c>
      <c r="K100" s="32">
        <v>30</v>
      </c>
      <c r="L100" s="31">
        <f t="shared" si="1"/>
        <v>45926</v>
      </c>
      <c r="M100" s="31">
        <v>45924</v>
      </c>
      <c r="N100" s="31">
        <v>45929</v>
      </c>
      <c r="O100" s="33" t="s">
        <v>20</v>
      </c>
      <c r="P100" s="34"/>
      <c r="Q100" s="7"/>
      <c r="R100" s="7"/>
      <c r="S100" s="7"/>
      <c r="T100" s="8"/>
      <c r="U100" s="8"/>
    </row>
    <row r="101" spans="1:21">
      <c r="A101" s="24" t="s">
        <v>234</v>
      </c>
      <c r="B101" s="71" t="s">
        <v>235</v>
      </c>
      <c r="C101" s="26">
        <v>45832</v>
      </c>
      <c r="D101" s="35">
        <v>72642.789999999994</v>
      </c>
      <c r="E101" s="52" t="s">
        <v>30</v>
      </c>
      <c r="F101" s="29" t="s">
        <v>19</v>
      </c>
      <c r="G101" s="30"/>
      <c r="H101" s="30"/>
      <c r="I101" s="31">
        <v>45922</v>
      </c>
      <c r="J101" s="31">
        <v>45924</v>
      </c>
      <c r="K101" s="32">
        <v>30</v>
      </c>
      <c r="L101" s="31">
        <f t="shared" si="1"/>
        <v>45954</v>
      </c>
      <c r="M101" s="30"/>
      <c r="N101" s="31">
        <v>45929</v>
      </c>
      <c r="O101" s="33" t="s">
        <v>20</v>
      </c>
      <c r="P101" s="53" t="s">
        <v>236</v>
      </c>
      <c r="Q101" s="7"/>
      <c r="R101" s="7"/>
      <c r="S101" s="7"/>
      <c r="T101" s="8"/>
      <c r="U101" s="8"/>
    </row>
    <row r="102" spans="1:21">
      <c r="A102" s="37" t="s">
        <v>237</v>
      </c>
      <c r="B102" s="78" t="s">
        <v>238</v>
      </c>
      <c r="C102" s="39">
        <v>45397</v>
      </c>
      <c r="D102" s="81">
        <v>113955.01</v>
      </c>
      <c r="E102" s="43" t="s">
        <v>30</v>
      </c>
      <c r="F102" s="42" t="s">
        <v>23</v>
      </c>
      <c r="G102" s="82">
        <v>45594</v>
      </c>
      <c r="H102" s="45">
        <v>45861</v>
      </c>
      <c r="I102" s="45">
        <v>45867</v>
      </c>
      <c r="J102" s="45">
        <v>45870</v>
      </c>
      <c r="K102" s="42">
        <v>85</v>
      </c>
      <c r="L102" s="45">
        <f t="shared" si="1"/>
        <v>45955</v>
      </c>
      <c r="M102" s="12"/>
      <c r="N102" s="12"/>
      <c r="O102" s="47" t="s">
        <v>27</v>
      </c>
      <c r="P102" s="15"/>
      <c r="Q102" s="7"/>
      <c r="R102" s="7"/>
      <c r="S102" s="7"/>
      <c r="T102" s="8"/>
      <c r="U102" s="8"/>
    </row>
    <row r="103" spans="1:21">
      <c r="A103" s="37" t="s">
        <v>239</v>
      </c>
      <c r="B103" s="79" t="s">
        <v>240</v>
      </c>
      <c r="C103" s="39">
        <v>45826</v>
      </c>
      <c r="D103" s="81">
        <v>208720</v>
      </c>
      <c r="E103" s="43" t="s">
        <v>30</v>
      </c>
      <c r="F103" s="42" t="s">
        <v>170</v>
      </c>
      <c r="G103" s="12"/>
      <c r="H103" s="45">
        <v>45910</v>
      </c>
      <c r="I103" s="45">
        <v>45918</v>
      </c>
      <c r="J103" s="45">
        <v>45922</v>
      </c>
      <c r="K103" s="42">
        <v>45</v>
      </c>
      <c r="L103" s="45">
        <f t="shared" si="1"/>
        <v>45967</v>
      </c>
      <c r="M103" s="77">
        <v>45957</v>
      </c>
      <c r="N103" s="12"/>
      <c r="O103" s="47" t="s">
        <v>27</v>
      </c>
      <c r="P103" s="15"/>
      <c r="Q103" s="7"/>
      <c r="R103" s="7"/>
      <c r="S103" s="7"/>
      <c r="T103" s="8"/>
      <c r="U103" s="8"/>
    </row>
    <row r="104" spans="1:21">
      <c r="A104" s="24" t="s">
        <v>241</v>
      </c>
      <c r="B104" s="71" t="s">
        <v>242</v>
      </c>
      <c r="C104" s="26">
        <v>45544</v>
      </c>
      <c r="D104" s="35">
        <v>465017.4</v>
      </c>
      <c r="E104" s="52" t="s">
        <v>30</v>
      </c>
      <c r="F104" s="32" t="s">
        <v>26</v>
      </c>
      <c r="G104" s="30"/>
      <c r="H104" s="31">
        <v>45706</v>
      </c>
      <c r="I104" s="31">
        <v>45832</v>
      </c>
      <c r="J104" s="31">
        <v>45833</v>
      </c>
      <c r="K104" s="32">
        <v>30</v>
      </c>
      <c r="L104" s="31">
        <f t="shared" si="1"/>
        <v>45863</v>
      </c>
      <c r="M104" s="30"/>
      <c r="N104" s="31">
        <v>45863</v>
      </c>
      <c r="O104" s="33" t="s">
        <v>20</v>
      </c>
      <c r="P104" s="34"/>
      <c r="Q104" s="7"/>
      <c r="R104" s="7"/>
      <c r="S104" s="7"/>
      <c r="T104" s="8"/>
      <c r="U104" s="8"/>
    </row>
    <row r="105" spans="1:21">
      <c r="A105" s="37" t="s">
        <v>243</v>
      </c>
      <c r="B105" s="79" t="s">
        <v>244</v>
      </c>
      <c r="C105" s="39">
        <v>45835</v>
      </c>
      <c r="D105" s="40">
        <v>26700</v>
      </c>
      <c r="E105" s="43" t="s">
        <v>30</v>
      </c>
      <c r="F105" s="42" t="s">
        <v>63</v>
      </c>
      <c r="G105" s="12"/>
      <c r="H105" s="82">
        <v>45950</v>
      </c>
      <c r="I105" s="82">
        <v>45961</v>
      </c>
      <c r="J105" s="82">
        <v>45952</v>
      </c>
      <c r="K105" s="42">
        <v>120</v>
      </c>
      <c r="L105" s="82">
        <f t="shared" si="1"/>
        <v>46072</v>
      </c>
      <c r="M105" s="46">
        <v>46045</v>
      </c>
      <c r="N105" s="12"/>
      <c r="O105" s="47" t="s">
        <v>27</v>
      </c>
      <c r="P105" s="15"/>
      <c r="Q105" s="7"/>
      <c r="R105" s="7"/>
      <c r="S105" s="7"/>
      <c r="T105" s="8"/>
      <c r="U105" s="8"/>
    </row>
    <row r="106" spans="1:21">
      <c r="A106" s="24" t="s">
        <v>245</v>
      </c>
      <c r="B106" s="25" t="s">
        <v>246</v>
      </c>
      <c r="C106" s="26">
        <v>45832</v>
      </c>
      <c r="D106" s="35">
        <v>1650000</v>
      </c>
      <c r="E106" s="52" t="s">
        <v>30</v>
      </c>
      <c r="F106" s="32" t="s">
        <v>123</v>
      </c>
      <c r="G106" s="30"/>
      <c r="H106" s="30"/>
      <c r="I106" s="30"/>
      <c r="J106" s="50"/>
      <c r="K106" s="30"/>
      <c r="L106" s="30" t="str">
        <f t="shared" si="1"/>
        <v/>
      </c>
      <c r="M106" s="30"/>
      <c r="N106" s="30"/>
      <c r="O106" s="51" t="s">
        <v>47</v>
      </c>
      <c r="P106" s="34"/>
      <c r="Q106" s="7"/>
      <c r="R106" s="7"/>
      <c r="S106" s="7"/>
      <c r="T106" s="8"/>
      <c r="U106" s="8"/>
    </row>
    <row r="107" spans="1:21">
      <c r="A107" s="24" t="s">
        <v>247</v>
      </c>
      <c r="B107" s="25" t="s">
        <v>248</v>
      </c>
      <c r="C107" s="26">
        <v>45842</v>
      </c>
      <c r="D107" s="35">
        <v>1102063</v>
      </c>
      <c r="E107" s="52" t="s">
        <v>30</v>
      </c>
      <c r="F107" s="32" t="s">
        <v>63</v>
      </c>
      <c r="G107" s="30"/>
      <c r="H107" s="30"/>
      <c r="I107" s="30"/>
      <c r="J107" s="50"/>
      <c r="K107" s="30"/>
      <c r="L107" s="30" t="str">
        <f t="shared" si="1"/>
        <v/>
      </c>
      <c r="M107" s="30"/>
      <c r="N107" s="30"/>
      <c r="O107" s="51" t="s">
        <v>47</v>
      </c>
      <c r="P107" s="34"/>
      <c r="Q107" s="7"/>
      <c r="R107" s="7"/>
      <c r="S107" s="7"/>
      <c r="T107" s="8"/>
      <c r="U107" s="8"/>
    </row>
    <row r="108" spans="1:21">
      <c r="A108" s="37" t="s">
        <v>249</v>
      </c>
      <c r="B108" s="38" t="s">
        <v>250</v>
      </c>
      <c r="C108" s="39">
        <v>45838</v>
      </c>
      <c r="D108" s="40">
        <v>89960.16</v>
      </c>
      <c r="E108" s="41" t="s">
        <v>18</v>
      </c>
      <c r="F108" s="42" t="s">
        <v>44</v>
      </c>
      <c r="G108" s="82">
        <v>45586</v>
      </c>
      <c r="H108" s="12"/>
      <c r="I108" s="45">
        <v>45882</v>
      </c>
      <c r="J108" s="45">
        <v>45890</v>
      </c>
      <c r="K108" s="42">
        <v>90</v>
      </c>
      <c r="L108" s="45">
        <f t="shared" si="1"/>
        <v>45980</v>
      </c>
      <c r="M108" s="12"/>
      <c r="N108" s="12"/>
      <c r="O108" s="47" t="s">
        <v>27</v>
      </c>
      <c r="P108" s="15"/>
      <c r="Q108" s="7"/>
      <c r="R108" s="7"/>
      <c r="S108" s="7"/>
      <c r="T108" s="8"/>
      <c r="U108" s="8"/>
    </row>
    <row r="109" spans="1:21">
      <c r="A109" s="37" t="s">
        <v>251</v>
      </c>
      <c r="B109" s="79" t="s">
        <v>252</v>
      </c>
      <c r="C109" s="39">
        <v>45818</v>
      </c>
      <c r="D109" s="40">
        <v>284631.71000000002</v>
      </c>
      <c r="E109" s="43" t="s">
        <v>30</v>
      </c>
      <c r="F109" s="42" t="s">
        <v>63</v>
      </c>
      <c r="G109" s="12"/>
      <c r="H109" s="12"/>
      <c r="I109" s="12"/>
      <c r="J109" s="14"/>
      <c r="K109" s="12"/>
      <c r="L109" s="12" t="str">
        <f t="shared" si="1"/>
        <v/>
      </c>
      <c r="M109" s="12"/>
      <c r="N109" s="12"/>
      <c r="O109" s="47" t="s">
        <v>27</v>
      </c>
      <c r="P109" s="15"/>
      <c r="Q109" s="7"/>
      <c r="R109" s="7"/>
      <c r="S109" s="7"/>
      <c r="T109" s="8"/>
      <c r="U109" s="8"/>
    </row>
    <row r="110" spans="1:21">
      <c r="A110" s="24" t="s">
        <v>253</v>
      </c>
      <c r="B110" s="25" t="s">
        <v>254</v>
      </c>
      <c r="C110" s="26">
        <v>45796</v>
      </c>
      <c r="D110" s="35">
        <v>5340</v>
      </c>
      <c r="E110" s="28" t="s">
        <v>18</v>
      </c>
      <c r="F110" s="29" t="s">
        <v>19</v>
      </c>
      <c r="G110" s="30"/>
      <c r="H110" s="30"/>
      <c r="I110" s="31">
        <v>45877</v>
      </c>
      <c r="J110" s="31">
        <v>45880</v>
      </c>
      <c r="K110" s="32">
        <v>60</v>
      </c>
      <c r="L110" s="31">
        <f t="shared" si="1"/>
        <v>45940</v>
      </c>
      <c r="M110" s="30"/>
      <c r="N110" s="31">
        <v>45916</v>
      </c>
      <c r="O110" s="33" t="s">
        <v>20</v>
      </c>
      <c r="P110" s="34"/>
      <c r="Q110" s="7"/>
      <c r="R110" s="7"/>
      <c r="S110" s="7"/>
      <c r="T110" s="8"/>
      <c r="U110" s="8"/>
    </row>
    <row r="111" spans="1:21">
      <c r="A111" s="24" t="s">
        <v>255</v>
      </c>
      <c r="B111" s="25" t="s">
        <v>256</v>
      </c>
      <c r="C111" s="26">
        <v>45847</v>
      </c>
      <c r="D111" s="35">
        <v>19954.560000000001</v>
      </c>
      <c r="E111" s="28" t="s">
        <v>18</v>
      </c>
      <c r="F111" s="29" t="s">
        <v>19</v>
      </c>
      <c r="G111" s="30"/>
      <c r="H111" s="31">
        <v>45939</v>
      </c>
      <c r="I111" s="31">
        <v>45904</v>
      </c>
      <c r="J111" s="36">
        <v>45940</v>
      </c>
      <c r="K111" s="32">
        <v>0</v>
      </c>
      <c r="L111" s="36">
        <f t="shared" si="1"/>
        <v>45940</v>
      </c>
      <c r="M111" s="30"/>
      <c r="N111" s="36">
        <v>45940</v>
      </c>
      <c r="O111" s="33" t="s">
        <v>20</v>
      </c>
      <c r="P111" s="53" t="s">
        <v>257</v>
      </c>
      <c r="Q111" s="7"/>
      <c r="R111" s="7"/>
      <c r="S111" s="7"/>
      <c r="T111" s="8"/>
      <c r="U111" s="8"/>
    </row>
    <row r="112" spans="1:21">
      <c r="A112" s="37" t="s">
        <v>258</v>
      </c>
      <c r="B112" s="79" t="s">
        <v>259</v>
      </c>
      <c r="C112" s="39">
        <v>45796</v>
      </c>
      <c r="D112" s="40">
        <v>176179.26</v>
      </c>
      <c r="E112" s="43" t="s">
        <v>30</v>
      </c>
      <c r="F112" s="42" t="s">
        <v>23</v>
      </c>
      <c r="G112" s="12"/>
      <c r="H112" s="12"/>
      <c r="I112" s="12"/>
      <c r="J112" s="14"/>
      <c r="K112" s="12"/>
      <c r="L112" s="12" t="str">
        <f t="shared" si="1"/>
        <v/>
      </c>
      <c r="M112" s="12"/>
      <c r="N112" s="12"/>
      <c r="O112" s="47" t="s">
        <v>27</v>
      </c>
      <c r="P112" s="15"/>
      <c r="Q112" s="7"/>
      <c r="R112" s="7"/>
      <c r="S112" s="7"/>
      <c r="T112" s="8"/>
      <c r="U112" s="8"/>
    </row>
    <row r="113" spans="1:21">
      <c r="A113" s="37" t="s">
        <v>260</v>
      </c>
      <c r="B113" s="79" t="s">
        <v>261</v>
      </c>
      <c r="C113" s="39">
        <v>45852</v>
      </c>
      <c r="D113" s="40">
        <v>323572.09999999998</v>
      </c>
      <c r="E113" s="43" t="s">
        <v>30</v>
      </c>
      <c r="F113" s="42" t="s">
        <v>63</v>
      </c>
      <c r="G113" s="12"/>
      <c r="H113" s="12"/>
      <c r="I113" s="82">
        <v>45940</v>
      </c>
      <c r="J113" s="82">
        <v>45943</v>
      </c>
      <c r="K113" s="42">
        <v>90</v>
      </c>
      <c r="L113" s="82">
        <f t="shared" si="1"/>
        <v>46033</v>
      </c>
      <c r="M113" s="12"/>
      <c r="N113" s="12"/>
      <c r="O113" s="47" t="s">
        <v>27</v>
      </c>
      <c r="P113" s="15"/>
      <c r="Q113" s="7"/>
      <c r="R113" s="7"/>
      <c r="S113" s="7"/>
      <c r="T113" s="8"/>
      <c r="U113" s="8"/>
    </row>
    <row r="114" spans="1:21">
      <c r="A114" s="24" t="s">
        <v>262</v>
      </c>
      <c r="B114" s="25" t="s">
        <v>263</v>
      </c>
      <c r="C114" s="26">
        <v>45630</v>
      </c>
      <c r="D114" s="35">
        <v>2817</v>
      </c>
      <c r="E114" s="28" t="s">
        <v>18</v>
      </c>
      <c r="F114" s="32" t="s">
        <v>44</v>
      </c>
      <c r="G114" s="30"/>
      <c r="H114" s="30"/>
      <c r="I114" s="31">
        <v>45854</v>
      </c>
      <c r="J114" s="31">
        <v>45855</v>
      </c>
      <c r="K114" s="32">
        <v>30</v>
      </c>
      <c r="L114" s="31">
        <f t="shared" si="1"/>
        <v>45885</v>
      </c>
      <c r="M114" s="30"/>
      <c r="N114" s="31">
        <v>45870</v>
      </c>
      <c r="O114" s="33" t="s">
        <v>20</v>
      </c>
      <c r="P114" s="34"/>
      <c r="Q114" s="7"/>
      <c r="R114" s="7"/>
      <c r="S114" s="7"/>
      <c r="T114" s="8"/>
      <c r="U114" s="8"/>
    </row>
    <row r="115" spans="1:21">
      <c r="A115" s="37" t="s">
        <v>264</v>
      </c>
      <c r="B115" s="38" t="s">
        <v>265</v>
      </c>
      <c r="C115" s="39">
        <v>45856</v>
      </c>
      <c r="D115" s="40">
        <v>1650000</v>
      </c>
      <c r="E115" s="43" t="s">
        <v>30</v>
      </c>
      <c r="F115" s="42" t="s">
        <v>123</v>
      </c>
      <c r="G115" s="12"/>
      <c r="H115" s="12"/>
      <c r="I115" s="12"/>
      <c r="J115" s="14"/>
      <c r="K115" s="12"/>
      <c r="L115" s="12" t="str">
        <f t="shared" si="1"/>
        <v/>
      </c>
      <c r="M115" s="12"/>
      <c r="N115" s="12"/>
      <c r="O115" s="47" t="s">
        <v>27</v>
      </c>
      <c r="P115" s="15"/>
      <c r="Q115" s="7"/>
      <c r="R115" s="7"/>
      <c r="S115" s="7"/>
      <c r="T115" s="8"/>
      <c r="U115" s="8"/>
    </row>
    <row r="116" spans="1:21">
      <c r="A116" s="24" t="s">
        <v>266</v>
      </c>
      <c r="B116" s="25" t="s">
        <v>267</v>
      </c>
      <c r="C116" s="26">
        <v>45856</v>
      </c>
      <c r="D116" s="35">
        <v>44054</v>
      </c>
      <c r="E116" s="28" t="s">
        <v>18</v>
      </c>
      <c r="F116" s="29" t="s">
        <v>19</v>
      </c>
      <c r="G116" s="30"/>
      <c r="H116" s="30"/>
      <c r="I116" s="31">
        <v>45924</v>
      </c>
      <c r="J116" s="31">
        <v>45929</v>
      </c>
      <c r="K116" s="32">
        <v>81</v>
      </c>
      <c r="L116" s="31">
        <f t="shared" si="1"/>
        <v>46010</v>
      </c>
      <c r="M116" s="30"/>
      <c r="N116" s="36">
        <v>45972</v>
      </c>
      <c r="O116" s="33" t="s">
        <v>20</v>
      </c>
      <c r="P116" s="53" t="s">
        <v>268</v>
      </c>
      <c r="Q116" s="7"/>
      <c r="R116" s="7"/>
      <c r="S116" s="7"/>
      <c r="T116" s="8"/>
      <c r="U116" s="8"/>
    </row>
    <row r="117" spans="1:21">
      <c r="A117" s="24" t="s">
        <v>269</v>
      </c>
      <c r="B117" s="25" t="s">
        <v>270</v>
      </c>
      <c r="C117" s="26">
        <v>45861</v>
      </c>
      <c r="D117" s="35">
        <v>15880</v>
      </c>
      <c r="E117" s="28" t="s">
        <v>18</v>
      </c>
      <c r="F117" s="32" t="s">
        <v>63</v>
      </c>
      <c r="G117" s="30"/>
      <c r="H117" s="30"/>
      <c r="I117" s="30"/>
      <c r="J117" s="50"/>
      <c r="K117" s="30"/>
      <c r="L117" s="30" t="str">
        <f t="shared" si="1"/>
        <v/>
      </c>
      <c r="M117" s="30"/>
      <c r="N117" s="30"/>
      <c r="O117" s="51" t="s">
        <v>47</v>
      </c>
      <c r="P117" s="53" t="s">
        <v>271</v>
      </c>
      <c r="Q117" s="7"/>
      <c r="R117" s="7"/>
      <c r="S117" s="7"/>
      <c r="T117" s="8"/>
      <c r="U117" s="8"/>
    </row>
    <row r="118" spans="1:21">
      <c r="A118" s="24" t="s">
        <v>272</v>
      </c>
      <c r="B118" s="25" t="s">
        <v>93</v>
      </c>
      <c r="C118" s="26">
        <v>45861</v>
      </c>
      <c r="D118" s="35">
        <v>3177</v>
      </c>
      <c r="E118" s="28" t="s">
        <v>18</v>
      </c>
      <c r="F118" s="32" t="s">
        <v>44</v>
      </c>
      <c r="G118" s="30"/>
      <c r="H118" s="30"/>
      <c r="I118" s="31">
        <v>45880</v>
      </c>
      <c r="J118" s="31">
        <v>45881</v>
      </c>
      <c r="K118" s="32">
        <v>30</v>
      </c>
      <c r="L118" s="31">
        <f t="shared" si="1"/>
        <v>45911</v>
      </c>
      <c r="M118" s="30"/>
      <c r="N118" s="31">
        <v>45883</v>
      </c>
      <c r="O118" s="33" t="s">
        <v>20</v>
      </c>
      <c r="P118" s="34"/>
      <c r="Q118" s="7"/>
      <c r="R118" s="7"/>
      <c r="S118" s="7"/>
      <c r="T118" s="8"/>
      <c r="U118" s="8"/>
    </row>
    <row r="119" spans="1:21">
      <c r="A119" s="24" t="s">
        <v>273</v>
      </c>
      <c r="B119" s="25" t="s">
        <v>274</v>
      </c>
      <c r="C119" s="26">
        <v>45863</v>
      </c>
      <c r="D119" s="35">
        <v>4000</v>
      </c>
      <c r="E119" s="28" t="s">
        <v>18</v>
      </c>
      <c r="F119" s="32" t="s">
        <v>63</v>
      </c>
      <c r="G119" s="30"/>
      <c r="H119" s="30"/>
      <c r="I119" s="36">
        <v>45943</v>
      </c>
      <c r="J119" s="36">
        <v>45943</v>
      </c>
      <c r="K119" s="32">
        <v>30</v>
      </c>
      <c r="L119" s="36">
        <f t="shared" si="1"/>
        <v>45973</v>
      </c>
      <c r="M119" s="30"/>
      <c r="N119" s="36">
        <v>45989</v>
      </c>
      <c r="O119" s="33" t="s">
        <v>20</v>
      </c>
      <c r="P119" s="34"/>
      <c r="Q119" s="7"/>
      <c r="R119" s="7"/>
      <c r="S119" s="7"/>
      <c r="T119" s="8"/>
      <c r="U119" s="8"/>
    </row>
    <row r="120" spans="1:21">
      <c r="A120" s="24" t="s">
        <v>275</v>
      </c>
      <c r="B120" s="25" t="s">
        <v>276</v>
      </c>
      <c r="C120" s="26">
        <v>45866</v>
      </c>
      <c r="D120" s="35">
        <v>1641</v>
      </c>
      <c r="E120" s="28" t="s">
        <v>18</v>
      </c>
      <c r="F120" s="32" t="s">
        <v>63</v>
      </c>
      <c r="G120" s="30"/>
      <c r="H120" s="30"/>
      <c r="I120" s="31">
        <v>45896</v>
      </c>
      <c r="J120" s="31">
        <v>45903</v>
      </c>
      <c r="K120" s="32">
        <v>30</v>
      </c>
      <c r="L120" s="31">
        <f t="shared" si="1"/>
        <v>45933</v>
      </c>
      <c r="M120" s="30"/>
      <c r="N120" s="31">
        <v>45917</v>
      </c>
      <c r="O120" s="33" t="s">
        <v>20</v>
      </c>
      <c r="P120" s="53" t="s">
        <v>277</v>
      </c>
      <c r="Q120" s="7"/>
      <c r="R120" s="7"/>
      <c r="S120" s="7"/>
      <c r="T120" s="8"/>
      <c r="U120" s="8"/>
    </row>
    <row r="121" spans="1:21">
      <c r="A121" s="37" t="s">
        <v>278</v>
      </c>
      <c r="B121" s="38" t="s">
        <v>279</v>
      </c>
      <c r="C121" s="39">
        <v>45869</v>
      </c>
      <c r="D121" s="40">
        <v>538522.97</v>
      </c>
      <c r="E121" s="41" t="s">
        <v>18</v>
      </c>
      <c r="F121" s="42" t="s">
        <v>170</v>
      </c>
      <c r="G121" s="12"/>
      <c r="H121" s="82">
        <v>45974</v>
      </c>
      <c r="I121" s="82">
        <v>45985</v>
      </c>
      <c r="J121" s="83">
        <v>45986</v>
      </c>
      <c r="K121" s="42">
        <v>180</v>
      </c>
      <c r="L121" s="82">
        <f t="shared" si="1"/>
        <v>46166</v>
      </c>
      <c r="M121" s="12"/>
      <c r="N121" s="12"/>
      <c r="O121" s="47" t="s">
        <v>27</v>
      </c>
      <c r="P121" s="15"/>
      <c r="Q121" s="7"/>
      <c r="R121" s="7"/>
      <c r="S121" s="7"/>
      <c r="T121" s="8"/>
      <c r="U121" s="8"/>
    </row>
    <row r="122" spans="1:21">
      <c r="A122" s="37" t="s">
        <v>280</v>
      </c>
      <c r="B122" s="38" t="s">
        <v>281</v>
      </c>
      <c r="C122" s="39">
        <v>45873</v>
      </c>
      <c r="D122" s="40">
        <v>5600</v>
      </c>
      <c r="E122" s="41" t="s">
        <v>18</v>
      </c>
      <c r="F122" s="44" t="s">
        <v>19</v>
      </c>
      <c r="G122" s="12"/>
      <c r="H122" s="12"/>
      <c r="I122" s="45">
        <v>45923</v>
      </c>
      <c r="J122" s="45">
        <v>45924</v>
      </c>
      <c r="K122" s="42">
        <v>30</v>
      </c>
      <c r="L122" s="45">
        <f t="shared" si="1"/>
        <v>45954</v>
      </c>
      <c r="M122" s="82">
        <v>45975</v>
      </c>
      <c r="N122" s="12"/>
      <c r="O122" s="47" t="s">
        <v>27</v>
      </c>
      <c r="P122" s="49" t="s">
        <v>282</v>
      </c>
      <c r="Q122" s="7"/>
      <c r="R122" s="7"/>
      <c r="S122" s="7"/>
      <c r="T122" s="8"/>
      <c r="U122" s="8"/>
    </row>
    <row r="123" spans="1:21">
      <c r="A123" s="37" t="s">
        <v>283</v>
      </c>
      <c r="B123" s="38" t="s">
        <v>284</v>
      </c>
      <c r="C123" s="39">
        <v>45798</v>
      </c>
      <c r="D123" s="40">
        <v>41731.800000000003</v>
      </c>
      <c r="E123" s="41" t="s">
        <v>18</v>
      </c>
      <c r="F123" s="42" t="s">
        <v>44</v>
      </c>
      <c r="G123" s="12"/>
      <c r="H123" s="12"/>
      <c r="I123" s="12"/>
      <c r="J123" s="14"/>
      <c r="K123" s="12"/>
      <c r="L123" s="12" t="str">
        <f t="shared" si="1"/>
        <v/>
      </c>
      <c r="M123" s="12"/>
      <c r="N123" s="12"/>
      <c r="O123" s="47" t="s">
        <v>27</v>
      </c>
      <c r="P123" s="15"/>
      <c r="Q123" s="7"/>
      <c r="R123" s="7"/>
      <c r="S123" s="7"/>
      <c r="T123" s="8"/>
      <c r="U123" s="8"/>
    </row>
    <row r="124" spans="1:21">
      <c r="A124" s="37" t="s">
        <v>285</v>
      </c>
      <c r="B124" s="38" t="s">
        <v>286</v>
      </c>
      <c r="C124" s="39">
        <v>45798</v>
      </c>
      <c r="D124" s="40">
        <v>112916.07</v>
      </c>
      <c r="E124" s="41" t="s">
        <v>18</v>
      </c>
      <c r="F124" s="42" t="s">
        <v>44</v>
      </c>
      <c r="G124" s="12"/>
      <c r="H124" s="12"/>
      <c r="I124" s="12"/>
      <c r="J124" s="14"/>
      <c r="K124" s="12"/>
      <c r="L124" s="12" t="str">
        <f t="shared" si="1"/>
        <v/>
      </c>
      <c r="M124" s="12"/>
      <c r="N124" s="12"/>
      <c r="O124" s="47" t="s">
        <v>27</v>
      </c>
      <c r="P124" s="15"/>
      <c r="Q124" s="7"/>
      <c r="R124" s="7"/>
      <c r="S124" s="7"/>
      <c r="T124" s="8"/>
      <c r="U124" s="8"/>
    </row>
    <row r="125" spans="1:21">
      <c r="A125" s="37" t="s">
        <v>287</v>
      </c>
      <c r="B125" s="38" t="s">
        <v>288</v>
      </c>
      <c r="C125" s="39">
        <v>45798</v>
      </c>
      <c r="D125" s="40">
        <v>86613.78</v>
      </c>
      <c r="E125" s="41" t="s">
        <v>18</v>
      </c>
      <c r="F125" s="42" t="s">
        <v>44</v>
      </c>
      <c r="G125" s="12"/>
      <c r="H125" s="12"/>
      <c r="I125" s="12"/>
      <c r="J125" s="14"/>
      <c r="K125" s="12"/>
      <c r="L125" s="12" t="str">
        <f t="shared" si="1"/>
        <v/>
      </c>
      <c r="M125" s="12"/>
      <c r="N125" s="12"/>
      <c r="O125" s="47" t="s">
        <v>27</v>
      </c>
      <c r="P125" s="15"/>
      <c r="Q125" s="7"/>
      <c r="R125" s="7"/>
      <c r="S125" s="7"/>
      <c r="T125" s="8"/>
      <c r="U125" s="8"/>
    </row>
    <row r="126" spans="1:21">
      <c r="A126" s="37" t="s">
        <v>289</v>
      </c>
      <c r="B126" s="38" t="s">
        <v>290</v>
      </c>
      <c r="C126" s="39">
        <v>45798</v>
      </c>
      <c r="D126" s="40">
        <v>75344.070000000007</v>
      </c>
      <c r="E126" s="41" t="s">
        <v>18</v>
      </c>
      <c r="F126" s="42" t="s">
        <v>44</v>
      </c>
      <c r="G126" s="12"/>
      <c r="H126" s="12"/>
      <c r="I126" s="12"/>
      <c r="J126" s="14"/>
      <c r="K126" s="12"/>
      <c r="L126" s="12" t="str">
        <f t="shared" si="1"/>
        <v/>
      </c>
      <c r="M126" s="12"/>
      <c r="N126" s="12"/>
      <c r="O126" s="47" t="s">
        <v>27</v>
      </c>
      <c r="P126" s="15"/>
      <c r="Q126" s="7"/>
      <c r="R126" s="7"/>
      <c r="S126" s="7"/>
      <c r="T126" s="8"/>
      <c r="U126" s="8"/>
    </row>
    <row r="127" spans="1:21">
      <c r="A127" s="37" t="s">
        <v>291</v>
      </c>
      <c r="B127" s="38" t="s">
        <v>292</v>
      </c>
      <c r="C127" s="39">
        <v>45798</v>
      </c>
      <c r="D127" s="40">
        <v>46447.77</v>
      </c>
      <c r="E127" s="41" t="s">
        <v>18</v>
      </c>
      <c r="F127" s="42" t="s">
        <v>44</v>
      </c>
      <c r="G127" s="12"/>
      <c r="H127" s="12"/>
      <c r="I127" s="12"/>
      <c r="J127" s="14"/>
      <c r="K127" s="12"/>
      <c r="L127" s="12" t="str">
        <f t="shared" si="1"/>
        <v/>
      </c>
      <c r="M127" s="12"/>
      <c r="N127" s="12"/>
      <c r="O127" s="47" t="s">
        <v>27</v>
      </c>
      <c r="P127" s="15"/>
      <c r="Q127" s="7"/>
      <c r="R127" s="7"/>
      <c r="S127" s="7"/>
      <c r="T127" s="8"/>
      <c r="U127" s="8"/>
    </row>
    <row r="128" spans="1:21">
      <c r="A128" s="37" t="s">
        <v>293</v>
      </c>
      <c r="B128" s="38" t="s">
        <v>294</v>
      </c>
      <c r="C128" s="39">
        <v>45798</v>
      </c>
      <c r="D128" s="40">
        <v>73481.55</v>
      </c>
      <c r="E128" s="41" t="s">
        <v>18</v>
      </c>
      <c r="F128" s="42" t="s">
        <v>44</v>
      </c>
      <c r="G128" s="12"/>
      <c r="H128" s="12"/>
      <c r="I128" s="12"/>
      <c r="J128" s="14"/>
      <c r="K128" s="12"/>
      <c r="L128" s="12" t="str">
        <f t="shared" si="1"/>
        <v/>
      </c>
      <c r="M128" s="12"/>
      <c r="N128" s="12"/>
      <c r="O128" s="47" t="s">
        <v>27</v>
      </c>
      <c r="P128" s="15"/>
      <c r="Q128" s="7"/>
      <c r="R128" s="7"/>
      <c r="S128" s="7"/>
      <c r="T128" s="8"/>
      <c r="U128" s="8"/>
    </row>
    <row r="129" spans="1:21">
      <c r="A129" s="37" t="s">
        <v>295</v>
      </c>
      <c r="B129" s="38" t="s">
        <v>296</v>
      </c>
      <c r="C129" s="39">
        <v>45798</v>
      </c>
      <c r="D129" s="40">
        <v>41515.14</v>
      </c>
      <c r="E129" s="41" t="s">
        <v>18</v>
      </c>
      <c r="F129" s="42" t="s">
        <v>44</v>
      </c>
      <c r="G129" s="12"/>
      <c r="H129" s="12"/>
      <c r="I129" s="12"/>
      <c r="J129" s="14"/>
      <c r="K129" s="12"/>
      <c r="L129" s="12" t="str">
        <f t="shared" si="1"/>
        <v/>
      </c>
      <c r="M129" s="12"/>
      <c r="N129" s="12"/>
      <c r="O129" s="47" t="s">
        <v>27</v>
      </c>
      <c r="P129" s="15"/>
      <c r="Q129" s="7"/>
      <c r="R129" s="7"/>
      <c r="S129" s="7"/>
      <c r="T129" s="8"/>
      <c r="U129" s="8"/>
    </row>
    <row r="130" spans="1:21">
      <c r="A130" s="24" t="s">
        <v>297</v>
      </c>
      <c r="B130" s="71" t="s">
        <v>298</v>
      </c>
      <c r="C130" s="26">
        <v>45877</v>
      </c>
      <c r="D130" s="35">
        <v>1361</v>
      </c>
      <c r="E130" s="52" t="s">
        <v>30</v>
      </c>
      <c r="F130" s="29" t="s">
        <v>19</v>
      </c>
      <c r="G130" s="30"/>
      <c r="H130" s="30"/>
      <c r="I130" s="30"/>
      <c r="J130" s="50"/>
      <c r="K130" s="32">
        <v>30</v>
      </c>
      <c r="L130" s="32" t="str">
        <f t="shared" si="1"/>
        <v/>
      </c>
      <c r="M130" s="30"/>
      <c r="N130" s="30"/>
      <c r="O130" s="51" t="s">
        <v>47</v>
      </c>
      <c r="P130" s="53" t="s">
        <v>299</v>
      </c>
      <c r="Q130" s="7"/>
      <c r="R130" s="7"/>
      <c r="S130" s="7"/>
      <c r="T130" s="8"/>
      <c r="U130" s="8"/>
    </row>
    <row r="131" spans="1:21">
      <c r="A131" s="24" t="s">
        <v>300</v>
      </c>
      <c r="B131" s="71" t="s">
        <v>301</v>
      </c>
      <c r="C131" s="26">
        <v>45562</v>
      </c>
      <c r="D131" s="35">
        <v>23600</v>
      </c>
      <c r="E131" s="52" t="s">
        <v>30</v>
      </c>
      <c r="F131" s="32" t="s">
        <v>63</v>
      </c>
      <c r="G131" s="30"/>
      <c r="H131" s="36">
        <v>45618</v>
      </c>
      <c r="I131" s="31">
        <v>45632</v>
      </c>
      <c r="J131" s="31">
        <v>45632</v>
      </c>
      <c r="K131" s="32">
        <v>120</v>
      </c>
      <c r="L131" s="31">
        <f t="shared" si="1"/>
        <v>45752</v>
      </c>
      <c r="M131" s="30"/>
      <c r="N131" s="31">
        <v>45706</v>
      </c>
      <c r="O131" s="33" t="s">
        <v>20</v>
      </c>
      <c r="P131" s="34"/>
      <c r="Q131" s="7"/>
      <c r="R131" s="7"/>
      <c r="S131" s="7"/>
      <c r="T131" s="8"/>
      <c r="U131" s="8"/>
    </row>
    <row r="132" spans="1:21">
      <c r="A132" s="24" t="s">
        <v>302</v>
      </c>
      <c r="B132" s="71" t="s">
        <v>303</v>
      </c>
      <c r="C132" s="26">
        <v>45558</v>
      </c>
      <c r="D132" s="35">
        <v>21711.599999999999</v>
      </c>
      <c r="E132" s="52" t="s">
        <v>30</v>
      </c>
      <c r="F132" s="32" t="s">
        <v>63</v>
      </c>
      <c r="G132" s="30"/>
      <c r="H132" s="36">
        <v>45645</v>
      </c>
      <c r="I132" s="31">
        <v>45695</v>
      </c>
      <c r="J132" s="31">
        <v>45909</v>
      </c>
      <c r="K132" s="32">
        <v>180</v>
      </c>
      <c r="L132" s="31">
        <f t="shared" si="1"/>
        <v>46089</v>
      </c>
      <c r="M132" s="30"/>
      <c r="N132" s="36">
        <v>45932</v>
      </c>
      <c r="O132" s="33" t="s">
        <v>20</v>
      </c>
      <c r="P132" s="34"/>
      <c r="Q132" s="7"/>
      <c r="R132" s="7"/>
      <c r="S132" s="7"/>
      <c r="T132" s="8"/>
      <c r="U132" s="8"/>
    </row>
    <row r="133" spans="1:21">
      <c r="A133" s="37" t="s">
        <v>304</v>
      </c>
      <c r="B133" s="84" t="s">
        <v>305</v>
      </c>
      <c r="C133" s="39">
        <v>45882</v>
      </c>
      <c r="D133" s="40">
        <v>6790</v>
      </c>
      <c r="E133" s="43" t="s">
        <v>30</v>
      </c>
      <c r="F133" s="42" t="s">
        <v>170</v>
      </c>
      <c r="G133" s="12"/>
      <c r="H133" s="12"/>
      <c r="I133" s="82">
        <v>45974</v>
      </c>
      <c r="J133" s="82">
        <v>45980</v>
      </c>
      <c r="K133" s="42">
        <v>60</v>
      </c>
      <c r="L133" s="82">
        <f t="shared" si="1"/>
        <v>46040</v>
      </c>
      <c r="M133" s="12"/>
      <c r="N133" s="12"/>
      <c r="O133" s="47" t="s">
        <v>27</v>
      </c>
      <c r="P133" s="15"/>
      <c r="Q133" s="7"/>
      <c r="R133" s="7"/>
      <c r="S133" s="7"/>
      <c r="T133" s="8"/>
      <c r="U133" s="8"/>
    </row>
    <row r="134" spans="1:21">
      <c r="A134" s="24" t="s">
        <v>306</v>
      </c>
      <c r="B134" s="25" t="s">
        <v>307</v>
      </c>
      <c r="C134" s="26">
        <v>45883</v>
      </c>
      <c r="D134" s="35">
        <v>9280</v>
      </c>
      <c r="E134" s="28" t="s">
        <v>18</v>
      </c>
      <c r="F134" s="32" t="s">
        <v>63</v>
      </c>
      <c r="G134" s="30"/>
      <c r="H134" s="31">
        <v>45936</v>
      </c>
      <c r="I134" s="36">
        <v>45978</v>
      </c>
      <c r="J134" s="31">
        <v>45936</v>
      </c>
      <c r="K134" s="32">
        <v>60</v>
      </c>
      <c r="L134" s="31">
        <f t="shared" si="1"/>
        <v>45996</v>
      </c>
      <c r="M134" s="36">
        <v>45986</v>
      </c>
      <c r="N134" s="36">
        <v>45986</v>
      </c>
      <c r="O134" s="33" t="s">
        <v>20</v>
      </c>
      <c r="P134" s="34"/>
      <c r="Q134" s="7"/>
      <c r="R134" s="7"/>
      <c r="S134" s="7"/>
      <c r="T134" s="8"/>
      <c r="U134" s="8"/>
    </row>
    <row r="135" spans="1:21">
      <c r="A135" s="37" t="s">
        <v>308</v>
      </c>
      <c r="B135" s="78" t="s">
        <v>309</v>
      </c>
      <c r="C135" s="39">
        <v>45315</v>
      </c>
      <c r="D135" s="81">
        <v>2503120.12</v>
      </c>
      <c r="E135" s="43" t="s">
        <v>30</v>
      </c>
      <c r="F135" s="42" t="s">
        <v>23</v>
      </c>
      <c r="G135" s="45">
        <v>45756</v>
      </c>
      <c r="H135" s="45">
        <v>45870</v>
      </c>
      <c r="I135" s="45">
        <v>45883</v>
      </c>
      <c r="J135" s="45">
        <v>45883</v>
      </c>
      <c r="K135" s="42">
        <v>90</v>
      </c>
      <c r="L135" s="45">
        <f t="shared" si="1"/>
        <v>45973</v>
      </c>
      <c r="M135" s="12"/>
      <c r="N135" s="12"/>
      <c r="O135" s="47" t="s">
        <v>27</v>
      </c>
      <c r="P135" s="15"/>
      <c r="Q135" s="7"/>
      <c r="R135" s="7"/>
      <c r="S135" s="7"/>
      <c r="T135" s="8"/>
      <c r="U135" s="8"/>
    </row>
    <row r="136" spans="1:21">
      <c r="A136" s="37" t="s">
        <v>310</v>
      </c>
      <c r="B136" s="38" t="s">
        <v>311</v>
      </c>
      <c r="C136" s="39">
        <v>45882</v>
      </c>
      <c r="D136" s="40">
        <v>2355</v>
      </c>
      <c r="E136" s="41" t="s">
        <v>18</v>
      </c>
      <c r="F136" s="42" t="s">
        <v>63</v>
      </c>
      <c r="G136" s="12"/>
      <c r="H136" s="12"/>
      <c r="I136" s="45">
        <v>45967</v>
      </c>
      <c r="J136" s="82">
        <v>45972</v>
      </c>
      <c r="K136" s="42">
        <v>30</v>
      </c>
      <c r="L136" s="82">
        <f t="shared" si="1"/>
        <v>46002</v>
      </c>
      <c r="M136" s="12"/>
      <c r="N136" s="12"/>
      <c r="O136" s="47" t="s">
        <v>27</v>
      </c>
      <c r="P136" s="15"/>
      <c r="Q136" s="7"/>
      <c r="R136" s="7"/>
      <c r="S136" s="7"/>
      <c r="T136" s="8"/>
      <c r="U136" s="8"/>
    </row>
    <row r="137" spans="1:21">
      <c r="A137" s="24" t="s">
        <v>312</v>
      </c>
      <c r="B137" s="25" t="s">
        <v>313</v>
      </c>
      <c r="C137" s="26">
        <v>45888</v>
      </c>
      <c r="D137" s="35">
        <v>3234</v>
      </c>
      <c r="E137" s="28" t="s">
        <v>18</v>
      </c>
      <c r="F137" s="32" t="s">
        <v>63</v>
      </c>
      <c r="G137" s="30"/>
      <c r="H137" s="30"/>
      <c r="I137" s="31">
        <v>45925</v>
      </c>
      <c r="J137" s="31">
        <v>45929</v>
      </c>
      <c r="K137" s="32">
        <v>10</v>
      </c>
      <c r="L137" s="31">
        <f t="shared" si="1"/>
        <v>45939</v>
      </c>
      <c r="M137" s="30"/>
      <c r="N137" s="31">
        <v>45936</v>
      </c>
      <c r="O137" s="33" t="s">
        <v>20</v>
      </c>
      <c r="P137" s="34"/>
      <c r="Q137" s="7"/>
      <c r="R137" s="7"/>
      <c r="S137" s="7"/>
      <c r="T137" s="8"/>
      <c r="U137" s="8"/>
    </row>
    <row r="138" spans="1:21">
      <c r="A138" s="24" t="s">
        <v>314</v>
      </c>
      <c r="B138" s="25" t="s">
        <v>315</v>
      </c>
      <c r="C138" s="26">
        <v>45888</v>
      </c>
      <c r="D138" s="35">
        <v>53404.18</v>
      </c>
      <c r="E138" s="28" t="s">
        <v>18</v>
      </c>
      <c r="F138" s="32" t="s">
        <v>44</v>
      </c>
      <c r="G138" s="30"/>
      <c r="H138" s="36">
        <v>45945</v>
      </c>
      <c r="I138" s="36">
        <v>45953</v>
      </c>
      <c r="J138" s="36">
        <v>45954</v>
      </c>
      <c r="K138" s="32">
        <v>2</v>
      </c>
      <c r="L138" s="36">
        <f t="shared" si="1"/>
        <v>45956</v>
      </c>
      <c r="M138" s="30"/>
      <c r="N138" s="36">
        <v>45956</v>
      </c>
      <c r="O138" s="33" t="s">
        <v>20</v>
      </c>
      <c r="P138" s="34"/>
      <c r="Q138" s="7"/>
      <c r="R138" s="7"/>
      <c r="S138" s="7"/>
      <c r="T138" s="8"/>
      <c r="U138" s="8"/>
    </row>
    <row r="139" spans="1:21">
      <c r="A139" s="24" t="s">
        <v>316</v>
      </c>
      <c r="B139" s="25" t="s">
        <v>317</v>
      </c>
      <c r="C139" s="26">
        <v>45889</v>
      </c>
      <c r="D139" s="35">
        <v>1876357.8</v>
      </c>
      <c r="E139" s="52" t="s">
        <v>30</v>
      </c>
      <c r="F139" s="32" t="s">
        <v>23</v>
      </c>
      <c r="G139" s="30"/>
      <c r="H139" s="30"/>
      <c r="I139" s="30"/>
      <c r="J139" s="50"/>
      <c r="K139" s="30"/>
      <c r="L139" s="30" t="str">
        <f t="shared" si="1"/>
        <v/>
      </c>
      <c r="M139" s="30"/>
      <c r="N139" s="30"/>
      <c r="O139" s="51" t="s">
        <v>47</v>
      </c>
      <c r="P139" s="34"/>
      <c r="Q139" s="7"/>
      <c r="R139" s="7"/>
      <c r="S139" s="7"/>
      <c r="T139" s="8"/>
      <c r="U139" s="8"/>
    </row>
    <row r="140" spans="1:21">
      <c r="A140" s="24" t="s">
        <v>318</v>
      </c>
      <c r="B140" s="25" t="s">
        <v>319</v>
      </c>
      <c r="C140" s="26">
        <v>45889</v>
      </c>
      <c r="D140" s="35">
        <v>11200</v>
      </c>
      <c r="E140" s="28" t="s">
        <v>18</v>
      </c>
      <c r="F140" s="32" t="s">
        <v>44</v>
      </c>
      <c r="G140" s="30"/>
      <c r="H140" s="30"/>
      <c r="I140" s="31">
        <v>45905</v>
      </c>
      <c r="J140" s="31">
        <v>45909</v>
      </c>
      <c r="K140" s="32">
        <v>30</v>
      </c>
      <c r="L140" s="31">
        <f t="shared" si="1"/>
        <v>45939</v>
      </c>
      <c r="M140" s="30"/>
      <c r="N140" s="36">
        <v>45940</v>
      </c>
      <c r="O140" s="33" t="s">
        <v>20</v>
      </c>
      <c r="P140" s="34"/>
      <c r="Q140" s="7"/>
      <c r="R140" s="7"/>
      <c r="S140" s="7"/>
      <c r="T140" s="8"/>
      <c r="U140" s="8"/>
    </row>
    <row r="141" spans="1:21">
      <c r="A141" s="24" t="s">
        <v>320</v>
      </c>
      <c r="B141" s="85" t="s">
        <v>321</v>
      </c>
      <c r="C141" s="26">
        <v>45889</v>
      </c>
      <c r="D141" s="35">
        <v>1685780</v>
      </c>
      <c r="E141" s="52" t="s">
        <v>30</v>
      </c>
      <c r="F141" s="32" t="s">
        <v>123</v>
      </c>
      <c r="G141" s="30"/>
      <c r="H141" s="30"/>
      <c r="I141" s="30"/>
      <c r="J141" s="50"/>
      <c r="K141" s="30"/>
      <c r="L141" s="30" t="str">
        <f t="shared" si="1"/>
        <v/>
      </c>
      <c r="M141" s="30"/>
      <c r="N141" s="30"/>
      <c r="O141" s="51" t="s">
        <v>47</v>
      </c>
      <c r="P141" s="53" t="s">
        <v>322</v>
      </c>
      <c r="Q141" s="7"/>
      <c r="R141" s="7"/>
      <c r="S141" s="7"/>
      <c r="T141" s="8"/>
      <c r="U141" s="8"/>
    </row>
    <row r="142" spans="1:21">
      <c r="A142" s="24" t="s">
        <v>323</v>
      </c>
      <c r="B142" s="85" t="s">
        <v>324</v>
      </c>
      <c r="C142" s="26">
        <v>45890</v>
      </c>
      <c r="D142" s="35">
        <v>1005957.3</v>
      </c>
      <c r="E142" s="52" t="s">
        <v>30</v>
      </c>
      <c r="F142" s="32" t="s">
        <v>123</v>
      </c>
      <c r="G142" s="30"/>
      <c r="H142" s="30"/>
      <c r="I142" s="30"/>
      <c r="J142" s="50"/>
      <c r="K142" s="30"/>
      <c r="L142" s="30" t="str">
        <f t="shared" si="1"/>
        <v/>
      </c>
      <c r="M142" s="30"/>
      <c r="N142" s="30"/>
      <c r="O142" s="51" t="s">
        <v>47</v>
      </c>
      <c r="P142" s="53" t="s">
        <v>325</v>
      </c>
      <c r="Q142" s="7"/>
      <c r="R142" s="7"/>
      <c r="S142" s="7"/>
      <c r="T142" s="8"/>
      <c r="U142" s="8"/>
    </row>
    <row r="143" spans="1:21">
      <c r="A143" s="37" t="s">
        <v>326</v>
      </c>
      <c r="B143" s="79" t="s">
        <v>327</v>
      </c>
      <c r="C143" s="39">
        <v>45890</v>
      </c>
      <c r="D143" s="40">
        <v>29600</v>
      </c>
      <c r="E143" s="43" t="s">
        <v>30</v>
      </c>
      <c r="F143" s="42" t="s">
        <v>63</v>
      </c>
      <c r="G143" s="12"/>
      <c r="H143" s="82">
        <v>45975</v>
      </c>
      <c r="I143" s="82">
        <v>45986</v>
      </c>
      <c r="J143" s="82">
        <v>45975</v>
      </c>
      <c r="K143" s="42">
        <v>180</v>
      </c>
      <c r="L143" s="45">
        <f t="shared" si="1"/>
        <v>46155</v>
      </c>
      <c r="M143" s="46">
        <v>46127</v>
      </c>
      <c r="N143" s="12"/>
      <c r="O143" s="47" t="s">
        <v>27</v>
      </c>
      <c r="P143" s="15"/>
      <c r="Q143" s="7"/>
      <c r="R143" s="7"/>
      <c r="S143" s="7"/>
      <c r="T143" s="8"/>
      <c r="U143" s="8"/>
    </row>
    <row r="144" spans="1:21">
      <c r="A144" s="37" t="s">
        <v>328</v>
      </c>
      <c r="B144" s="79" t="s">
        <v>329</v>
      </c>
      <c r="C144" s="39">
        <v>45887</v>
      </c>
      <c r="D144" s="40">
        <v>681597.98</v>
      </c>
      <c r="E144" s="43" t="s">
        <v>30</v>
      </c>
      <c r="F144" s="42" t="s">
        <v>123</v>
      </c>
      <c r="G144" s="12"/>
      <c r="H144" s="82">
        <v>45980</v>
      </c>
      <c r="I144" s="82">
        <v>45989</v>
      </c>
      <c r="J144" s="82">
        <v>45980</v>
      </c>
      <c r="K144" s="42">
        <v>180</v>
      </c>
      <c r="L144" s="45">
        <f t="shared" si="1"/>
        <v>46160</v>
      </c>
      <c r="M144" s="68">
        <v>46127</v>
      </c>
      <c r="N144" s="12"/>
      <c r="O144" s="47" t="s">
        <v>27</v>
      </c>
      <c r="P144" s="15"/>
      <c r="Q144" s="7"/>
      <c r="R144" s="7"/>
      <c r="S144" s="7"/>
      <c r="T144" s="8"/>
      <c r="U144" s="8"/>
    </row>
    <row r="145" spans="1:21">
      <c r="A145" s="37" t="s">
        <v>330</v>
      </c>
      <c r="B145" s="79" t="s">
        <v>331</v>
      </c>
      <c r="C145" s="39">
        <v>45890</v>
      </c>
      <c r="D145" s="40">
        <v>60699.75</v>
      </c>
      <c r="E145" s="43" t="s">
        <v>30</v>
      </c>
      <c r="F145" s="42" t="s">
        <v>123</v>
      </c>
      <c r="G145" s="12"/>
      <c r="H145" s="45">
        <v>45939</v>
      </c>
      <c r="I145" s="82">
        <v>45974</v>
      </c>
      <c r="J145" s="82">
        <v>45943</v>
      </c>
      <c r="K145" s="42">
        <v>120</v>
      </c>
      <c r="L145" s="45">
        <f t="shared" si="1"/>
        <v>46063</v>
      </c>
      <c r="M145" s="68">
        <v>46037</v>
      </c>
      <c r="N145" s="12"/>
      <c r="O145" s="47" t="s">
        <v>27</v>
      </c>
      <c r="P145" s="15"/>
      <c r="Q145" s="7"/>
      <c r="R145" s="7"/>
      <c r="S145" s="7"/>
      <c r="T145" s="8"/>
      <c r="U145" s="8"/>
    </row>
    <row r="146" spans="1:21">
      <c r="A146" s="86" t="s">
        <v>332</v>
      </c>
      <c r="B146" s="79" t="s">
        <v>333</v>
      </c>
      <c r="C146" s="39">
        <v>45929</v>
      </c>
      <c r="D146" s="40">
        <v>49913.69</v>
      </c>
      <c r="E146" s="41" t="s">
        <v>18</v>
      </c>
      <c r="F146" s="44" t="s">
        <v>19</v>
      </c>
      <c r="G146" s="12"/>
      <c r="H146" s="12"/>
      <c r="I146" s="82">
        <v>45971</v>
      </c>
      <c r="J146" s="82">
        <v>45986</v>
      </c>
      <c r="K146" s="42">
        <v>60</v>
      </c>
      <c r="L146" s="45">
        <f t="shared" si="1"/>
        <v>46046</v>
      </c>
      <c r="M146" s="12"/>
      <c r="N146" s="12"/>
      <c r="O146" s="47" t="s">
        <v>27</v>
      </c>
      <c r="P146" s="15"/>
      <c r="Q146" s="7"/>
      <c r="R146" s="7"/>
      <c r="S146" s="7"/>
      <c r="T146" s="8"/>
      <c r="U146" s="8"/>
    </row>
    <row r="147" spans="1:21">
      <c r="A147" s="86" t="s">
        <v>334</v>
      </c>
      <c r="B147" s="79" t="s">
        <v>335</v>
      </c>
      <c r="C147" s="39">
        <v>45901</v>
      </c>
      <c r="D147" s="40">
        <v>990000</v>
      </c>
      <c r="E147" s="43" t="s">
        <v>30</v>
      </c>
      <c r="F147" s="42" t="s">
        <v>26</v>
      </c>
      <c r="G147" s="12"/>
      <c r="H147" s="12"/>
      <c r="I147" s="12"/>
      <c r="J147" s="14"/>
      <c r="K147" s="12"/>
      <c r="L147" s="12" t="str">
        <f t="shared" si="1"/>
        <v/>
      </c>
      <c r="M147" s="12"/>
      <c r="N147" s="12"/>
      <c r="O147" s="47" t="s">
        <v>27</v>
      </c>
      <c r="P147" s="15"/>
      <c r="Q147" s="7"/>
      <c r="R147" s="7"/>
      <c r="S147" s="7"/>
      <c r="T147" s="8"/>
      <c r="U147" s="8"/>
    </row>
    <row r="148" spans="1:21">
      <c r="A148" s="37" t="s">
        <v>336</v>
      </c>
      <c r="B148" s="79" t="s">
        <v>337</v>
      </c>
      <c r="C148" s="39">
        <v>45904</v>
      </c>
      <c r="D148" s="40">
        <v>345421.81</v>
      </c>
      <c r="E148" s="41" t="s">
        <v>18</v>
      </c>
      <c r="F148" s="42" t="s">
        <v>123</v>
      </c>
      <c r="G148" s="12"/>
      <c r="H148" s="12"/>
      <c r="I148" s="12"/>
      <c r="J148" s="14"/>
      <c r="K148" s="12"/>
      <c r="L148" s="12" t="str">
        <f t="shared" si="1"/>
        <v/>
      </c>
      <c r="M148" s="12"/>
      <c r="N148" s="12"/>
      <c r="O148" s="47" t="s">
        <v>27</v>
      </c>
      <c r="P148" s="15"/>
      <c r="Q148" s="7"/>
      <c r="R148" s="7"/>
      <c r="S148" s="7"/>
      <c r="T148" s="8"/>
      <c r="U148" s="8"/>
    </row>
    <row r="149" spans="1:21">
      <c r="A149" s="37" t="s">
        <v>338</v>
      </c>
      <c r="B149" s="79" t="s">
        <v>339</v>
      </c>
      <c r="C149" s="39">
        <v>45807</v>
      </c>
      <c r="D149" s="40">
        <v>97250.5</v>
      </c>
      <c r="E149" s="41" t="s">
        <v>18</v>
      </c>
      <c r="F149" s="42" t="s">
        <v>44</v>
      </c>
      <c r="G149" s="12"/>
      <c r="H149" s="12"/>
      <c r="I149" s="12"/>
      <c r="J149" s="14"/>
      <c r="K149" s="12"/>
      <c r="L149" s="12" t="str">
        <f t="shared" si="1"/>
        <v/>
      </c>
      <c r="M149" s="12"/>
      <c r="N149" s="12"/>
      <c r="O149" s="47" t="s">
        <v>27</v>
      </c>
      <c r="P149" s="15"/>
      <c r="Q149" s="7"/>
      <c r="R149" s="7"/>
      <c r="S149" s="7"/>
      <c r="T149" s="8"/>
      <c r="U149" s="8"/>
    </row>
    <row r="150" spans="1:21">
      <c r="A150" s="37" t="s">
        <v>340</v>
      </c>
      <c r="B150" s="79" t="s">
        <v>341</v>
      </c>
      <c r="C150" s="39">
        <v>45910</v>
      </c>
      <c r="D150" s="40">
        <v>60703.44</v>
      </c>
      <c r="E150" s="41" t="s">
        <v>18</v>
      </c>
      <c r="F150" s="42" t="s">
        <v>44</v>
      </c>
      <c r="G150" s="12"/>
      <c r="H150" s="12"/>
      <c r="I150" s="82">
        <v>45985</v>
      </c>
      <c r="J150" s="82">
        <v>45986</v>
      </c>
      <c r="K150" s="42">
        <v>30</v>
      </c>
      <c r="L150" s="82">
        <f t="shared" si="1"/>
        <v>46016</v>
      </c>
      <c r="M150" s="12"/>
      <c r="N150" s="12"/>
      <c r="O150" s="47" t="s">
        <v>27</v>
      </c>
      <c r="P150" s="42" t="s">
        <v>342</v>
      </c>
      <c r="Q150" s="7"/>
      <c r="R150" s="7"/>
      <c r="S150" s="7"/>
      <c r="T150" s="8"/>
      <c r="U150" s="8"/>
    </row>
    <row r="151" spans="1:21">
      <c r="A151" s="24" t="s">
        <v>343</v>
      </c>
      <c r="B151" s="25" t="s">
        <v>344</v>
      </c>
      <c r="C151" s="26">
        <v>45911</v>
      </c>
      <c r="D151" s="35">
        <v>56473.2</v>
      </c>
      <c r="E151" s="28" t="s">
        <v>18</v>
      </c>
      <c r="F151" s="32" t="s">
        <v>44</v>
      </c>
      <c r="G151" s="30"/>
      <c r="H151" s="30"/>
      <c r="I151" s="36">
        <v>45985</v>
      </c>
      <c r="J151" s="36">
        <v>45986</v>
      </c>
      <c r="K151" s="32">
        <v>30</v>
      </c>
      <c r="L151" s="36">
        <f t="shared" si="1"/>
        <v>46016</v>
      </c>
      <c r="M151" s="30"/>
      <c r="N151" s="36">
        <v>45989</v>
      </c>
      <c r="O151" s="33" t="s">
        <v>20</v>
      </c>
      <c r="P151" s="34"/>
      <c r="Q151" s="7"/>
      <c r="R151" s="7"/>
      <c r="S151" s="7"/>
      <c r="T151" s="8"/>
      <c r="U151" s="8"/>
    </row>
    <row r="152" spans="1:21">
      <c r="A152" s="37" t="s">
        <v>345</v>
      </c>
      <c r="B152" s="38" t="s">
        <v>346</v>
      </c>
      <c r="C152" s="39">
        <v>45912</v>
      </c>
      <c r="D152" s="40">
        <v>30044.77</v>
      </c>
      <c r="E152" s="43" t="s">
        <v>30</v>
      </c>
      <c r="F152" s="44" t="s">
        <v>19</v>
      </c>
      <c r="G152" s="12"/>
      <c r="H152" s="12"/>
      <c r="I152" s="12"/>
      <c r="J152" s="14"/>
      <c r="K152" s="12"/>
      <c r="L152" s="12" t="str">
        <f t="shared" si="1"/>
        <v/>
      </c>
      <c r="M152" s="12"/>
      <c r="N152" s="12"/>
      <c r="O152" s="47" t="s">
        <v>27</v>
      </c>
      <c r="P152" s="15"/>
      <c r="Q152" s="7"/>
      <c r="R152" s="7"/>
      <c r="S152" s="7"/>
      <c r="T152" s="8"/>
      <c r="U152" s="8"/>
    </row>
    <row r="153" spans="1:21">
      <c r="A153" s="37" t="s">
        <v>347</v>
      </c>
      <c r="B153" s="38" t="s">
        <v>348</v>
      </c>
      <c r="C153" s="39">
        <v>45916</v>
      </c>
      <c r="D153" s="40">
        <v>1685780</v>
      </c>
      <c r="E153" s="43" t="s">
        <v>30</v>
      </c>
      <c r="F153" s="42" t="s">
        <v>170</v>
      </c>
      <c r="G153" s="12"/>
      <c r="H153" s="82">
        <v>45972</v>
      </c>
      <c r="I153" s="82">
        <v>45979</v>
      </c>
      <c r="J153" s="82">
        <v>45972</v>
      </c>
      <c r="K153" s="42">
        <v>180</v>
      </c>
      <c r="L153" s="82">
        <f t="shared" si="1"/>
        <v>46152</v>
      </c>
      <c r="M153" s="68">
        <v>46127</v>
      </c>
      <c r="N153" s="12"/>
      <c r="O153" s="47" t="s">
        <v>27</v>
      </c>
      <c r="P153" s="15"/>
      <c r="Q153" s="7"/>
      <c r="R153" s="7"/>
      <c r="S153" s="7"/>
      <c r="T153" s="8"/>
      <c r="U153" s="8"/>
    </row>
    <row r="154" spans="1:21">
      <c r="A154" s="24" t="s">
        <v>349</v>
      </c>
      <c r="B154" s="25" t="s">
        <v>350</v>
      </c>
      <c r="C154" s="26">
        <v>45916</v>
      </c>
      <c r="D154" s="35">
        <v>1250</v>
      </c>
      <c r="E154" s="28" t="s">
        <v>18</v>
      </c>
      <c r="F154" s="32" t="s">
        <v>63</v>
      </c>
      <c r="G154" s="30"/>
      <c r="H154" s="30"/>
      <c r="I154" s="36">
        <v>45952</v>
      </c>
      <c r="J154" s="36">
        <v>45954</v>
      </c>
      <c r="K154" s="32">
        <v>10</v>
      </c>
      <c r="L154" s="36">
        <f t="shared" si="1"/>
        <v>45964</v>
      </c>
      <c r="M154" s="30"/>
      <c r="N154" s="31">
        <v>45965</v>
      </c>
      <c r="O154" s="33" t="s">
        <v>20</v>
      </c>
      <c r="P154" s="34"/>
      <c r="Q154" s="7"/>
      <c r="R154" s="7"/>
      <c r="S154" s="7"/>
      <c r="T154" s="8"/>
      <c r="U154" s="8"/>
    </row>
    <row r="155" spans="1:21">
      <c r="A155" s="37" t="s">
        <v>351</v>
      </c>
      <c r="B155" s="38" t="s">
        <v>352</v>
      </c>
      <c r="C155" s="39">
        <v>45922</v>
      </c>
      <c r="D155" s="40">
        <v>761785</v>
      </c>
      <c r="E155" s="41" t="s">
        <v>18</v>
      </c>
      <c r="F155" s="42" t="s">
        <v>63</v>
      </c>
      <c r="G155" s="12"/>
      <c r="H155" s="12"/>
      <c r="I155" s="12"/>
      <c r="J155" s="14"/>
      <c r="K155" s="12"/>
      <c r="L155" s="12" t="str">
        <f t="shared" si="1"/>
        <v/>
      </c>
      <c r="M155" s="12"/>
      <c r="N155" s="12"/>
      <c r="O155" s="47" t="s">
        <v>27</v>
      </c>
      <c r="P155" s="15"/>
      <c r="Q155" s="7"/>
      <c r="R155" s="7"/>
      <c r="S155" s="7"/>
      <c r="T155" s="8"/>
      <c r="U155" s="8"/>
    </row>
    <row r="156" spans="1:21">
      <c r="A156" s="37" t="s">
        <v>353</v>
      </c>
      <c r="B156" s="38" t="s">
        <v>354</v>
      </c>
      <c r="C156" s="39">
        <v>45922</v>
      </c>
      <c r="D156" s="40">
        <v>44696</v>
      </c>
      <c r="E156" s="41" t="s">
        <v>18</v>
      </c>
      <c r="F156" s="42" t="s">
        <v>123</v>
      </c>
      <c r="G156" s="12"/>
      <c r="H156" s="12"/>
      <c r="I156" s="12"/>
      <c r="J156" s="14"/>
      <c r="K156" s="12"/>
      <c r="L156" s="12" t="str">
        <f t="shared" si="1"/>
        <v/>
      </c>
      <c r="M156" s="12"/>
      <c r="N156" s="12"/>
      <c r="O156" s="47" t="s">
        <v>27</v>
      </c>
      <c r="P156" s="15"/>
      <c r="Q156" s="7"/>
      <c r="R156" s="7"/>
      <c r="S156" s="7"/>
      <c r="T156" s="8"/>
      <c r="U156" s="8"/>
    </row>
    <row r="157" spans="1:21">
      <c r="A157" s="24" t="s">
        <v>355</v>
      </c>
      <c r="B157" s="25" t="s">
        <v>356</v>
      </c>
      <c r="C157" s="26">
        <v>45925</v>
      </c>
      <c r="D157" s="35">
        <v>3300000</v>
      </c>
      <c r="E157" s="52" t="s">
        <v>30</v>
      </c>
      <c r="F157" s="32" t="s">
        <v>123</v>
      </c>
      <c r="G157" s="30"/>
      <c r="H157" s="30"/>
      <c r="I157" s="30"/>
      <c r="J157" s="50"/>
      <c r="K157" s="30"/>
      <c r="L157" s="30" t="str">
        <f t="shared" si="1"/>
        <v/>
      </c>
      <c r="M157" s="30"/>
      <c r="N157" s="30"/>
      <c r="O157" s="51" t="s">
        <v>47</v>
      </c>
      <c r="P157" s="53" t="s">
        <v>357</v>
      </c>
      <c r="Q157" s="7"/>
      <c r="R157" s="7"/>
      <c r="S157" s="7"/>
      <c r="T157" s="8"/>
      <c r="U157" s="8"/>
    </row>
    <row r="158" spans="1:21">
      <c r="A158" s="37" t="s">
        <v>358</v>
      </c>
      <c r="B158" s="38" t="s">
        <v>359</v>
      </c>
      <c r="C158" s="39">
        <v>45926</v>
      </c>
      <c r="D158" s="40">
        <v>9420</v>
      </c>
      <c r="E158" s="41" t="s">
        <v>18</v>
      </c>
      <c r="F158" s="44" t="s">
        <v>19</v>
      </c>
      <c r="G158" s="12"/>
      <c r="H158" s="12"/>
      <c r="I158" s="12"/>
      <c r="J158" s="14"/>
      <c r="K158" s="12"/>
      <c r="L158" s="12" t="str">
        <f t="shared" si="1"/>
        <v/>
      </c>
      <c r="M158" s="12"/>
      <c r="N158" s="12"/>
      <c r="O158" s="47" t="s">
        <v>27</v>
      </c>
      <c r="P158" s="15"/>
      <c r="Q158" s="7"/>
      <c r="R158" s="7"/>
      <c r="S158" s="7"/>
      <c r="T158" s="8"/>
      <c r="U158" s="8"/>
    </row>
    <row r="159" spans="1:21">
      <c r="A159" s="37" t="s">
        <v>360</v>
      </c>
      <c r="B159" s="79" t="s">
        <v>361</v>
      </c>
      <c r="C159" s="39">
        <v>45808</v>
      </c>
      <c r="D159" s="40">
        <v>37837.58</v>
      </c>
      <c r="E159" s="41" t="s">
        <v>18</v>
      </c>
      <c r="F159" s="42" t="s">
        <v>44</v>
      </c>
      <c r="G159" s="12"/>
      <c r="H159" s="12"/>
      <c r="I159" s="12"/>
      <c r="J159" s="14"/>
      <c r="K159" s="12"/>
      <c r="L159" s="12" t="str">
        <f t="shared" si="1"/>
        <v/>
      </c>
      <c r="M159" s="12"/>
      <c r="N159" s="12"/>
      <c r="O159" s="47" t="s">
        <v>27</v>
      </c>
      <c r="P159" s="15"/>
      <c r="Q159" s="7"/>
      <c r="R159" s="7"/>
      <c r="S159" s="7"/>
      <c r="T159" s="8"/>
      <c r="U159" s="8"/>
    </row>
    <row r="160" spans="1:21">
      <c r="A160" s="37" t="s">
        <v>362</v>
      </c>
      <c r="B160" s="38" t="s">
        <v>363</v>
      </c>
      <c r="C160" s="39">
        <v>45931</v>
      </c>
      <c r="D160" s="40">
        <v>110684.32</v>
      </c>
      <c r="E160" s="41" t="s">
        <v>18</v>
      </c>
      <c r="F160" s="42" t="s">
        <v>44</v>
      </c>
      <c r="G160" s="12"/>
      <c r="H160" s="12"/>
      <c r="I160" s="12"/>
      <c r="J160" s="14"/>
      <c r="K160" s="12"/>
      <c r="L160" s="12" t="str">
        <f t="shared" si="1"/>
        <v/>
      </c>
      <c r="M160" s="12"/>
      <c r="N160" s="12"/>
      <c r="O160" s="47" t="s">
        <v>27</v>
      </c>
      <c r="P160" s="15"/>
      <c r="Q160" s="7"/>
      <c r="R160" s="7"/>
      <c r="S160" s="7"/>
      <c r="T160" s="8"/>
      <c r="U160" s="8"/>
    </row>
    <row r="161" spans="1:21">
      <c r="A161" s="37" t="s">
        <v>364</v>
      </c>
      <c r="B161" s="38" t="s">
        <v>365</v>
      </c>
      <c r="C161" s="39">
        <v>45916</v>
      </c>
      <c r="D161" s="40">
        <v>24981.91</v>
      </c>
      <c r="E161" s="41" t="s">
        <v>18</v>
      </c>
      <c r="F161" s="44" t="s">
        <v>19</v>
      </c>
      <c r="G161" s="12"/>
      <c r="H161" s="12"/>
      <c r="I161" s="12"/>
      <c r="J161" s="14"/>
      <c r="K161" s="12"/>
      <c r="L161" s="12" t="str">
        <f t="shared" si="1"/>
        <v/>
      </c>
      <c r="M161" s="12"/>
      <c r="N161" s="12"/>
      <c r="O161" s="47" t="s">
        <v>27</v>
      </c>
      <c r="P161" s="15"/>
      <c r="Q161" s="7"/>
      <c r="R161" s="7"/>
      <c r="S161" s="7"/>
      <c r="T161" s="8"/>
      <c r="U161" s="8"/>
    </row>
    <row r="162" spans="1:21">
      <c r="A162" s="37" t="s">
        <v>366</v>
      </c>
      <c r="B162" s="38" t="s">
        <v>367</v>
      </c>
      <c r="C162" s="39">
        <v>45932</v>
      </c>
      <c r="D162" s="40">
        <v>153208.04999999999</v>
      </c>
      <c r="E162" s="41" t="s">
        <v>18</v>
      </c>
      <c r="F162" s="42" t="s">
        <v>44</v>
      </c>
      <c r="G162" s="12"/>
      <c r="H162" s="12"/>
      <c r="I162" s="12"/>
      <c r="J162" s="14"/>
      <c r="K162" s="12"/>
      <c r="L162" s="12" t="str">
        <f t="shared" si="1"/>
        <v/>
      </c>
      <c r="M162" s="12"/>
      <c r="N162" s="12"/>
      <c r="O162" s="47" t="s">
        <v>27</v>
      </c>
      <c r="P162" s="15"/>
      <c r="Q162" s="7"/>
      <c r="R162" s="7"/>
      <c r="S162" s="7"/>
      <c r="T162" s="8"/>
      <c r="U162" s="8"/>
    </row>
    <row r="163" spans="1:21">
      <c r="A163" s="37" t="s">
        <v>368</v>
      </c>
      <c r="B163" s="79" t="s">
        <v>369</v>
      </c>
      <c r="C163" s="39">
        <v>45933</v>
      </c>
      <c r="D163" s="40">
        <v>1036731.47</v>
      </c>
      <c r="E163" s="41" t="s">
        <v>18</v>
      </c>
      <c r="F163" s="42" t="s">
        <v>26</v>
      </c>
      <c r="G163" s="12"/>
      <c r="H163" s="12"/>
      <c r="I163" s="12"/>
      <c r="J163" s="14"/>
      <c r="K163" s="42">
        <v>5</v>
      </c>
      <c r="L163" s="42" t="str">
        <f t="shared" si="1"/>
        <v/>
      </c>
      <c r="M163" s="12"/>
      <c r="N163" s="12"/>
      <c r="O163" s="47" t="s">
        <v>27</v>
      </c>
      <c r="P163" s="15"/>
      <c r="Q163" s="7"/>
      <c r="R163" s="7"/>
      <c r="S163" s="7"/>
      <c r="T163" s="8"/>
      <c r="U163" s="8"/>
    </row>
    <row r="164" spans="1:21">
      <c r="A164" s="24" t="s">
        <v>370</v>
      </c>
      <c r="B164" s="25" t="s">
        <v>93</v>
      </c>
      <c r="C164" s="26">
        <v>45937</v>
      </c>
      <c r="D164" s="35">
        <v>2257.85</v>
      </c>
      <c r="E164" s="28" t="s">
        <v>18</v>
      </c>
      <c r="F164" s="32" t="s">
        <v>44</v>
      </c>
      <c r="G164" s="30"/>
      <c r="H164" s="30"/>
      <c r="I164" s="36">
        <v>45947</v>
      </c>
      <c r="J164" s="36">
        <v>45951</v>
      </c>
      <c r="K164" s="32">
        <v>30</v>
      </c>
      <c r="L164" s="36">
        <f t="shared" si="1"/>
        <v>45981</v>
      </c>
      <c r="M164" s="30"/>
      <c r="N164" s="87">
        <v>45987</v>
      </c>
      <c r="O164" s="88" t="s">
        <v>20</v>
      </c>
      <c r="P164" s="53"/>
      <c r="Q164" s="7"/>
      <c r="R164" s="7"/>
      <c r="S164" s="7"/>
      <c r="T164" s="8"/>
      <c r="U164" s="8"/>
    </row>
    <row r="165" spans="1:21">
      <c r="A165" s="37" t="s">
        <v>371</v>
      </c>
      <c r="B165" s="38" t="s">
        <v>372</v>
      </c>
      <c r="C165" s="39">
        <v>45938</v>
      </c>
      <c r="D165" s="40">
        <v>6047.75</v>
      </c>
      <c r="E165" s="41" t="s">
        <v>18</v>
      </c>
      <c r="F165" s="42" t="s">
        <v>44</v>
      </c>
      <c r="G165" s="12"/>
      <c r="H165" s="12"/>
      <c r="I165" s="82">
        <v>45960</v>
      </c>
      <c r="J165" s="45">
        <v>45966</v>
      </c>
      <c r="K165" s="42">
        <v>30</v>
      </c>
      <c r="L165" s="45">
        <f t="shared" si="1"/>
        <v>45996</v>
      </c>
      <c r="M165" s="12"/>
      <c r="N165" s="12"/>
      <c r="O165" s="47" t="s">
        <v>27</v>
      </c>
      <c r="P165" s="49" t="s">
        <v>373</v>
      </c>
      <c r="Q165" s="7"/>
      <c r="R165" s="7"/>
      <c r="S165" s="7"/>
      <c r="T165" s="8"/>
      <c r="U165" s="8"/>
    </row>
    <row r="166" spans="1:21">
      <c r="A166" s="37" t="s">
        <v>374</v>
      </c>
      <c r="B166" s="38" t="s">
        <v>375</v>
      </c>
      <c r="C166" s="39">
        <v>45890</v>
      </c>
      <c r="D166" s="40">
        <v>27034</v>
      </c>
      <c r="E166" s="43" t="s">
        <v>30</v>
      </c>
      <c r="F166" s="42" t="s">
        <v>123</v>
      </c>
      <c r="G166" s="12"/>
      <c r="H166" s="82">
        <v>45975</v>
      </c>
      <c r="I166" s="82">
        <v>45987</v>
      </c>
      <c r="J166" s="82">
        <v>45975</v>
      </c>
      <c r="K166" s="42">
        <v>30</v>
      </c>
      <c r="L166" s="82">
        <f t="shared" si="1"/>
        <v>46005</v>
      </c>
      <c r="M166" s="12"/>
      <c r="N166" s="12"/>
      <c r="O166" s="47" t="s">
        <v>27</v>
      </c>
      <c r="P166" s="15"/>
      <c r="Q166" s="7"/>
      <c r="R166" s="7"/>
      <c r="S166" s="7"/>
      <c r="T166" s="8"/>
      <c r="U166" s="8"/>
    </row>
    <row r="167" spans="1:21">
      <c r="A167" s="24" t="s">
        <v>376</v>
      </c>
      <c r="B167" s="25" t="s">
        <v>377</v>
      </c>
      <c r="C167" s="26">
        <v>45939</v>
      </c>
      <c r="D167" s="35">
        <v>5397.3</v>
      </c>
      <c r="E167" s="28" t="s">
        <v>18</v>
      </c>
      <c r="F167" s="32" t="s">
        <v>44</v>
      </c>
      <c r="G167" s="30"/>
      <c r="H167" s="30"/>
      <c r="I167" s="36">
        <v>45953</v>
      </c>
      <c r="J167" s="36">
        <v>45954</v>
      </c>
      <c r="K167" s="32">
        <v>30</v>
      </c>
      <c r="L167" s="36">
        <f t="shared" si="1"/>
        <v>45984</v>
      </c>
      <c r="M167" s="30"/>
      <c r="N167" s="36">
        <v>45958</v>
      </c>
      <c r="O167" s="33" t="s">
        <v>20</v>
      </c>
      <c r="P167" s="34"/>
      <c r="Q167" s="7"/>
      <c r="R167" s="7"/>
      <c r="S167" s="7"/>
      <c r="T167" s="8"/>
      <c r="U167" s="8"/>
    </row>
    <row r="168" spans="1:21">
      <c r="A168" s="37" t="s">
        <v>378</v>
      </c>
      <c r="B168" s="38" t="s">
        <v>379</v>
      </c>
      <c r="C168" s="39">
        <v>45936</v>
      </c>
      <c r="D168" s="40">
        <v>3013272</v>
      </c>
      <c r="E168" s="43" t="s">
        <v>30</v>
      </c>
      <c r="F168" s="42" t="s">
        <v>123</v>
      </c>
      <c r="G168" s="12"/>
      <c r="H168" s="12"/>
      <c r="I168" s="12"/>
      <c r="J168" s="14"/>
      <c r="K168" s="42">
        <v>120</v>
      </c>
      <c r="L168" s="42" t="str">
        <f t="shared" si="1"/>
        <v/>
      </c>
      <c r="M168" s="12"/>
      <c r="N168" s="12"/>
      <c r="O168" s="47" t="s">
        <v>27</v>
      </c>
      <c r="P168" s="15"/>
      <c r="Q168" s="7"/>
      <c r="R168" s="7"/>
      <c r="S168" s="7"/>
      <c r="T168" s="8"/>
      <c r="U168" s="8"/>
    </row>
    <row r="169" spans="1:21">
      <c r="A169" s="24" t="s">
        <v>380</v>
      </c>
      <c r="B169" s="25" t="s">
        <v>381</v>
      </c>
      <c r="C169" s="89">
        <v>45940</v>
      </c>
      <c r="D169" s="35">
        <v>6972</v>
      </c>
      <c r="E169" s="28" t="s">
        <v>18</v>
      </c>
      <c r="F169" s="32" t="s">
        <v>44</v>
      </c>
      <c r="G169" s="30"/>
      <c r="H169" s="30"/>
      <c r="I169" s="36">
        <v>45953</v>
      </c>
      <c r="J169" s="36">
        <v>45954</v>
      </c>
      <c r="K169" s="32">
        <v>30</v>
      </c>
      <c r="L169" s="36">
        <f t="shared" si="1"/>
        <v>45984</v>
      </c>
      <c r="M169" s="30"/>
      <c r="N169" s="36">
        <v>45958</v>
      </c>
      <c r="O169" s="33" t="s">
        <v>20</v>
      </c>
      <c r="P169" s="34"/>
      <c r="Q169" s="7"/>
      <c r="R169" s="7"/>
      <c r="S169" s="7"/>
      <c r="T169" s="8"/>
      <c r="U169" s="8"/>
    </row>
    <row r="170" spans="1:21">
      <c r="A170" s="37" t="s">
        <v>382</v>
      </c>
      <c r="B170" s="38" t="s">
        <v>383</v>
      </c>
      <c r="C170" s="90">
        <v>45940</v>
      </c>
      <c r="D170" s="40">
        <v>1322.65</v>
      </c>
      <c r="E170" s="41" t="s">
        <v>18</v>
      </c>
      <c r="F170" s="42" t="s">
        <v>44</v>
      </c>
      <c r="G170" s="12"/>
      <c r="H170" s="12"/>
      <c r="I170" s="12"/>
      <c r="J170" s="14"/>
      <c r="K170" s="42">
        <v>30</v>
      </c>
      <c r="L170" s="42" t="str">
        <f t="shared" si="1"/>
        <v/>
      </c>
      <c r="M170" s="12"/>
      <c r="N170" s="12"/>
      <c r="O170" s="47" t="s">
        <v>27</v>
      </c>
      <c r="P170" s="15"/>
      <c r="Q170" s="7"/>
      <c r="R170" s="7"/>
      <c r="S170" s="7"/>
      <c r="T170" s="8"/>
      <c r="U170" s="8"/>
    </row>
    <row r="171" spans="1:21">
      <c r="A171" s="37" t="s">
        <v>384</v>
      </c>
      <c r="B171" s="38" t="s">
        <v>298</v>
      </c>
      <c r="C171" s="90">
        <v>45944</v>
      </c>
      <c r="D171" s="40">
        <v>1361</v>
      </c>
      <c r="E171" s="43" t="s">
        <v>30</v>
      </c>
      <c r="F171" s="44" t="s">
        <v>19</v>
      </c>
      <c r="G171" s="12"/>
      <c r="H171" s="12"/>
      <c r="I171" s="82">
        <v>45986</v>
      </c>
      <c r="J171" s="82">
        <v>45989</v>
      </c>
      <c r="K171" s="42">
        <v>60</v>
      </c>
      <c r="L171" s="82">
        <f t="shared" si="1"/>
        <v>46049</v>
      </c>
      <c r="M171" s="12"/>
      <c r="N171" s="12"/>
      <c r="O171" s="47" t="s">
        <v>27</v>
      </c>
      <c r="P171" s="15"/>
      <c r="Q171" s="7"/>
      <c r="R171" s="7"/>
      <c r="S171" s="7"/>
      <c r="T171" s="8"/>
      <c r="U171" s="8"/>
    </row>
    <row r="172" spans="1:21">
      <c r="A172" s="37" t="s">
        <v>385</v>
      </c>
      <c r="B172" s="38" t="s">
        <v>386</v>
      </c>
      <c r="C172" s="90">
        <v>45945</v>
      </c>
      <c r="D172" s="40">
        <v>3965128</v>
      </c>
      <c r="E172" s="43" t="s">
        <v>30</v>
      </c>
      <c r="F172" s="42" t="s">
        <v>26</v>
      </c>
      <c r="G172" s="12"/>
      <c r="H172" s="12"/>
      <c r="I172" s="12"/>
      <c r="J172" s="14"/>
      <c r="K172" s="42">
        <v>180</v>
      </c>
      <c r="L172" s="42" t="str">
        <f t="shared" si="1"/>
        <v/>
      </c>
      <c r="M172" s="12"/>
      <c r="N172" s="12"/>
      <c r="O172" s="47" t="s">
        <v>27</v>
      </c>
      <c r="P172" s="15"/>
      <c r="Q172" s="7"/>
      <c r="R172" s="7"/>
      <c r="S172" s="7"/>
      <c r="T172" s="8"/>
      <c r="U172" s="8"/>
    </row>
    <row r="173" spans="1:21">
      <c r="A173" s="37" t="s">
        <v>387</v>
      </c>
      <c r="B173" s="38" t="s">
        <v>388</v>
      </c>
      <c r="C173" s="90">
        <v>45945</v>
      </c>
      <c r="D173" s="40">
        <v>631439</v>
      </c>
      <c r="E173" s="43" t="s">
        <v>30</v>
      </c>
      <c r="F173" s="42" t="s">
        <v>63</v>
      </c>
      <c r="G173" s="12"/>
      <c r="H173" s="12"/>
      <c r="I173" s="12"/>
      <c r="J173" s="14"/>
      <c r="K173" s="42">
        <v>30</v>
      </c>
      <c r="L173" s="42" t="str">
        <f t="shared" si="1"/>
        <v/>
      </c>
      <c r="M173" s="12"/>
      <c r="N173" s="12"/>
      <c r="O173" s="47" t="s">
        <v>27</v>
      </c>
      <c r="P173" s="15"/>
      <c r="Q173" s="7"/>
      <c r="R173" s="7"/>
      <c r="S173" s="7"/>
      <c r="T173" s="8"/>
      <c r="U173" s="8"/>
    </row>
    <row r="174" spans="1:21">
      <c r="A174" s="37" t="s">
        <v>389</v>
      </c>
      <c r="B174" s="38" t="s">
        <v>390</v>
      </c>
      <c r="C174" s="90">
        <v>45946</v>
      </c>
      <c r="D174" s="40">
        <v>313560</v>
      </c>
      <c r="E174" s="43" t="s">
        <v>30</v>
      </c>
      <c r="F174" s="42" t="s">
        <v>44</v>
      </c>
      <c r="G174" s="12"/>
      <c r="H174" s="12"/>
      <c r="I174" s="12"/>
      <c r="J174" s="14"/>
      <c r="K174" s="12"/>
      <c r="L174" s="12" t="str">
        <f t="shared" si="1"/>
        <v/>
      </c>
      <c r="M174" s="12"/>
      <c r="N174" s="12"/>
      <c r="O174" s="47" t="s">
        <v>27</v>
      </c>
      <c r="P174" s="15"/>
      <c r="Q174" s="7"/>
      <c r="R174" s="7"/>
      <c r="S174" s="7"/>
      <c r="T174" s="8"/>
      <c r="U174" s="8"/>
    </row>
    <row r="175" spans="1:21">
      <c r="A175" s="37" t="s">
        <v>391</v>
      </c>
      <c r="B175" s="38" t="s">
        <v>392</v>
      </c>
      <c r="C175" s="90">
        <v>45581</v>
      </c>
      <c r="D175" s="40">
        <v>135135</v>
      </c>
      <c r="E175" s="43" t="s">
        <v>30</v>
      </c>
      <c r="F175" s="42" t="s">
        <v>44</v>
      </c>
      <c r="G175" s="12"/>
      <c r="H175" s="12"/>
      <c r="I175" s="12"/>
      <c r="J175" s="14"/>
      <c r="K175" s="12"/>
      <c r="L175" s="12" t="str">
        <f t="shared" si="1"/>
        <v/>
      </c>
      <c r="M175" s="12"/>
      <c r="N175" s="12"/>
      <c r="O175" s="47" t="s">
        <v>27</v>
      </c>
      <c r="P175" s="15"/>
      <c r="Q175" s="7"/>
      <c r="R175" s="7"/>
      <c r="S175" s="7"/>
      <c r="T175" s="8"/>
      <c r="U175" s="8"/>
    </row>
    <row r="176" spans="1:21">
      <c r="A176" s="37" t="s">
        <v>393</v>
      </c>
      <c r="B176" s="38" t="s">
        <v>394</v>
      </c>
      <c r="C176" s="90">
        <v>45950</v>
      </c>
      <c r="D176" s="40">
        <v>72462.23</v>
      </c>
      <c r="E176" s="41" t="s">
        <v>18</v>
      </c>
      <c r="F176" s="42" t="s">
        <v>44</v>
      </c>
      <c r="G176" s="12"/>
      <c r="H176" s="12"/>
      <c r="I176" s="12"/>
      <c r="J176" s="14"/>
      <c r="K176" s="12"/>
      <c r="L176" s="12" t="str">
        <f t="shared" si="1"/>
        <v/>
      </c>
      <c r="M176" s="12"/>
      <c r="N176" s="12"/>
      <c r="O176" s="47" t="s">
        <v>27</v>
      </c>
      <c r="P176" s="15"/>
      <c r="Q176" s="7"/>
      <c r="R176" s="7"/>
      <c r="S176" s="7"/>
      <c r="T176" s="8"/>
      <c r="U176" s="8"/>
    </row>
    <row r="177" spans="1:21">
      <c r="A177" s="86" t="s">
        <v>395</v>
      </c>
      <c r="B177" s="79" t="s">
        <v>396</v>
      </c>
      <c r="C177" s="90">
        <v>45950</v>
      </c>
      <c r="D177" s="40">
        <v>134686.03</v>
      </c>
      <c r="E177" s="43" t="s">
        <v>30</v>
      </c>
      <c r="F177" s="42" t="s">
        <v>44</v>
      </c>
      <c r="G177" s="12"/>
      <c r="H177" s="12"/>
      <c r="I177" s="12"/>
      <c r="J177" s="14"/>
      <c r="K177" s="12"/>
      <c r="L177" s="12" t="str">
        <f t="shared" si="1"/>
        <v/>
      </c>
      <c r="M177" s="12"/>
      <c r="N177" s="12"/>
      <c r="O177" s="47" t="s">
        <v>27</v>
      </c>
      <c r="P177" s="15"/>
      <c r="Q177" s="7"/>
      <c r="R177" s="7"/>
      <c r="S177" s="7"/>
      <c r="T177" s="8"/>
      <c r="U177" s="8"/>
    </row>
    <row r="178" spans="1:21">
      <c r="A178" s="37" t="s">
        <v>397</v>
      </c>
      <c r="B178" s="38" t="s">
        <v>398</v>
      </c>
      <c r="C178" s="90">
        <v>45952</v>
      </c>
      <c r="D178" s="40">
        <v>75762.8</v>
      </c>
      <c r="E178" s="41" t="s">
        <v>18</v>
      </c>
      <c r="F178" s="42" t="s">
        <v>44</v>
      </c>
      <c r="G178" s="12"/>
      <c r="H178" s="12"/>
      <c r="I178" s="12"/>
      <c r="J178" s="14"/>
      <c r="K178" s="12"/>
      <c r="L178" s="12" t="str">
        <f t="shared" si="1"/>
        <v/>
      </c>
      <c r="M178" s="12"/>
      <c r="N178" s="12"/>
      <c r="O178" s="47" t="s">
        <v>27</v>
      </c>
      <c r="P178" s="15"/>
      <c r="Q178" s="7"/>
      <c r="R178" s="7"/>
      <c r="S178" s="7"/>
      <c r="T178" s="8"/>
      <c r="U178" s="8"/>
    </row>
    <row r="179" spans="1:21">
      <c r="A179" s="37" t="s">
        <v>399</v>
      </c>
      <c r="B179" s="38" t="s">
        <v>400</v>
      </c>
      <c r="C179" s="90">
        <v>45953</v>
      </c>
      <c r="D179" s="40">
        <v>890968.17</v>
      </c>
      <c r="E179" s="43" t="s">
        <v>30</v>
      </c>
      <c r="F179" s="42" t="s">
        <v>44</v>
      </c>
      <c r="G179" s="12"/>
      <c r="H179" s="12"/>
      <c r="I179" s="12"/>
      <c r="J179" s="14"/>
      <c r="K179" s="12"/>
      <c r="L179" s="12" t="str">
        <f t="shared" si="1"/>
        <v/>
      </c>
      <c r="M179" s="12"/>
      <c r="N179" s="12"/>
      <c r="O179" s="47" t="s">
        <v>27</v>
      </c>
      <c r="P179" s="15"/>
      <c r="Q179" s="7"/>
      <c r="R179" s="7"/>
      <c r="S179" s="7"/>
      <c r="T179" s="8"/>
      <c r="U179" s="8"/>
    </row>
    <row r="180" spans="1:21">
      <c r="A180" s="37" t="s">
        <v>401</v>
      </c>
      <c r="B180" s="38" t="s">
        <v>402</v>
      </c>
      <c r="C180" s="90">
        <v>45954</v>
      </c>
      <c r="D180" s="40">
        <v>493800</v>
      </c>
      <c r="E180" s="43" t="s">
        <v>30</v>
      </c>
      <c r="F180" s="42" t="s">
        <v>23</v>
      </c>
      <c r="G180" s="12"/>
      <c r="H180" s="12"/>
      <c r="I180" s="12"/>
      <c r="J180" s="14"/>
      <c r="K180" s="12"/>
      <c r="L180" s="12" t="str">
        <f t="shared" si="1"/>
        <v/>
      </c>
      <c r="M180" s="12"/>
      <c r="N180" s="12"/>
      <c r="O180" s="47" t="s">
        <v>27</v>
      </c>
      <c r="P180" s="15"/>
      <c r="Q180" s="7"/>
      <c r="R180" s="7"/>
      <c r="S180" s="7"/>
      <c r="T180" s="8"/>
      <c r="U180" s="8"/>
    </row>
    <row r="181" spans="1:21">
      <c r="A181" s="37" t="s">
        <v>403</v>
      </c>
      <c r="B181" s="38" t="s">
        <v>404</v>
      </c>
      <c r="C181" s="90">
        <v>45954</v>
      </c>
      <c r="D181" s="40">
        <v>263904.84000000003</v>
      </c>
      <c r="E181" s="43" t="s">
        <v>30</v>
      </c>
      <c r="F181" s="42" t="s">
        <v>44</v>
      </c>
      <c r="G181" s="12"/>
      <c r="H181" s="12"/>
      <c r="I181" s="12"/>
      <c r="J181" s="14"/>
      <c r="K181" s="12"/>
      <c r="L181" s="12" t="str">
        <f t="shared" si="1"/>
        <v/>
      </c>
      <c r="M181" s="12"/>
      <c r="N181" s="12"/>
      <c r="O181" s="47" t="s">
        <v>27</v>
      </c>
      <c r="P181" s="15"/>
      <c r="Q181" s="7"/>
      <c r="R181" s="7"/>
      <c r="S181" s="7"/>
      <c r="T181" s="8"/>
      <c r="U181" s="8"/>
    </row>
    <row r="182" spans="1:21">
      <c r="A182" s="37" t="s">
        <v>405</v>
      </c>
      <c r="B182" s="38" t="s">
        <v>406</v>
      </c>
      <c r="C182" s="90">
        <v>45954</v>
      </c>
      <c r="D182" s="40">
        <v>56125</v>
      </c>
      <c r="E182" s="43" t="s">
        <v>30</v>
      </c>
      <c r="F182" s="42" t="s">
        <v>63</v>
      </c>
      <c r="G182" s="12"/>
      <c r="H182" s="12"/>
      <c r="I182" s="12"/>
      <c r="J182" s="14"/>
      <c r="K182" s="12"/>
      <c r="L182" s="12" t="str">
        <f t="shared" si="1"/>
        <v/>
      </c>
      <c r="M182" s="12"/>
      <c r="N182" s="12"/>
      <c r="O182" s="47" t="s">
        <v>27</v>
      </c>
      <c r="P182" s="15"/>
      <c r="Q182" s="7"/>
      <c r="R182" s="7"/>
      <c r="S182" s="7"/>
      <c r="T182" s="8"/>
      <c r="U182" s="8"/>
    </row>
    <row r="183" spans="1:21">
      <c r="A183" s="37" t="s">
        <v>407</v>
      </c>
      <c r="B183" s="38" t="s">
        <v>408</v>
      </c>
      <c r="C183" s="90">
        <v>45944</v>
      </c>
      <c r="D183" s="40">
        <v>26490</v>
      </c>
      <c r="E183" s="43" t="s">
        <v>30</v>
      </c>
      <c r="F183" s="42" t="s">
        <v>170</v>
      </c>
      <c r="G183" s="12"/>
      <c r="H183" s="12"/>
      <c r="I183" s="12"/>
      <c r="J183" s="14"/>
      <c r="K183" s="12"/>
      <c r="L183" s="12" t="str">
        <f t="shared" si="1"/>
        <v/>
      </c>
      <c r="M183" s="12"/>
      <c r="N183" s="12"/>
      <c r="O183" s="47" t="s">
        <v>27</v>
      </c>
      <c r="P183" s="15"/>
      <c r="Q183" s="7"/>
      <c r="R183" s="7"/>
      <c r="S183" s="7"/>
      <c r="T183" s="8"/>
      <c r="U183" s="8"/>
    </row>
    <row r="184" spans="1:21">
      <c r="A184" s="37" t="s">
        <v>409</v>
      </c>
      <c r="B184" s="38" t="s">
        <v>410</v>
      </c>
      <c r="C184" s="39">
        <v>45939</v>
      </c>
      <c r="D184" s="40">
        <v>331749.36</v>
      </c>
      <c r="E184" s="41" t="s">
        <v>18</v>
      </c>
      <c r="F184" s="42" t="s">
        <v>44</v>
      </c>
      <c r="G184" s="12"/>
      <c r="H184" s="12"/>
      <c r="I184" s="12"/>
      <c r="J184" s="14"/>
      <c r="K184" s="12"/>
      <c r="L184" s="12" t="str">
        <f t="shared" si="1"/>
        <v/>
      </c>
      <c r="M184" s="12"/>
      <c r="N184" s="12"/>
      <c r="O184" s="47" t="s">
        <v>27</v>
      </c>
      <c r="P184" s="15"/>
      <c r="Q184" s="7"/>
      <c r="R184" s="7"/>
      <c r="S184" s="7"/>
      <c r="T184" s="8"/>
      <c r="U184" s="8"/>
    </row>
    <row r="185" spans="1:21">
      <c r="A185" s="37" t="s">
        <v>411</v>
      </c>
      <c r="B185" s="38" t="s">
        <v>412</v>
      </c>
      <c r="C185" s="39">
        <v>45965</v>
      </c>
      <c r="D185" s="40">
        <v>578034</v>
      </c>
      <c r="E185" s="43" t="s">
        <v>30</v>
      </c>
      <c r="F185" s="42" t="s">
        <v>123</v>
      </c>
      <c r="G185" s="12"/>
      <c r="H185" s="12"/>
      <c r="I185" s="12"/>
      <c r="J185" s="14"/>
      <c r="K185" s="12"/>
      <c r="L185" s="12" t="str">
        <f t="shared" si="1"/>
        <v/>
      </c>
      <c r="M185" s="12"/>
      <c r="N185" s="12"/>
      <c r="O185" s="47" t="s">
        <v>27</v>
      </c>
      <c r="P185" s="15"/>
      <c r="Q185" s="7"/>
      <c r="R185" s="7"/>
      <c r="S185" s="7"/>
      <c r="T185" s="8"/>
      <c r="U185" s="8"/>
    </row>
    <row r="186" spans="1:21">
      <c r="A186" s="37" t="s">
        <v>413</v>
      </c>
      <c r="B186" s="38" t="s">
        <v>414</v>
      </c>
      <c r="C186" s="39">
        <v>45966</v>
      </c>
      <c r="D186" s="40">
        <v>131200</v>
      </c>
      <c r="E186" s="43" t="s">
        <v>30</v>
      </c>
      <c r="F186" s="42" t="s">
        <v>63</v>
      </c>
      <c r="G186" s="12"/>
      <c r="H186" s="12"/>
      <c r="I186" s="12"/>
      <c r="J186" s="14"/>
      <c r="K186" s="12"/>
      <c r="L186" s="12" t="str">
        <f t="shared" si="1"/>
        <v/>
      </c>
      <c r="M186" s="12"/>
      <c r="N186" s="12"/>
      <c r="O186" s="47" t="s">
        <v>27</v>
      </c>
      <c r="P186" s="15"/>
      <c r="Q186" s="7"/>
      <c r="R186" s="7"/>
      <c r="S186" s="7"/>
      <c r="T186" s="8"/>
      <c r="U186" s="8"/>
    </row>
    <row r="187" spans="1:21">
      <c r="A187" s="37" t="s">
        <v>415</v>
      </c>
      <c r="B187" s="78" t="s">
        <v>416</v>
      </c>
      <c r="C187" s="80">
        <v>45629</v>
      </c>
      <c r="D187" s="81">
        <v>92601</v>
      </c>
      <c r="E187" s="43" t="s">
        <v>30</v>
      </c>
      <c r="F187" s="42" t="s">
        <v>63</v>
      </c>
      <c r="G187" s="91"/>
      <c r="H187" s="91"/>
      <c r="I187" s="45">
        <v>45708</v>
      </c>
      <c r="J187" s="92"/>
      <c r="K187" s="12"/>
      <c r="L187" s="12" t="str">
        <f t="shared" si="1"/>
        <v/>
      </c>
      <c r="M187" s="12"/>
      <c r="N187" s="12"/>
      <c r="O187" s="47" t="s">
        <v>27</v>
      </c>
      <c r="P187" s="15"/>
      <c r="Q187" s="7"/>
      <c r="R187" s="7"/>
      <c r="S187" s="7"/>
      <c r="T187" s="8"/>
      <c r="U187" s="8"/>
    </row>
    <row r="188" spans="1:21">
      <c r="A188" s="37" t="s">
        <v>411</v>
      </c>
      <c r="B188" s="79" t="s">
        <v>417</v>
      </c>
      <c r="C188" s="39">
        <v>45966</v>
      </c>
      <c r="D188" s="40">
        <v>578034</v>
      </c>
      <c r="E188" s="43" t="s">
        <v>30</v>
      </c>
      <c r="F188" s="42" t="s">
        <v>123</v>
      </c>
      <c r="G188" s="12"/>
      <c r="H188" s="12"/>
      <c r="I188" s="12"/>
      <c r="J188" s="14"/>
      <c r="K188" s="12"/>
      <c r="L188" s="12" t="str">
        <f t="shared" si="1"/>
        <v/>
      </c>
      <c r="M188" s="12"/>
      <c r="N188" s="12"/>
      <c r="O188" s="47" t="s">
        <v>27</v>
      </c>
      <c r="P188" s="15"/>
      <c r="Q188" s="7"/>
      <c r="R188" s="7"/>
      <c r="S188" s="7"/>
      <c r="T188" s="8"/>
      <c r="U188" s="8"/>
    </row>
    <row r="189" spans="1:21">
      <c r="A189" s="37" t="s">
        <v>418</v>
      </c>
      <c r="B189" s="38" t="s">
        <v>419</v>
      </c>
      <c r="C189" s="90">
        <v>45954</v>
      </c>
      <c r="D189" s="40">
        <v>122700</v>
      </c>
      <c r="E189" s="43" t="s">
        <v>30</v>
      </c>
      <c r="F189" s="42" t="s">
        <v>123</v>
      </c>
      <c r="G189" s="12"/>
      <c r="H189" s="48">
        <v>46001</v>
      </c>
      <c r="I189" s="12"/>
      <c r="J189" s="93">
        <v>46001</v>
      </c>
      <c r="K189" s="18">
        <v>180</v>
      </c>
      <c r="L189" s="94">
        <f t="shared" si="1"/>
        <v>46181</v>
      </c>
      <c r="M189" s="12"/>
      <c r="N189" s="12"/>
      <c r="O189" s="47" t="s">
        <v>27</v>
      </c>
      <c r="P189" s="15"/>
      <c r="Q189" s="7"/>
      <c r="R189" s="7"/>
      <c r="S189" s="7"/>
      <c r="T189" s="8"/>
      <c r="U189" s="8"/>
    </row>
    <row r="190" spans="1:21">
      <c r="A190" s="37" t="s">
        <v>420</v>
      </c>
      <c r="B190" s="38" t="s">
        <v>421</v>
      </c>
      <c r="C190" s="39">
        <v>45966</v>
      </c>
      <c r="D190" s="40">
        <v>304113.09999999998</v>
      </c>
      <c r="E190" s="41" t="s">
        <v>18</v>
      </c>
      <c r="F190" s="42" t="s">
        <v>44</v>
      </c>
      <c r="G190" s="12"/>
      <c r="H190" s="48">
        <v>46001</v>
      </c>
      <c r="I190" s="12"/>
      <c r="J190" s="93">
        <v>46001</v>
      </c>
      <c r="K190" s="18">
        <v>60</v>
      </c>
      <c r="L190" s="94">
        <f t="shared" si="1"/>
        <v>46061</v>
      </c>
      <c r="M190" s="95">
        <v>45682</v>
      </c>
      <c r="N190" s="12"/>
      <c r="O190" s="47" t="s">
        <v>27</v>
      </c>
      <c r="P190" s="15"/>
      <c r="Q190" s="7"/>
      <c r="R190" s="7"/>
      <c r="S190" s="7"/>
      <c r="T190" s="8"/>
      <c r="U190" s="8"/>
    </row>
    <row r="191" spans="1:21">
      <c r="A191" s="37" t="s">
        <v>422</v>
      </c>
      <c r="B191" s="79" t="s">
        <v>423</v>
      </c>
      <c r="C191" s="90">
        <v>45971</v>
      </c>
      <c r="D191" s="40">
        <v>210000</v>
      </c>
      <c r="E191" s="43" t="s">
        <v>30</v>
      </c>
      <c r="F191" s="42" t="s">
        <v>44</v>
      </c>
      <c r="G191" s="12"/>
      <c r="H191" s="12"/>
      <c r="I191" s="12"/>
      <c r="J191" s="14"/>
      <c r="K191" s="12"/>
      <c r="L191" s="12" t="str">
        <f t="shared" si="1"/>
        <v/>
      </c>
      <c r="M191" s="12"/>
      <c r="N191" s="12"/>
      <c r="O191" s="47" t="s">
        <v>27</v>
      </c>
      <c r="P191" s="15"/>
      <c r="Q191" s="7"/>
      <c r="R191" s="7"/>
      <c r="S191" s="7"/>
      <c r="T191" s="8"/>
      <c r="U191" s="8"/>
    </row>
    <row r="192" spans="1:21">
      <c r="A192" s="37" t="s">
        <v>424</v>
      </c>
      <c r="B192" s="38" t="s">
        <v>425</v>
      </c>
      <c r="C192" s="39">
        <v>45964</v>
      </c>
      <c r="D192" s="40">
        <v>4417765.99</v>
      </c>
      <c r="E192" s="43" t="s">
        <v>30</v>
      </c>
      <c r="F192" s="42" t="s">
        <v>26</v>
      </c>
      <c r="G192" s="12"/>
      <c r="H192" s="12"/>
      <c r="I192" s="12"/>
      <c r="J192" s="14"/>
      <c r="K192" s="12"/>
      <c r="L192" s="12" t="str">
        <f t="shared" si="1"/>
        <v/>
      </c>
      <c r="M192" s="12"/>
      <c r="N192" s="12"/>
      <c r="O192" s="47" t="s">
        <v>27</v>
      </c>
      <c r="P192" s="15"/>
      <c r="Q192" s="7"/>
      <c r="R192" s="7"/>
      <c r="S192" s="7"/>
      <c r="T192" s="8"/>
      <c r="U192" s="8"/>
    </row>
    <row r="193" spans="1:21">
      <c r="A193" s="37" t="s">
        <v>426</v>
      </c>
      <c r="B193" s="38" t="s">
        <v>427</v>
      </c>
      <c r="C193" s="90">
        <v>45973</v>
      </c>
      <c r="D193" s="40">
        <v>49485.94</v>
      </c>
      <c r="E193" s="43" t="s">
        <v>30</v>
      </c>
      <c r="F193" s="42" t="s">
        <v>63</v>
      </c>
      <c r="G193" s="12"/>
      <c r="H193" s="12"/>
      <c r="I193" s="12"/>
      <c r="J193" s="14"/>
      <c r="K193" s="12"/>
      <c r="L193" s="12" t="str">
        <f t="shared" si="1"/>
        <v/>
      </c>
      <c r="M193" s="12"/>
      <c r="N193" s="12"/>
      <c r="O193" s="47" t="s">
        <v>27</v>
      </c>
      <c r="P193" s="15"/>
      <c r="Q193" s="7"/>
      <c r="R193" s="7"/>
      <c r="S193" s="7"/>
      <c r="T193" s="8"/>
      <c r="U193" s="8"/>
    </row>
    <row r="194" spans="1:21">
      <c r="A194" s="37" t="s">
        <v>428</v>
      </c>
      <c r="B194" s="38" t="s">
        <v>429</v>
      </c>
      <c r="C194" s="90">
        <v>45978</v>
      </c>
      <c r="D194" s="40">
        <v>8465785</v>
      </c>
      <c r="E194" s="43" t="s">
        <v>30</v>
      </c>
      <c r="F194" s="42" t="s">
        <v>26</v>
      </c>
      <c r="G194" s="12"/>
      <c r="H194" s="12"/>
      <c r="I194" s="12"/>
      <c r="J194" s="14"/>
      <c r="K194" s="12"/>
      <c r="L194" s="12" t="str">
        <f t="shared" si="1"/>
        <v/>
      </c>
      <c r="M194" s="12"/>
      <c r="N194" s="12"/>
      <c r="O194" s="47" t="s">
        <v>27</v>
      </c>
      <c r="P194" s="15"/>
      <c r="Q194" s="7"/>
      <c r="R194" s="7"/>
      <c r="S194" s="7"/>
      <c r="T194" s="8"/>
      <c r="U194" s="8"/>
    </row>
    <row r="195" spans="1:21">
      <c r="A195" s="37" t="s">
        <v>430</v>
      </c>
      <c r="B195" s="38" t="s">
        <v>431</v>
      </c>
      <c r="C195" s="90">
        <v>45978</v>
      </c>
      <c r="D195" s="40">
        <v>5500</v>
      </c>
      <c r="E195" s="41" t="s">
        <v>18</v>
      </c>
      <c r="F195" s="44" t="s">
        <v>19</v>
      </c>
      <c r="G195" s="12"/>
      <c r="H195" s="12"/>
      <c r="I195" s="12"/>
      <c r="J195" s="14"/>
      <c r="K195" s="12"/>
      <c r="L195" s="12" t="str">
        <f t="shared" si="1"/>
        <v/>
      </c>
      <c r="M195" s="12"/>
      <c r="N195" s="12"/>
      <c r="O195" s="47" t="s">
        <v>27</v>
      </c>
      <c r="P195" s="15"/>
      <c r="Q195" s="7"/>
      <c r="R195" s="7"/>
      <c r="S195" s="7"/>
      <c r="T195" s="8"/>
      <c r="U195" s="8"/>
    </row>
    <row r="196" spans="1:21">
      <c r="A196" s="37" t="s">
        <v>432</v>
      </c>
      <c r="B196" s="38" t="s">
        <v>433</v>
      </c>
      <c r="C196" s="90">
        <v>45979</v>
      </c>
      <c r="D196" s="40">
        <v>397000</v>
      </c>
      <c r="E196" s="43" t="s">
        <v>30</v>
      </c>
      <c r="F196" s="42" t="s">
        <v>26</v>
      </c>
      <c r="G196" s="12"/>
      <c r="H196" s="12"/>
      <c r="I196" s="12"/>
      <c r="J196" s="14"/>
      <c r="K196" s="12"/>
      <c r="L196" s="12" t="str">
        <f t="shared" si="1"/>
        <v/>
      </c>
      <c r="M196" s="12"/>
      <c r="N196" s="12"/>
      <c r="O196" s="47" t="s">
        <v>27</v>
      </c>
      <c r="P196" s="15"/>
      <c r="Q196" s="7"/>
      <c r="R196" s="7"/>
      <c r="S196" s="7"/>
      <c r="T196" s="8"/>
      <c r="U196" s="8"/>
    </row>
    <row r="197" spans="1:21">
      <c r="A197" s="37" t="s">
        <v>434</v>
      </c>
      <c r="B197" s="38" t="s">
        <v>435</v>
      </c>
      <c r="C197" s="90">
        <v>45980</v>
      </c>
      <c r="D197" s="40">
        <v>10256.450000000001</v>
      </c>
      <c r="E197" s="41" t="s">
        <v>18</v>
      </c>
      <c r="F197" s="42" t="s">
        <v>44</v>
      </c>
      <c r="G197" s="12"/>
      <c r="H197" s="12"/>
      <c r="I197" s="12"/>
      <c r="J197" s="14"/>
      <c r="K197" s="12"/>
      <c r="L197" s="12" t="str">
        <f t="shared" si="1"/>
        <v/>
      </c>
      <c r="M197" s="12"/>
      <c r="N197" s="12"/>
      <c r="O197" s="47" t="s">
        <v>27</v>
      </c>
      <c r="P197" s="15"/>
      <c r="Q197" s="7"/>
      <c r="R197" s="7"/>
      <c r="S197" s="7"/>
      <c r="T197" s="8"/>
      <c r="U197" s="8"/>
    </row>
    <row r="198" spans="1:21">
      <c r="A198" s="37" t="s">
        <v>436</v>
      </c>
      <c r="B198" s="38" t="s">
        <v>437</v>
      </c>
      <c r="C198" s="90">
        <v>45978</v>
      </c>
      <c r="D198" s="40">
        <v>325000</v>
      </c>
      <c r="E198" s="43" t="s">
        <v>30</v>
      </c>
      <c r="F198" s="42" t="s">
        <v>26</v>
      </c>
      <c r="G198" s="12"/>
      <c r="H198" s="12"/>
      <c r="I198" s="12"/>
      <c r="J198" s="14"/>
      <c r="K198" s="12"/>
      <c r="L198" s="12" t="str">
        <f t="shared" si="1"/>
        <v/>
      </c>
      <c r="M198" s="12"/>
      <c r="N198" s="12"/>
      <c r="O198" s="47" t="s">
        <v>27</v>
      </c>
      <c r="P198" s="15"/>
      <c r="Q198" s="7"/>
      <c r="R198" s="7"/>
      <c r="S198" s="7"/>
      <c r="T198" s="8"/>
      <c r="U198" s="8"/>
    </row>
    <row r="199" spans="1:21">
      <c r="A199" s="37" t="s">
        <v>438</v>
      </c>
      <c r="B199" s="38" t="s">
        <v>439</v>
      </c>
      <c r="C199" s="90">
        <v>45989</v>
      </c>
      <c r="D199" s="40">
        <v>90250</v>
      </c>
      <c r="E199" s="41" t="s">
        <v>18</v>
      </c>
      <c r="F199" s="42" t="s">
        <v>44</v>
      </c>
      <c r="G199" s="12"/>
      <c r="H199" s="12"/>
      <c r="I199" s="12"/>
      <c r="J199" s="14"/>
      <c r="K199" s="12"/>
      <c r="L199" s="12" t="str">
        <f t="shared" si="1"/>
        <v/>
      </c>
      <c r="M199" s="12"/>
      <c r="N199" s="12"/>
      <c r="O199" s="47" t="s">
        <v>27</v>
      </c>
      <c r="P199" s="15"/>
      <c r="Q199" s="7"/>
      <c r="R199" s="7"/>
      <c r="S199" s="7"/>
      <c r="T199" s="8"/>
      <c r="U199" s="8"/>
    </row>
    <row r="200" spans="1:21">
      <c r="A200" s="24" t="s">
        <v>440</v>
      </c>
      <c r="B200" s="25" t="s">
        <v>441</v>
      </c>
      <c r="C200" s="89">
        <v>45960</v>
      </c>
      <c r="D200" s="35">
        <v>1717.2</v>
      </c>
      <c r="E200" s="28" t="s">
        <v>18</v>
      </c>
      <c r="F200" s="32" t="s">
        <v>63</v>
      </c>
      <c r="G200" s="30"/>
      <c r="H200" s="30"/>
      <c r="I200" s="30"/>
      <c r="J200" s="50"/>
      <c r="K200" s="30"/>
      <c r="L200" s="30" t="str">
        <f t="shared" si="1"/>
        <v/>
      </c>
      <c r="M200" s="30"/>
      <c r="N200" s="30"/>
      <c r="O200" s="88" t="s">
        <v>47</v>
      </c>
      <c r="P200" s="96" t="s">
        <v>442</v>
      </c>
      <c r="Q200" s="7"/>
      <c r="R200" s="7"/>
      <c r="S200" s="7"/>
      <c r="T200" s="8"/>
      <c r="U200" s="8"/>
    </row>
    <row r="201" spans="1:21">
      <c r="A201" s="97" t="s">
        <v>443</v>
      </c>
      <c r="B201" s="98" t="s">
        <v>444</v>
      </c>
      <c r="C201" s="70">
        <v>45791</v>
      </c>
      <c r="D201" s="99">
        <v>72820.7</v>
      </c>
      <c r="E201" s="18" t="s">
        <v>18</v>
      </c>
      <c r="F201" s="18" t="s">
        <v>44</v>
      </c>
      <c r="G201" s="12"/>
      <c r="H201" s="12"/>
      <c r="I201" s="12"/>
      <c r="J201" s="14"/>
      <c r="K201" s="12"/>
      <c r="L201" s="12" t="str">
        <f t="shared" si="1"/>
        <v/>
      </c>
      <c r="M201" s="12"/>
      <c r="N201" s="12"/>
      <c r="O201" s="18" t="s">
        <v>27</v>
      </c>
      <c r="P201" s="15"/>
      <c r="Q201" s="7"/>
      <c r="R201" s="7"/>
      <c r="S201" s="7"/>
      <c r="T201" s="8"/>
      <c r="U201" s="8"/>
    </row>
    <row r="202" spans="1:21">
      <c r="A202" s="97" t="s">
        <v>445</v>
      </c>
      <c r="B202" s="98" t="s">
        <v>446</v>
      </c>
      <c r="C202" s="70">
        <v>45791</v>
      </c>
      <c r="D202" s="99">
        <v>72094.899999999994</v>
      </c>
      <c r="E202" s="18" t="s">
        <v>18</v>
      </c>
      <c r="F202" s="18" t="s">
        <v>44</v>
      </c>
      <c r="G202" s="12"/>
      <c r="H202" s="12"/>
      <c r="I202" s="12"/>
      <c r="J202" s="14"/>
      <c r="K202" s="12"/>
      <c r="L202" s="12" t="str">
        <f t="shared" si="1"/>
        <v/>
      </c>
      <c r="M202" s="12"/>
      <c r="N202" s="12"/>
      <c r="O202" s="18" t="s">
        <v>27</v>
      </c>
      <c r="P202" s="15"/>
      <c r="Q202" s="7"/>
      <c r="R202" s="7"/>
      <c r="S202" s="7"/>
      <c r="T202" s="8"/>
      <c r="U202" s="8"/>
    </row>
    <row r="203" spans="1:21">
      <c r="A203" s="97" t="s">
        <v>447</v>
      </c>
      <c r="B203" s="98" t="s">
        <v>448</v>
      </c>
      <c r="C203" s="70">
        <v>45932</v>
      </c>
      <c r="D203" s="99">
        <v>19800</v>
      </c>
      <c r="E203" s="18" t="s">
        <v>18</v>
      </c>
      <c r="F203" s="18" t="s">
        <v>19</v>
      </c>
      <c r="G203" s="12"/>
      <c r="H203" s="12"/>
      <c r="I203" s="12"/>
      <c r="J203" s="14"/>
      <c r="K203" s="12"/>
      <c r="L203" s="12" t="str">
        <f t="shared" si="1"/>
        <v/>
      </c>
      <c r="M203" s="12"/>
      <c r="N203" s="12"/>
      <c r="O203" s="18" t="s">
        <v>27</v>
      </c>
      <c r="P203" s="15"/>
      <c r="Q203" s="7"/>
      <c r="R203" s="7"/>
      <c r="S203" s="7"/>
      <c r="T203" s="8"/>
      <c r="U203" s="8"/>
    </row>
    <row r="204" spans="1:21">
      <c r="A204" s="97" t="s">
        <v>449</v>
      </c>
      <c r="B204" s="100" t="s">
        <v>450</v>
      </c>
      <c r="C204" s="70">
        <v>45994</v>
      </c>
      <c r="D204" s="99">
        <v>558</v>
      </c>
      <c r="E204" s="18" t="s">
        <v>18</v>
      </c>
      <c r="F204" s="18" t="s">
        <v>44</v>
      </c>
      <c r="G204" s="12"/>
      <c r="H204" s="12"/>
      <c r="I204" s="12"/>
      <c r="J204" s="14"/>
      <c r="K204" s="12"/>
      <c r="L204" s="12" t="str">
        <f t="shared" si="1"/>
        <v/>
      </c>
      <c r="M204" s="12"/>
      <c r="N204" s="12"/>
      <c r="O204" s="18" t="s">
        <v>27</v>
      </c>
      <c r="P204" s="15"/>
      <c r="Q204" s="7"/>
      <c r="R204" s="7"/>
      <c r="S204" s="7"/>
      <c r="T204" s="8"/>
      <c r="U204" s="8"/>
    </row>
    <row r="205" spans="1:21">
      <c r="A205" s="97" t="s">
        <v>405</v>
      </c>
      <c r="B205" s="101" t="s">
        <v>451</v>
      </c>
      <c r="C205" s="70">
        <v>45996</v>
      </c>
      <c r="D205" s="99">
        <v>56125</v>
      </c>
      <c r="E205" s="18" t="s">
        <v>30</v>
      </c>
      <c r="F205" s="18" t="s">
        <v>170</v>
      </c>
      <c r="G205" s="12"/>
      <c r="H205" s="12"/>
      <c r="I205" s="12"/>
      <c r="J205" s="14"/>
      <c r="K205" s="12"/>
      <c r="L205" s="12" t="str">
        <f t="shared" si="1"/>
        <v/>
      </c>
      <c r="M205" s="12"/>
      <c r="N205" s="12"/>
      <c r="O205" s="18" t="s">
        <v>27</v>
      </c>
      <c r="P205" s="15"/>
      <c r="Q205" s="7"/>
      <c r="R205" s="7"/>
      <c r="S205" s="7"/>
      <c r="T205" s="8"/>
      <c r="U205" s="8"/>
    </row>
    <row r="206" spans="1:21">
      <c r="A206" s="97" t="s">
        <v>452</v>
      </c>
      <c r="B206" s="101" t="s">
        <v>453</v>
      </c>
      <c r="C206" s="70">
        <v>6620361</v>
      </c>
      <c r="D206" s="99">
        <v>49780</v>
      </c>
      <c r="E206" s="18" t="s">
        <v>30</v>
      </c>
      <c r="F206" s="18" t="s">
        <v>170</v>
      </c>
      <c r="G206" s="12"/>
      <c r="H206" s="12"/>
      <c r="I206" s="12"/>
      <c r="J206" s="14"/>
      <c r="K206" s="12"/>
      <c r="L206" s="12" t="str">
        <f t="shared" si="1"/>
        <v/>
      </c>
      <c r="M206" s="12"/>
      <c r="N206" s="12"/>
      <c r="O206" s="18" t="s">
        <v>27</v>
      </c>
      <c r="P206" s="15"/>
      <c r="Q206" s="7"/>
      <c r="R206" s="7"/>
      <c r="S206" s="7"/>
      <c r="T206" s="8"/>
      <c r="U206" s="8"/>
    </row>
    <row r="207" spans="1:21">
      <c r="A207" s="10"/>
      <c r="B207" s="11"/>
      <c r="C207" s="12"/>
      <c r="D207" s="13"/>
      <c r="E207" s="12"/>
      <c r="F207" s="12"/>
      <c r="G207" s="12"/>
      <c r="H207" s="12"/>
      <c r="I207" s="12"/>
      <c r="J207" s="14"/>
      <c r="K207" s="12"/>
      <c r="L207" s="12" t="str">
        <f t="shared" si="1"/>
        <v/>
      </c>
      <c r="M207" s="12"/>
      <c r="N207" s="12"/>
      <c r="O207" s="12"/>
      <c r="P207" s="15"/>
      <c r="Q207" s="7"/>
      <c r="R207" s="7"/>
      <c r="S207" s="7"/>
      <c r="T207" s="8"/>
      <c r="U207" s="8"/>
    </row>
    <row r="208" spans="1:21">
      <c r="A208" s="10"/>
      <c r="B208" s="11"/>
      <c r="C208" s="12"/>
      <c r="D208" s="13"/>
      <c r="E208" s="12"/>
      <c r="F208" s="12"/>
      <c r="G208" s="12"/>
      <c r="H208" s="12"/>
      <c r="I208" s="12"/>
      <c r="J208" s="14"/>
      <c r="K208" s="12"/>
      <c r="L208" s="12" t="str">
        <f t="shared" si="1"/>
        <v/>
      </c>
      <c r="M208" s="12"/>
      <c r="N208" s="12"/>
      <c r="O208" s="12"/>
      <c r="P208" s="15"/>
      <c r="Q208" s="7"/>
      <c r="R208" s="7"/>
      <c r="S208" s="7"/>
      <c r="T208" s="8"/>
      <c r="U208" s="8"/>
    </row>
    <row r="209" spans="1:21">
      <c r="A209" s="10"/>
      <c r="B209" s="11"/>
      <c r="C209" s="12"/>
      <c r="D209" s="13"/>
      <c r="E209" s="12"/>
      <c r="F209" s="12"/>
      <c r="G209" s="12"/>
      <c r="H209" s="12"/>
      <c r="I209" s="12"/>
      <c r="J209" s="14"/>
      <c r="K209" s="12"/>
      <c r="L209" s="12" t="str">
        <f t="shared" si="1"/>
        <v/>
      </c>
      <c r="M209" s="12"/>
      <c r="N209" s="12"/>
      <c r="O209" s="12"/>
      <c r="P209" s="15"/>
      <c r="Q209" s="7"/>
      <c r="R209" s="7"/>
      <c r="S209" s="7"/>
      <c r="T209" s="8"/>
      <c r="U209" s="8"/>
    </row>
    <row r="210" spans="1:21">
      <c r="A210" s="10"/>
      <c r="B210" s="11"/>
      <c r="C210" s="12"/>
      <c r="D210" s="13"/>
      <c r="E210" s="12"/>
      <c r="F210" s="12"/>
      <c r="G210" s="12"/>
      <c r="H210" s="12"/>
      <c r="I210" s="12"/>
      <c r="J210" s="14"/>
      <c r="K210" s="12"/>
      <c r="L210" s="12" t="str">
        <f t="shared" si="1"/>
        <v/>
      </c>
      <c r="M210" s="12"/>
      <c r="N210" s="12"/>
      <c r="O210" s="12"/>
      <c r="P210" s="15"/>
      <c r="Q210" s="7"/>
      <c r="R210" s="7"/>
      <c r="S210" s="7"/>
      <c r="T210" s="8"/>
      <c r="U210" s="8"/>
    </row>
    <row r="211" spans="1:21">
      <c r="A211" s="10"/>
      <c r="B211" s="11"/>
      <c r="C211" s="12"/>
      <c r="D211" s="13"/>
      <c r="E211" s="12"/>
      <c r="F211" s="12"/>
      <c r="G211" s="12"/>
      <c r="H211" s="12"/>
      <c r="I211" s="12"/>
      <c r="J211" s="14"/>
      <c r="K211" s="12"/>
      <c r="L211" s="12" t="str">
        <f t="shared" si="1"/>
        <v/>
      </c>
      <c r="M211" s="12"/>
      <c r="N211" s="12"/>
      <c r="O211" s="12"/>
      <c r="P211" s="15"/>
      <c r="Q211" s="7"/>
      <c r="R211" s="7"/>
      <c r="S211" s="7"/>
      <c r="T211" s="8"/>
      <c r="U211" s="8"/>
    </row>
    <row r="212" spans="1:21">
      <c r="A212" s="10"/>
      <c r="B212" s="11"/>
      <c r="C212" s="12"/>
      <c r="D212" s="13"/>
      <c r="E212" s="12"/>
      <c r="F212" s="12"/>
      <c r="G212" s="12"/>
      <c r="H212" s="12"/>
      <c r="I212" s="12"/>
      <c r="J212" s="14"/>
      <c r="K212" s="12"/>
      <c r="L212" s="12" t="str">
        <f t="shared" si="1"/>
        <v/>
      </c>
      <c r="M212" s="12"/>
      <c r="N212" s="12"/>
      <c r="O212" s="12"/>
      <c r="P212" s="15"/>
      <c r="Q212" s="7"/>
      <c r="R212" s="7"/>
      <c r="S212" s="7"/>
      <c r="T212" s="8"/>
      <c r="U212" s="8"/>
    </row>
    <row r="213" spans="1:21">
      <c r="A213" s="10"/>
      <c r="B213" s="11"/>
      <c r="C213" s="12"/>
      <c r="D213" s="13"/>
      <c r="E213" s="12"/>
      <c r="F213" s="12"/>
      <c r="G213" s="12"/>
      <c r="H213" s="12"/>
      <c r="I213" s="12"/>
      <c r="J213" s="14"/>
      <c r="K213" s="12"/>
      <c r="L213" s="12" t="str">
        <f t="shared" si="1"/>
        <v/>
      </c>
      <c r="M213" s="12"/>
      <c r="N213" s="12"/>
      <c r="O213" s="12"/>
      <c r="P213" s="15"/>
      <c r="Q213" s="7"/>
      <c r="R213" s="7"/>
      <c r="S213" s="7"/>
      <c r="T213" s="8"/>
      <c r="U213" s="8"/>
    </row>
    <row r="214" spans="1:21">
      <c r="A214" s="10"/>
      <c r="B214" s="11"/>
      <c r="C214" s="12"/>
      <c r="D214" s="13"/>
      <c r="E214" s="12"/>
      <c r="F214" s="12"/>
      <c r="G214" s="12"/>
      <c r="H214" s="12"/>
      <c r="I214" s="12"/>
      <c r="J214" s="14"/>
      <c r="K214" s="12"/>
      <c r="L214" s="12" t="str">
        <f t="shared" si="1"/>
        <v/>
      </c>
      <c r="M214" s="12"/>
      <c r="N214" s="12"/>
      <c r="O214" s="12"/>
      <c r="P214" s="15"/>
      <c r="Q214" s="7"/>
      <c r="R214" s="7"/>
      <c r="S214" s="7"/>
      <c r="T214" s="8"/>
      <c r="U214" s="8"/>
    </row>
    <row r="215" spans="1:21">
      <c r="A215" s="10"/>
      <c r="B215" s="11"/>
      <c r="C215" s="12"/>
      <c r="D215" s="13"/>
      <c r="E215" s="12"/>
      <c r="F215" s="12"/>
      <c r="G215" s="12"/>
      <c r="H215" s="12"/>
      <c r="I215" s="12"/>
      <c r="J215" s="14"/>
      <c r="K215" s="12"/>
      <c r="L215" s="12" t="str">
        <f t="shared" si="1"/>
        <v/>
      </c>
      <c r="M215" s="12"/>
      <c r="N215" s="12"/>
      <c r="O215" s="12"/>
      <c r="P215" s="15"/>
      <c r="Q215" s="7"/>
      <c r="R215" s="7"/>
      <c r="S215" s="7"/>
      <c r="T215" s="8"/>
      <c r="U215" s="8"/>
    </row>
    <row r="216" spans="1:21">
      <c r="A216" s="10"/>
      <c r="B216" s="11"/>
      <c r="C216" s="12"/>
      <c r="D216" s="13"/>
      <c r="E216" s="12"/>
      <c r="F216" s="12"/>
      <c r="G216" s="12"/>
      <c r="H216" s="12"/>
      <c r="I216" s="12"/>
      <c r="J216" s="14"/>
      <c r="K216" s="12"/>
      <c r="L216" s="12" t="str">
        <f t="shared" si="1"/>
        <v/>
      </c>
      <c r="M216" s="12"/>
      <c r="N216" s="12"/>
      <c r="O216" s="12"/>
      <c r="P216" s="15"/>
      <c r="Q216" s="7"/>
      <c r="R216" s="7"/>
      <c r="S216" s="7"/>
      <c r="T216" s="8"/>
      <c r="U216" s="8"/>
    </row>
    <row r="217" spans="1:21">
      <c r="A217" s="10"/>
      <c r="B217" s="11"/>
      <c r="C217" s="12"/>
      <c r="D217" s="13"/>
      <c r="E217" s="12"/>
      <c r="F217" s="12"/>
      <c r="G217" s="12"/>
      <c r="H217" s="12"/>
      <c r="I217" s="12"/>
      <c r="J217" s="14"/>
      <c r="K217" s="12"/>
      <c r="L217" s="12" t="str">
        <f t="shared" si="1"/>
        <v/>
      </c>
      <c r="M217" s="12"/>
      <c r="N217" s="12"/>
      <c r="O217" s="12"/>
      <c r="P217" s="15"/>
      <c r="Q217" s="7"/>
      <c r="R217" s="7"/>
      <c r="S217" s="7"/>
      <c r="T217" s="8"/>
      <c r="U217" s="8"/>
    </row>
    <row r="218" spans="1:21">
      <c r="A218" s="10"/>
      <c r="B218" s="11"/>
      <c r="C218" s="12"/>
      <c r="D218" s="13"/>
      <c r="E218" s="12"/>
      <c r="F218" s="12"/>
      <c r="G218" s="12"/>
      <c r="H218" s="12"/>
      <c r="I218" s="12"/>
      <c r="J218" s="14"/>
      <c r="K218" s="12"/>
      <c r="L218" s="12" t="str">
        <f t="shared" si="1"/>
        <v/>
      </c>
      <c r="M218" s="12"/>
      <c r="N218" s="12"/>
      <c r="O218" s="12"/>
      <c r="P218" s="15"/>
      <c r="Q218" s="7"/>
      <c r="R218" s="7"/>
      <c r="S218" s="7"/>
      <c r="T218" s="8"/>
      <c r="U218" s="8"/>
    </row>
    <row r="219" spans="1:21">
      <c r="A219" s="10"/>
      <c r="B219" s="11"/>
      <c r="C219" s="12"/>
      <c r="D219" s="13"/>
      <c r="E219" s="12"/>
      <c r="F219" s="12"/>
      <c r="G219" s="12"/>
      <c r="H219" s="12"/>
      <c r="I219" s="12"/>
      <c r="J219" s="14"/>
      <c r="K219" s="12"/>
      <c r="L219" s="12" t="str">
        <f t="shared" si="1"/>
        <v/>
      </c>
      <c r="M219" s="12"/>
      <c r="N219" s="12"/>
      <c r="O219" s="12"/>
      <c r="P219" s="15"/>
      <c r="Q219" s="7"/>
      <c r="R219" s="7"/>
      <c r="S219" s="7"/>
      <c r="T219" s="8"/>
      <c r="U219" s="8"/>
    </row>
    <row r="220" spans="1:21">
      <c r="A220" s="10"/>
      <c r="B220" s="11"/>
      <c r="C220" s="12"/>
      <c r="D220" s="13"/>
      <c r="E220" s="12"/>
      <c r="F220" s="12"/>
      <c r="G220" s="12"/>
      <c r="H220" s="12"/>
      <c r="I220" s="12"/>
      <c r="J220" s="14"/>
      <c r="K220" s="12"/>
      <c r="L220" s="12" t="str">
        <f t="shared" si="1"/>
        <v/>
      </c>
      <c r="M220" s="12"/>
      <c r="N220" s="12"/>
      <c r="O220" s="12"/>
      <c r="P220" s="15"/>
      <c r="Q220" s="7"/>
      <c r="R220" s="7"/>
      <c r="S220" s="7"/>
      <c r="T220" s="8"/>
      <c r="U220" s="8"/>
    </row>
    <row r="221" spans="1:21">
      <c r="A221" s="10"/>
      <c r="B221" s="11"/>
      <c r="C221" s="12"/>
      <c r="D221" s="13"/>
      <c r="E221" s="12"/>
      <c r="F221" s="12"/>
      <c r="G221" s="12"/>
      <c r="H221" s="12"/>
      <c r="I221" s="12"/>
      <c r="J221" s="14"/>
      <c r="K221" s="12"/>
      <c r="L221" s="12" t="str">
        <f t="shared" si="1"/>
        <v/>
      </c>
      <c r="M221" s="12"/>
      <c r="N221" s="12"/>
      <c r="O221" s="12"/>
      <c r="P221" s="15"/>
      <c r="Q221" s="7"/>
      <c r="R221" s="7"/>
      <c r="S221" s="7"/>
      <c r="T221" s="8"/>
      <c r="U221" s="8"/>
    </row>
    <row r="222" spans="1:21">
      <c r="A222" s="10"/>
      <c r="B222" s="11"/>
      <c r="C222" s="12"/>
      <c r="D222" s="13"/>
      <c r="E222" s="12"/>
      <c r="F222" s="12"/>
      <c r="G222" s="12"/>
      <c r="H222" s="12"/>
      <c r="I222" s="12"/>
      <c r="J222" s="14"/>
      <c r="K222" s="12"/>
      <c r="L222" s="12" t="str">
        <f t="shared" si="1"/>
        <v/>
      </c>
      <c r="M222" s="12"/>
      <c r="N222" s="12"/>
      <c r="O222" s="12"/>
      <c r="P222" s="15"/>
      <c r="Q222" s="7"/>
      <c r="R222" s="7"/>
      <c r="S222" s="7"/>
      <c r="T222" s="8"/>
      <c r="U222" s="8"/>
    </row>
    <row r="223" spans="1:21">
      <c r="A223" s="10"/>
      <c r="B223" s="11"/>
      <c r="C223" s="12"/>
      <c r="D223" s="13"/>
      <c r="E223" s="12"/>
      <c r="F223" s="12"/>
      <c r="G223" s="12"/>
      <c r="H223" s="12"/>
      <c r="I223" s="12"/>
      <c r="J223" s="14"/>
      <c r="K223" s="12"/>
      <c r="L223" s="12" t="str">
        <f t="shared" si="1"/>
        <v/>
      </c>
      <c r="M223" s="12"/>
      <c r="N223" s="12"/>
      <c r="O223" s="12"/>
      <c r="P223" s="15"/>
      <c r="Q223" s="7"/>
      <c r="R223" s="7"/>
      <c r="S223" s="7"/>
      <c r="T223" s="8"/>
      <c r="U223" s="8"/>
    </row>
    <row r="224" spans="1:21">
      <c r="A224" s="10"/>
      <c r="B224" s="11"/>
      <c r="C224" s="12"/>
      <c r="D224" s="13"/>
      <c r="E224" s="12"/>
      <c r="F224" s="12"/>
      <c r="G224" s="12"/>
      <c r="H224" s="12"/>
      <c r="I224" s="12"/>
      <c r="J224" s="14"/>
      <c r="K224" s="12"/>
      <c r="L224" s="12" t="str">
        <f t="shared" si="1"/>
        <v/>
      </c>
      <c r="M224" s="12"/>
      <c r="N224" s="12"/>
      <c r="O224" s="12"/>
      <c r="P224" s="15"/>
      <c r="Q224" s="7"/>
      <c r="R224" s="7"/>
      <c r="S224" s="7"/>
      <c r="T224" s="8"/>
      <c r="U224" s="8"/>
    </row>
    <row r="225" spans="1:21">
      <c r="A225" s="10"/>
      <c r="B225" s="11"/>
      <c r="C225" s="12"/>
      <c r="D225" s="13"/>
      <c r="E225" s="12"/>
      <c r="F225" s="12"/>
      <c r="G225" s="12"/>
      <c r="H225" s="12"/>
      <c r="I225" s="12"/>
      <c r="J225" s="14"/>
      <c r="K225" s="12"/>
      <c r="L225" s="12" t="str">
        <f t="shared" si="1"/>
        <v/>
      </c>
      <c r="M225" s="12"/>
      <c r="N225" s="12"/>
      <c r="O225" s="12"/>
      <c r="P225" s="15"/>
      <c r="Q225" s="7"/>
      <c r="R225" s="7"/>
      <c r="S225" s="7"/>
      <c r="T225" s="8"/>
      <c r="U225" s="8"/>
    </row>
    <row r="226" spans="1:21">
      <c r="A226" s="10"/>
      <c r="B226" s="11"/>
      <c r="C226" s="12"/>
      <c r="D226" s="13"/>
      <c r="E226" s="12"/>
      <c r="F226" s="12"/>
      <c r="G226" s="12"/>
      <c r="H226" s="12"/>
      <c r="I226" s="12"/>
      <c r="J226" s="14"/>
      <c r="K226" s="12"/>
      <c r="L226" s="12" t="str">
        <f t="shared" si="1"/>
        <v/>
      </c>
      <c r="M226" s="12"/>
      <c r="N226" s="12"/>
      <c r="O226" s="12"/>
      <c r="P226" s="15"/>
      <c r="Q226" s="7"/>
      <c r="R226" s="7"/>
      <c r="S226" s="7"/>
      <c r="T226" s="8"/>
      <c r="U226" s="8"/>
    </row>
    <row r="227" spans="1:21">
      <c r="A227" s="10"/>
      <c r="B227" s="11"/>
      <c r="C227" s="12"/>
      <c r="D227" s="13"/>
      <c r="E227" s="12"/>
      <c r="F227" s="12"/>
      <c r="G227" s="12"/>
      <c r="H227" s="12"/>
      <c r="I227" s="12"/>
      <c r="J227" s="14"/>
      <c r="K227" s="12"/>
      <c r="L227" s="12" t="str">
        <f t="shared" si="1"/>
        <v/>
      </c>
      <c r="M227" s="12"/>
      <c r="N227" s="12"/>
      <c r="O227" s="12"/>
      <c r="P227" s="15"/>
      <c r="Q227" s="7"/>
      <c r="R227" s="7"/>
      <c r="S227" s="7"/>
      <c r="T227" s="8"/>
      <c r="U227" s="8"/>
    </row>
    <row r="228" spans="1:21">
      <c r="A228" s="10"/>
      <c r="B228" s="11"/>
      <c r="C228" s="12"/>
      <c r="D228" s="13"/>
      <c r="E228" s="12"/>
      <c r="F228" s="12"/>
      <c r="G228" s="12"/>
      <c r="H228" s="12"/>
      <c r="I228" s="12"/>
      <c r="J228" s="14"/>
      <c r="K228" s="12"/>
      <c r="L228" s="12" t="str">
        <f t="shared" si="1"/>
        <v/>
      </c>
      <c r="M228" s="12"/>
      <c r="N228" s="12"/>
      <c r="O228" s="12"/>
      <c r="P228" s="15"/>
      <c r="Q228" s="7"/>
      <c r="R228" s="7"/>
      <c r="S228" s="7"/>
      <c r="T228" s="8"/>
      <c r="U228" s="8"/>
    </row>
    <row r="229" spans="1:21">
      <c r="A229" s="10"/>
      <c r="B229" s="16"/>
      <c r="C229" s="12"/>
      <c r="D229" s="13"/>
      <c r="E229" s="12"/>
      <c r="F229" s="12"/>
      <c r="G229" s="12"/>
      <c r="H229" s="12"/>
      <c r="I229" s="12"/>
      <c r="J229" s="14"/>
      <c r="K229" s="12"/>
      <c r="L229" s="12" t="str">
        <f t="shared" si="1"/>
        <v/>
      </c>
      <c r="M229" s="12"/>
      <c r="N229" s="12"/>
      <c r="O229" s="12"/>
      <c r="P229" s="15"/>
      <c r="Q229" s="7"/>
      <c r="R229" s="7"/>
      <c r="S229" s="7"/>
      <c r="T229" s="8"/>
      <c r="U229" s="8"/>
    </row>
    <row r="230" spans="1:21">
      <c r="A230" s="10"/>
      <c r="B230" s="11"/>
      <c r="C230" s="12"/>
      <c r="D230" s="13"/>
      <c r="E230" s="12"/>
      <c r="F230" s="12"/>
      <c r="G230" s="12"/>
      <c r="H230" s="12"/>
      <c r="I230" s="12"/>
      <c r="J230" s="14"/>
      <c r="K230" s="12"/>
      <c r="L230" s="12" t="str">
        <f t="shared" si="1"/>
        <v/>
      </c>
      <c r="M230" s="12"/>
      <c r="N230" s="12"/>
      <c r="O230" s="12"/>
      <c r="P230" s="15"/>
      <c r="Q230" s="7"/>
      <c r="R230" s="7"/>
      <c r="S230" s="7"/>
      <c r="T230" s="8"/>
      <c r="U230" s="8"/>
    </row>
    <row r="231" spans="1:21">
      <c r="A231" s="10"/>
      <c r="B231" s="11"/>
      <c r="C231" s="12"/>
      <c r="D231" s="13"/>
      <c r="E231" s="12"/>
      <c r="F231" s="12"/>
      <c r="G231" s="12"/>
      <c r="H231" s="12"/>
      <c r="I231" s="12"/>
      <c r="J231" s="14"/>
      <c r="K231" s="12"/>
      <c r="L231" s="12" t="str">
        <f t="shared" si="1"/>
        <v/>
      </c>
      <c r="M231" s="12"/>
      <c r="N231" s="12"/>
      <c r="O231" s="12"/>
      <c r="P231" s="15"/>
      <c r="Q231" s="7"/>
      <c r="R231" s="7"/>
      <c r="S231" s="7"/>
      <c r="T231" s="8"/>
      <c r="U231" s="8"/>
    </row>
    <row r="232" spans="1:21">
      <c r="A232" s="10"/>
      <c r="B232" s="11"/>
      <c r="C232" s="12"/>
      <c r="D232" s="13"/>
      <c r="E232" s="12"/>
      <c r="F232" s="12"/>
      <c r="G232" s="12"/>
      <c r="H232" s="12"/>
      <c r="I232" s="12"/>
      <c r="J232" s="14"/>
      <c r="K232" s="12"/>
      <c r="L232" s="12" t="str">
        <f t="shared" si="1"/>
        <v/>
      </c>
      <c r="M232" s="12"/>
      <c r="N232" s="12"/>
      <c r="O232" s="12"/>
      <c r="P232" s="15"/>
      <c r="Q232" s="7"/>
      <c r="R232" s="7"/>
      <c r="S232" s="7"/>
      <c r="T232" s="8"/>
      <c r="U232" s="8"/>
    </row>
    <row r="233" spans="1:21">
      <c r="A233" s="10"/>
      <c r="B233" s="11"/>
      <c r="C233" s="12"/>
      <c r="D233" s="13"/>
      <c r="E233" s="12"/>
      <c r="F233" s="12"/>
      <c r="G233" s="12"/>
      <c r="H233" s="12"/>
      <c r="I233" s="12"/>
      <c r="J233" s="14"/>
      <c r="K233" s="12"/>
      <c r="L233" s="12" t="str">
        <f t="shared" si="1"/>
        <v/>
      </c>
      <c r="M233" s="12"/>
      <c r="N233" s="12"/>
      <c r="O233" s="12"/>
      <c r="P233" s="15"/>
      <c r="Q233" s="7"/>
      <c r="R233" s="7"/>
      <c r="S233" s="7"/>
      <c r="T233" s="8"/>
      <c r="U233" s="8"/>
    </row>
    <row r="234" spans="1:21">
      <c r="A234" s="10"/>
      <c r="B234" s="11"/>
      <c r="C234" s="12"/>
      <c r="D234" s="13"/>
      <c r="E234" s="12"/>
      <c r="F234" s="12"/>
      <c r="G234" s="12"/>
      <c r="H234" s="12"/>
      <c r="I234" s="12"/>
      <c r="J234" s="14"/>
      <c r="K234" s="12"/>
      <c r="L234" s="12" t="str">
        <f t="shared" si="1"/>
        <v/>
      </c>
      <c r="M234" s="12"/>
      <c r="N234" s="12"/>
      <c r="O234" s="12"/>
      <c r="P234" s="15"/>
      <c r="Q234" s="7"/>
      <c r="R234" s="7"/>
      <c r="S234" s="7"/>
      <c r="T234" s="8"/>
      <c r="U234" s="8"/>
    </row>
    <row r="235" spans="1:21">
      <c r="A235" s="10"/>
      <c r="B235" s="11"/>
      <c r="C235" s="12"/>
      <c r="D235" s="13"/>
      <c r="E235" s="12"/>
      <c r="F235" s="12"/>
      <c r="G235" s="12"/>
      <c r="H235" s="12"/>
      <c r="I235" s="12"/>
      <c r="J235" s="14"/>
      <c r="K235" s="12"/>
      <c r="L235" s="12" t="str">
        <f t="shared" si="1"/>
        <v/>
      </c>
      <c r="M235" s="12"/>
      <c r="N235" s="12"/>
      <c r="O235" s="12"/>
      <c r="P235" s="15"/>
      <c r="Q235" s="7"/>
      <c r="R235" s="7"/>
      <c r="S235" s="7"/>
      <c r="T235" s="8"/>
      <c r="U235" s="8"/>
    </row>
    <row r="236" spans="1:21">
      <c r="A236" s="10"/>
      <c r="B236" s="11"/>
      <c r="C236" s="12"/>
      <c r="D236" s="13"/>
      <c r="E236" s="12"/>
      <c r="F236" s="12"/>
      <c r="G236" s="12"/>
      <c r="H236" s="12"/>
      <c r="I236" s="12"/>
      <c r="J236" s="14"/>
      <c r="K236" s="12"/>
      <c r="L236" s="12" t="str">
        <f t="shared" si="1"/>
        <v/>
      </c>
      <c r="M236" s="12"/>
      <c r="N236" s="12"/>
      <c r="O236" s="12"/>
      <c r="P236" s="15"/>
      <c r="Q236" s="7"/>
      <c r="R236" s="7"/>
      <c r="S236" s="7"/>
      <c r="T236" s="8"/>
      <c r="U236" s="8"/>
    </row>
    <row r="237" spans="1:21">
      <c r="A237" s="10"/>
      <c r="B237" s="11"/>
      <c r="C237" s="12"/>
      <c r="D237" s="13"/>
      <c r="E237" s="12"/>
      <c r="F237" s="12"/>
      <c r="G237" s="12"/>
      <c r="H237" s="12"/>
      <c r="I237" s="12"/>
      <c r="J237" s="14"/>
      <c r="K237" s="12"/>
      <c r="L237" s="12" t="str">
        <f t="shared" si="1"/>
        <v/>
      </c>
      <c r="M237" s="12"/>
      <c r="N237" s="12"/>
      <c r="O237" s="12"/>
      <c r="P237" s="15"/>
      <c r="Q237" s="7"/>
      <c r="R237" s="7"/>
      <c r="S237" s="7"/>
      <c r="T237" s="8"/>
      <c r="U237" s="8"/>
    </row>
    <row r="238" spans="1:21">
      <c r="A238" s="10"/>
      <c r="B238" s="11"/>
      <c r="C238" s="12"/>
      <c r="D238" s="13"/>
      <c r="E238" s="12"/>
      <c r="F238" s="12"/>
      <c r="G238" s="12"/>
      <c r="H238" s="12"/>
      <c r="I238" s="12"/>
      <c r="J238" s="14"/>
      <c r="K238" s="12"/>
      <c r="L238" s="12" t="str">
        <f t="shared" si="1"/>
        <v/>
      </c>
      <c r="M238" s="12"/>
      <c r="N238" s="12"/>
      <c r="O238" s="12"/>
      <c r="P238" s="15"/>
      <c r="Q238" s="7"/>
      <c r="R238" s="7"/>
      <c r="S238" s="7"/>
      <c r="T238" s="8"/>
      <c r="U238" s="8"/>
    </row>
    <row r="239" spans="1:21">
      <c r="A239" s="10"/>
      <c r="B239" s="11"/>
      <c r="C239" s="12"/>
      <c r="D239" s="13"/>
      <c r="E239" s="12"/>
      <c r="F239" s="12"/>
      <c r="G239" s="12"/>
      <c r="H239" s="12"/>
      <c r="I239" s="12"/>
      <c r="J239" s="14"/>
      <c r="K239" s="12"/>
      <c r="L239" s="12" t="str">
        <f t="shared" si="1"/>
        <v/>
      </c>
      <c r="M239" s="12"/>
      <c r="N239" s="12"/>
      <c r="O239" s="12"/>
      <c r="P239" s="15"/>
      <c r="Q239" s="7"/>
      <c r="R239" s="7"/>
      <c r="S239" s="7"/>
      <c r="T239" s="8"/>
      <c r="U239" s="8"/>
    </row>
    <row r="240" spans="1:21">
      <c r="A240" s="10"/>
      <c r="B240" s="11"/>
      <c r="C240" s="12"/>
      <c r="D240" s="13"/>
      <c r="E240" s="12"/>
      <c r="F240" s="12"/>
      <c r="G240" s="12"/>
      <c r="H240" s="12"/>
      <c r="I240" s="12"/>
      <c r="J240" s="14"/>
      <c r="K240" s="12"/>
      <c r="L240" s="12" t="str">
        <f t="shared" si="1"/>
        <v/>
      </c>
      <c r="M240" s="12"/>
      <c r="N240" s="12"/>
      <c r="O240" s="12"/>
      <c r="P240" s="15"/>
      <c r="Q240" s="7"/>
      <c r="R240" s="7"/>
      <c r="S240" s="7"/>
      <c r="T240" s="8"/>
      <c r="U240" s="8"/>
    </row>
    <row r="241" spans="1:21">
      <c r="A241" s="10"/>
      <c r="B241" s="11"/>
      <c r="C241" s="12"/>
      <c r="D241" s="13"/>
      <c r="E241" s="12"/>
      <c r="F241" s="12"/>
      <c r="G241" s="12"/>
      <c r="H241" s="12"/>
      <c r="I241" s="12"/>
      <c r="J241" s="14"/>
      <c r="K241" s="12"/>
      <c r="L241" s="12" t="str">
        <f t="shared" si="1"/>
        <v/>
      </c>
      <c r="M241" s="12"/>
      <c r="N241" s="12"/>
      <c r="O241" s="12"/>
      <c r="P241" s="15"/>
      <c r="Q241" s="7"/>
      <c r="R241" s="7"/>
      <c r="S241" s="7"/>
      <c r="T241" s="8"/>
      <c r="U241" s="8"/>
    </row>
    <row r="242" spans="1:21">
      <c r="A242" s="10"/>
      <c r="B242" s="11"/>
      <c r="C242" s="12"/>
      <c r="D242" s="13"/>
      <c r="E242" s="12"/>
      <c r="F242" s="12"/>
      <c r="G242" s="12"/>
      <c r="H242" s="12"/>
      <c r="I242" s="12"/>
      <c r="J242" s="14"/>
      <c r="K242" s="12"/>
      <c r="L242" s="12" t="str">
        <f t="shared" si="1"/>
        <v/>
      </c>
      <c r="M242" s="12"/>
      <c r="N242" s="12"/>
      <c r="O242" s="12"/>
      <c r="P242" s="15"/>
      <c r="Q242" s="7"/>
      <c r="R242" s="7"/>
      <c r="S242" s="7"/>
      <c r="T242" s="8"/>
      <c r="U242" s="8"/>
    </row>
    <row r="243" spans="1:21">
      <c r="A243" s="10"/>
      <c r="B243" s="11"/>
      <c r="C243" s="12"/>
      <c r="D243" s="13"/>
      <c r="E243" s="12"/>
      <c r="F243" s="12"/>
      <c r="G243" s="12"/>
      <c r="H243" s="12"/>
      <c r="I243" s="12"/>
      <c r="J243" s="14"/>
      <c r="K243" s="12"/>
      <c r="L243" s="12" t="str">
        <f t="shared" si="1"/>
        <v/>
      </c>
      <c r="M243" s="12"/>
      <c r="N243" s="12"/>
      <c r="O243" s="12"/>
      <c r="P243" s="15"/>
      <c r="Q243" s="7"/>
      <c r="R243" s="7"/>
      <c r="S243" s="7"/>
      <c r="T243" s="8"/>
      <c r="U243" s="8"/>
    </row>
    <row r="244" spans="1:21">
      <c r="A244" s="10"/>
      <c r="B244" s="11"/>
      <c r="C244" s="12"/>
      <c r="D244" s="13"/>
      <c r="E244" s="12"/>
      <c r="F244" s="12"/>
      <c r="G244" s="12"/>
      <c r="H244" s="12"/>
      <c r="I244" s="12"/>
      <c r="J244" s="14"/>
      <c r="K244" s="12"/>
      <c r="L244" s="12" t="str">
        <f t="shared" si="1"/>
        <v/>
      </c>
      <c r="M244" s="12"/>
      <c r="N244" s="12"/>
      <c r="O244" s="12"/>
      <c r="P244" s="15"/>
      <c r="Q244" s="7"/>
      <c r="R244" s="7"/>
      <c r="S244" s="7"/>
      <c r="T244" s="8"/>
      <c r="U244" s="8"/>
    </row>
    <row r="245" spans="1:21">
      <c r="A245" s="10"/>
      <c r="B245" s="11"/>
      <c r="C245" s="12"/>
      <c r="D245" s="13"/>
      <c r="E245" s="12"/>
      <c r="F245" s="12"/>
      <c r="G245" s="12"/>
      <c r="H245" s="12"/>
      <c r="I245" s="12"/>
      <c r="J245" s="14"/>
      <c r="K245" s="12"/>
      <c r="L245" s="12" t="str">
        <f t="shared" si="1"/>
        <v/>
      </c>
      <c r="M245" s="12"/>
      <c r="N245" s="12"/>
      <c r="O245" s="12"/>
      <c r="P245" s="15"/>
      <c r="Q245" s="7"/>
      <c r="R245" s="7"/>
      <c r="S245" s="7"/>
      <c r="T245" s="8"/>
      <c r="U245" s="8"/>
    </row>
    <row r="246" spans="1:21">
      <c r="A246" s="10"/>
      <c r="B246" s="11"/>
      <c r="C246" s="12"/>
      <c r="D246" s="13"/>
      <c r="E246" s="12"/>
      <c r="F246" s="12"/>
      <c r="G246" s="12"/>
      <c r="H246" s="12"/>
      <c r="I246" s="12"/>
      <c r="J246" s="14"/>
      <c r="K246" s="12"/>
      <c r="L246" s="12" t="str">
        <f t="shared" si="1"/>
        <v/>
      </c>
      <c r="M246" s="12"/>
      <c r="N246" s="12"/>
      <c r="O246" s="12"/>
      <c r="P246" s="15"/>
      <c r="Q246" s="7"/>
      <c r="R246" s="7"/>
      <c r="S246" s="7"/>
      <c r="T246" s="8"/>
      <c r="U246" s="8"/>
    </row>
    <row r="247" spans="1:21">
      <c r="A247" s="10"/>
      <c r="B247" s="11"/>
      <c r="C247" s="12"/>
      <c r="D247" s="13"/>
      <c r="E247" s="12"/>
      <c r="F247" s="12"/>
      <c r="G247" s="12"/>
      <c r="H247" s="12"/>
      <c r="I247" s="12"/>
      <c r="J247" s="14"/>
      <c r="K247" s="12"/>
      <c r="L247" s="12" t="str">
        <f t="shared" si="1"/>
        <v/>
      </c>
      <c r="M247" s="12"/>
      <c r="N247" s="12"/>
      <c r="O247" s="12"/>
      <c r="P247" s="15"/>
      <c r="Q247" s="7"/>
      <c r="R247" s="7"/>
      <c r="S247" s="7"/>
      <c r="T247" s="8"/>
      <c r="U247" s="8"/>
    </row>
    <row r="248" spans="1:21">
      <c r="A248" s="10"/>
      <c r="B248" s="11"/>
      <c r="C248" s="12"/>
      <c r="D248" s="13"/>
      <c r="E248" s="12"/>
      <c r="F248" s="12"/>
      <c r="G248" s="12"/>
      <c r="H248" s="12"/>
      <c r="I248" s="12"/>
      <c r="J248" s="14"/>
      <c r="K248" s="12"/>
      <c r="L248" s="12" t="str">
        <f t="shared" si="1"/>
        <v/>
      </c>
      <c r="M248" s="12"/>
      <c r="N248" s="12"/>
      <c r="O248" s="12"/>
      <c r="P248" s="15"/>
      <c r="Q248" s="7"/>
      <c r="R248" s="7"/>
      <c r="S248" s="7"/>
      <c r="T248" s="8"/>
      <c r="U248" s="8"/>
    </row>
    <row r="249" spans="1:21">
      <c r="A249" s="10"/>
      <c r="B249" s="11"/>
      <c r="C249" s="12"/>
      <c r="D249" s="13"/>
      <c r="E249" s="12"/>
      <c r="F249" s="12"/>
      <c r="G249" s="12"/>
      <c r="H249" s="12"/>
      <c r="I249" s="12"/>
      <c r="J249" s="14"/>
      <c r="K249" s="12"/>
      <c r="L249" s="12" t="str">
        <f t="shared" si="1"/>
        <v/>
      </c>
      <c r="M249" s="12"/>
      <c r="N249" s="12"/>
      <c r="O249" s="12"/>
      <c r="P249" s="15"/>
      <c r="Q249" s="7"/>
      <c r="R249" s="7"/>
      <c r="S249" s="7"/>
      <c r="T249" s="8"/>
      <c r="U249" s="8"/>
    </row>
    <row r="250" spans="1:21">
      <c r="A250" s="10"/>
      <c r="B250" s="11"/>
      <c r="C250" s="12"/>
      <c r="D250" s="13"/>
      <c r="E250" s="12"/>
      <c r="F250" s="12"/>
      <c r="G250" s="12"/>
      <c r="H250" s="12"/>
      <c r="I250" s="12"/>
      <c r="J250" s="14"/>
      <c r="K250" s="12"/>
      <c r="L250" s="12" t="str">
        <f t="shared" si="1"/>
        <v/>
      </c>
      <c r="M250" s="12"/>
      <c r="N250" s="12"/>
      <c r="O250" s="12"/>
      <c r="P250" s="15"/>
      <c r="Q250" s="7"/>
      <c r="R250" s="7"/>
      <c r="S250" s="7"/>
      <c r="T250" s="8"/>
      <c r="U250" s="8"/>
    </row>
    <row r="251" spans="1:21">
      <c r="A251" s="10"/>
      <c r="B251" s="11"/>
      <c r="C251" s="12"/>
      <c r="D251" s="13"/>
      <c r="E251" s="12"/>
      <c r="F251" s="12"/>
      <c r="G251" s="12"/>
      <c r="H251" s="12"/>
      <c r="I251" s="12"/>
      <c r="J251" s="14"/>
      <c r="K251" s="12"/>
      <c r="L251" s="12" t="str">
        <f t="shared" si="1"/>
        <v/>
      </c>
      <c r="M251" s="12"/>
      <c r="N251" s="12"/>
      <c r="O251" s="12"/>
      <c r="P251" s="15"/>
      <c r="Q251" s="7"/>
      <c r="R251" s="7"/>
      <c r="S251" s="7"/>
      <c r="T251" s="8"/>
      <c r="U251" s="8"/>
    </row>
    <row r="252" spans="1:21">
      <c r="A252" s="10"/>
      <c r="B252" s="11"/>
      <c r="C252" s="12"/>
      <c r="D252" s="13"/>
      <c r="E252" s="12"/>
      <c r="F252" s="12"/>
      <c r="G252" s="12"/>
      <c r="H252" s="12"/>
      <c r="I252" s="12"/>
      <c r="J252" s="14"/>
      <c r="K252" s="12"/>
      <c r="L252" s="12" t="str">
        <f t="shared" si="1"/>
        <v/>
      </c>
      <c r="M252" s="12"/>
      <c r="N252" s="12"/>
      <c r="O252" s="12"/>
      <c r="P252" s="15"/>
      <c r="Q252" s="7"/>
      <c r="R252" s="7"/>
      <c r="S252" s="7"/>
      <c r="T252" s="8"/>
      <c r="U252" s="8"/>
    </row>
    <row r="253" spans="1:21">
      <c r="A253" s="10"/>
      <c r="B253" s="11"/>
      <c r="C253" s="12"/>
      <c r="D253" s="13"/>
      <c r="E253" s="12"/>
      <c r="F253" s="12"/>
      <c r="G253" s="12"/>
      <c r="H253" s="12"/>
      <c r="I253" s="12"/>
      <c r="J253" s="14"/>
      <c r="K253" s="12"/>
      <c r="L253" s="12" t="str">
        <f t="shared" si="1"/>
        <v/>
      </c>
      <c r="M253" s="12"/>
      <c r="N253" s="12"/>
      <c r="O253" s="12"/>
      <c r="P253" s="15"/>
      <c r="Q253" s="7"/>
      <c r="R253" s="7"/>
      <c r="S253" s="7"/>
      <c r="T253" s="8"/>
      <c r="U253" s="8"/>
    </row>
    <row r="254" spans="1:21">
      <c r="A254" s="10"/>
      <c r="B254" s="11"/>
      <c r="C254" s="12"/>
      <c r="D254" s="13"/>
      <c r="E254" s="12"/>
      <c r="F254" s="12"/>
      <c r="G254" s="12"/>
      <c r="H254" s="12"/>
      <c r="I254" s="12"/>
      <c r="J254" s="14"/>
      <c r="K254" s="12"/>
      <c r="L254" s="12" t="str">
        <f t="shared" si="1"/>
        <v/>
      </c>
      <c r="M254" s="12"/>
      <c r="N254" s="12"/>
      <c r="O254" s="12"/>
      <c r="P254" s="15"/>
      <c r="Q254" s="7"/>
      <c r="R254" s="7"/>
      <c r="S254" s="7"/>
      <c r="T254" s="8"/>
      <c r="U254" s="8"/>
    </row>
    <row r="255" spans="1:21">
      <c r="A255" s="10"/>
      <c r="B255" s="11"/>
      <c r="C255" s="12"/>
      <c r="D255" s="13"/>
      <c r="E255" s="12"/>
      <c r="F255" s="12"/>
      <c r="G255" s="12"/>
      <c r="H255" s="12"/>
      <c r="I255" s="12"/>
      <c r="J255" s="14"/>
      <c r="K255" s="12"/>
      <c r="L255" s="12" t="str">
        <f t="shared" si="1"/>
        <v/>
      </c>
      <c r="M255" s="12"/>
      <c r="N255" s="12"/>
      <c r="O255" s="12"/>
      <c r="P255" s="15"/>
      <c r="Q255" s="7"/>
      <c r="R255" s="7"/>
      <c r="S255" s="7"/>
      <c r="T255" s="8"/>
      <c r="U255" s="8"/>
    </row>
    <row r="256" spans="1:21">
      <c r="A256" s="10"/>
      <c r="B256" s="11"/>
      <c r="C256" s="12"/>
      <c r="D256" s="13"/>
      <c r="E256" s="12"/>
      <c r="F256" s="12"/>
      <c r="G256" s="12"/>
      <c r="H256" s="12"/>
      <c r="I256" s="12"/>
      <c r="J256" s="14"/>
      <c r="K256" s="12"/>
      <c r="L256" s="12" t="str">
        <f t="shared" si="1"/>
        <v/>
      </c>
      <c r="M256" s="12"/>
      <c r="N256" s="12"/>
      <c r="O256" s="12"/>
      <c r="P256" s="15"/>
      <c r="Q256" s="7"/>
      <c r="R256" s="7"/>
      <c r="S256" s="7"/>
      <c r="T256" s="8"/>
      <c r="U256" s="8"/>
    </row>
    <row r="257" spans="1:21">
      <c r="A257" s="10"/>
      <c r="B257" s="11"/>
      <c r="C257" s="12"/>
      <c r="D257" s="13"/>
      <c r="E257" s="12"/>
      <c r="F257" s="12"/>
      <c r="G257" s="12"/>
      <c r="H257" s="12"/>
      <c r="I257" s="12"/>
      <c r="J257" s="14"/>
      <c r="K257" s="12"/>
      <c r="L257" s="12" t="str">
        <f t="shared" si="1"/>
        <v/>
      </c>
      <c r="M257" s="12"/>
      <c r="N257" s="12"/>
      <c r="O257" s="12"/>
      <c r="P257" s="15"/>
      <c r="Q257" s="7"/>
      <c r="R257" s="7"/>
      <c r="S257" s="7"/>
      <c r="T257" s="8"/>
      <c r="U257" s="8"/>
    </row>
    <row r="258" spans="1:21">
      <c r="A258" s="10"/>
      <c r="B258" s="11"/>
      <c r="C258" s="12"/>
      <c r="D258" s="13"/>
      <c r="E258" s="12"/>
      <c r="F258" s="12"/>
      <c r="G258" s="12"/>
      <c r="H258" s="12"/>
      <c r="I258" s="12"/>
      <c r="J258" s="14"/>
      <c r="K258" s="12"/>
      <c r="L258" s="12" t="str">
        <f t="shared" si="1"/>
        <v/>
      </c>
      <c r="M258" s="12"/>
      <c r="N258" s="12"/>
      <c r="O258" s="12"/>
      <c r="P258" s="15"/>
      <c r="Q258" s="7"/>
      <c r="R258" s="7"/>
      <c r="S258" s="7"/>
      <c r="T258" s="8"/>
      <c r="U258" s="8"/>
    </row>
    <row r="259" spans="1:21">
      <c r="A259" s="10"/>
      <c r="B259" s="11"/>
      <c r="C259" s="12"/>
      <c r="D259" s="13"/>
      <c r="E259" s="12"/>
      <c r="F259" s="12"/>
      <c r="G259" s="12"/>
      <c r="H259" s="12"/>
      <c r="I259" s="12"/>
      <c r="J259" s="14"/>
      <c r="K259" s="12"/>
      <c r="L259" s="12" t="str">
        <f t="shared" si="1"/>
        <v/>
      </c>
      <c r="M259" s="12"/>
      <c r="N259" s="12"/>
      <c r="O259" s="12"/>
      <c r="P259" s="15"/>
      <c r="Q259" s="7"/>
      <c r="R259" s="7"/>
      <c r="S259" s="7"/>
      <c r="T259" s="8"/>
      <c r="U259" s="8"/>
    </row>
    <row r="260" spans="1:21">
      <c r="A260" s="10"/>
      <c r="B260" s="11"/>
      <c r="C260" s="12"/>
      <c r="D260" s="13"/>
      <c r="E260" s="12"/>
      <c r="F260" s="12"/>
      <c r="G260" s="12"/>
      <c r="H260" s="12"/>
      <c r="I260" s="12"/>
      <c r="J260" s="14"/>
      <c r="K260" s="12"/>
      <c r="L260" s="12" t="str">
        <f t="shared" si="1"/>
        <v/>
      </c>
      <c r="M260" s="12"/>
      <c r="N260" s="12"/>
      <c r="O260" s="12"/>
      <c r="P260" s="15"/>
      <c r="Q260" s="7"/>
      <c r="R260" s="7"/>
      <c r="S260" s="7"/>
      <c r="T260" s="8"/>
      <c r="U260" s="8"/>
    </row>
    <row r="261" spans="1:21">
      <c r="A261" s="10"/>
      <c r="B261" s="11"/>
      <c r="C261" s="12"/>
      <c r="D261" s="13"/>
      <c r="E261" s="12"/>
      <c r="F261" s="12"/>
      <c r="G261" s="12"/>
      <c r="H261" s="12"/>
      <c r="I261" s="12"/>
      <c r="J261" s="14"/>
      <c r="K261" s="12"/>
      <c r="L261" s="12" t="str">
        <f t="shared" si="1"/>
        <v/>
      </c>
      <c r="M261" s="12"/>
      <c r="N261" s="12"/>
      <c r="O261" s="12"/>
      <c r="P261" s="15"/>
      <c r="Q261" s="7"/>
      <c r="R261" s="7"/>
      <c r="S261" s="7"/>
      <c r="T261" s="8"/>
      <c r="U261" s="8"/>
    </row>
    <row r="262" spans="1:21">
      <c r="A262" s="10"/>
      <c r="B262" s="11"/>
      <c r="C262" s="12"/>
      <c r="D262" s="13"/>
      <c r="E262" s="12"/>
      <c r="F262" s="12"/>
      <c r="G262" s="12"/>
      <c r="H262" s="12"/>
      <c r="I262" s="12"/>
      <c r="J262" s="14"/>
      <c r="K262" s="12"/>
      <c r="L262" s="12" t="str">
        <f t="shared" si="1"/>
        <v/>
      </c>
      <c r="M262" s="12"/>
      <c r="N262" s="12"/>
      <c r="O262" s="12"/>
      <c r="P262" s="15"/>
      <c r="Q262" s="7"/>
      <c r="R262" s="7"/>
      <c r="S262" s="7"/>
      <c r="T262" s="8"/>
      <c r="U262" s="8"/>
    </row>
    <row r="263" spans="1:21">
      <c r="A263" s="10"/>
      <c r="B263" s="11"/>
      <c r="C263" s="12"/>
      <c r="D263" s="13"/>
      <c r="E263" s="12"/>
      <c r="F263" s="12"/>
      <c r="G263" s="12"/>
      <c r="H263" s="12"/>
      <c r="I263" s="12"/>
      <c r="J263" s="14"/>
      <c r="K263" s="12"/>
      <c r="L263" s="12" t="str">
        <f t="shared" si="1"/>
        <v/>
      </c>
      <c r="M263" s="12"/>
      <c r="N263" s="12"/>
      <c r="O263" s="12"/>
      <c r="P263" s="15"/>
      <c r="Q263" s="7"/>
      <c r="R263" s="7"/>
      <c r="S263" s="7"/>
      <c r="T263" s="8"/>
      <c r="U263" s="8"/>
    </row>
    <row r="264" spans="1:21">
      <c r="A264" s="10"/>
      <c r="B264" s="11"/>
      <c r="C264" s="12"/>
      <c r="D264" s="13"/>
      <c r="E264" s="12"/>
      <c r="F264" s="12"/>
      <c r="G264" s="12"/>
      <c r="H264" s="12"/>
      <c r="I264" s="12"/>
      <c r="J264" s="14"/>
      <c r="K264" s="12"/>
      <c r="L264" s="12" t="str">
        <f t="shared" si="1"/>
        <v/>
      </c>
      <c r="M264" s="12"/>
      <c r="N264" s="12"/>
      <c r="O264" s="12"/>
      <c r="P264" s="15"/>
      <c r="Q264" s="7"/>
      <c r="R264" s="7"/>
      <c r="S264" s="7"/>
      <c r="T264" s="8"/>
      <c r="U264" s="8"/>
    </row>
    <row r="265" spans="1:21">
      <c r="A265" s="10"/>
      <c r="B265" s="11"/>
      <c r="C265" s="12"/>
      <c r="D265" s="13"/>
      <c r="E265" s="12"/>
      <c r="F265" s="12"/>
      <c r="G265" s="12"/>
      <c r="H265" s="12"/>
      <c r="I265" s="12"/>
      <c r="J265" s="14"/>
      <c r="K265" s="12"/>
      <c r="L265" s="12" t="str">
        <f t="shared" si="1"/>
        <v/>
      </c>
      <c r="M265" s="12"/>
      <c r="N265" s="12"/>
      <c r="O265" s="12"/>
      <c r="P265" s="15"/>
      <c r="Q265" s="7"/>
      <c r="R265" s="7"/>
      <c r="S265" s="7"/>
      <c r="T265" s="8"/>
      <c r="U265" s="8"/>
    </row>
    <row r="266" spans="1:21">
      <c r="A266" s="10"/>
      <c r="B266" s="11"/>
      <c r="C266" s="12"/>
      <c r="D266" s="13"/>
      <c r="E266" s="12"/>
      <c r="F266" s="12"/>
      <c r="G266" s="12"/>
      <c r="H266" s="12"/>
      <c r="I266" s="12"/>
      <c r="J266" s="14"/>
      <c r="K266" s="12"/>
      <c r="L266" s="12" t="str">
        <f t="shared" si="1"/>
        <v/>
      </c>
      <c r="M266" s="12"/>
      <c r="N266" s="12"/>
      <c r="O266" s="12"/>
      <c r="P266" s="15"/>
      <c r="Q266" s="7"/>
      <c r="R266" s="7"/>
      <c r="S266" s="7"/>
      <c r="T266" s="8"/>
      <c r="U266" s="8"/>
    </row>
    <row r="267" spans="1:21">
      <c r="A267" s="10"/>
      <c r="B267" s="11"/>
      <c r="C267" s="12"/>
      <c r="D267" s="13"/>
      <c r="E267" s="12"/>
      <c r="F267" s="12"/>
      <c r="G267" s="12"/>
      <c r="H267" s="12"/>
      <c r="I267" s="12"/>
      <c r="J267" s="14"/>
      <c r="K267" s="12"/>
      <c r="L267" s="12" t="str">
        <f t="shared" si="1"/>
        <v/>
      </c>
      <c r="M267" s="12"/>
      <c r="N267" s="12"/>
      <c r="O267" s="12"/>
      <c r="P267" s="15"/>
      <c r="Q267" s="7"/>
      <c r="R267" s="7"/>
      <c r="S267" s="7"/>
      <c r="T267" s="8"/>
      <c r="U267" s="8"/>
    </row>
    <row r="268" spans="1:21">
      <c r="A268" s="10"/>
      <c r="B268" s="11"/>
      <c r="C268" s="12"/>
      <c r="D268" s="13"/>
      <c r="E268" s="12"/>
      <c r="F268" s="12"/>
      <c r="G268" s="12"/>
      <c r="H268" s="12"/>
      <c r="I268" s="12"/>
      <c r="J268" s="14"/>
      <c r="K268" s="12"/>
      <c r="L268" s="12" t="str">
        <f t="shared" si="1"/>
        <v/>
      </c>
      <c r="M268" s="12"/>
      <c r="N268" s="12"/>
      <c r="O268" s="12"/>
      <c r="P268" s="15"/>
      <c r="Q268" s="7"/>
      <c r="R268" s="7"/>
      <c r="S268" s="7"/>
      <c r="T268" s="8"/>
      <c r="U268" s="8"/>
    </row>
    <row r="269" spans="1:21">
      <c r="A269" s="10"/>
      <c r="B269" s="11"/>
      <c r="C269" s="12"/>
      <c r="D269" s="13"/>
      <c r="E269" s="12"/>
      <c r="F269" s="12"/>
      <c r="G269" s="12"/>
      <c r="H269" s="12"/>
      <c r="I269" s="12"/>
      <c r="J269" s="14"/>
      <c r="K269" s="12"/>
      <c r="L269" s="12" t="str">
        <f t="shared" si="1"/>
        <v/>
      </c>
      <c r="M269" s="12"/>
      <c r="N269" s="12"/>
      <c r="O269" s="12"/>
      <c r="P269" s="15"/>
      <c r="Q269" s="7"/>
      <c r="R269" s="7"/>
      <c r="S269" s="7"/>
      <c r="T269" s="8"/>
      <c r="U269" s="8"/>
    </row>
    <row r="270" spans="1:21">
      <c r="A270" s="10"/>
      <c r="B270" s="11"/>
      <c r="C270" s="12"/>
      <c r="D270" s="13"/>
      <c r="E270" s="12"/>
      <c r="F270" s="12"/>
      <c r="G270" s="12"/>
      <c r="H270" s="12"/>
      <c r="I270" s="12"/>
      <c r="J270" s="14"/>
      <c r="K270" s="12"/>
      <c r="L270" s="12" t="str">
        <f t="shared" si="1"/>
        <v/>
      </c>
      <c r="M270" s="12"/>
      <c r="N270" s="12"/>
      <c r="O270" s="12"/>
      <c r="P270" s="15"/>
      <c r="Q270" s="7"/>
      <c r="R270" s="7"/>
      <c r="S270" s="7"/>
      <c r="T270" s="8"/>
      <c r="U270" s="8"/>
    </row>
    <row r="271" spans="1:21">
      <c r="A271" s="10"/>
      <c r="B271" s="11"/>
      <c r="C271" s="12"/>
      <c r="D271" s="13"/>
      <c r="E271" s="12"/>
      <c r="F271" s="12"/>
      <c r="G271" s="12"/>
      <c r="H271" s="12"/>
      <c r="I271" s="12"/>
      <c r="J271" s="14"/>
      <c r="K271" s="12"/>
      <c r="L271" s="12" t="str">
        <f t="shared" si="1"/>
        <v/>
      </c>
      <c r="M271" s="12"/>
      <c r="N271" s="12"/>
      <c r="O271" s="12"/>
      <c r="P271" s="15"/>
      <c r="Q271" s="7"/>
      <c r="R271" s="7"/>
      <c r="S271" s="7"/>
      <c r="T271" s="8"/>
      <c r="U271" s="8"/>
    </row>
    <row r="272" spans="1:21">
      <c r="A272" s="10"/>
      <c r="B272" s="11"/>
      <c r="C272" s="12"/>
      <c r="D272" s="13"/>
      <c r="E272" s="12"/>
      <c r="F272" s="12"/>
      <c r="G272" s="12"/>
      <c r="H272" s="12"/>
      <c r="I272" s="12"/>
      <c r="J272" s="14"/>
      <c r="K272" s="12"/>
      <c r="L272" s="12" t="str">
        <f t="shared" si="1"/>
        <v/>
      </c>
      <c r="M272" s="12"/>
      <c r="N272" s="12"/>
      <c r="O272" s="12"/>
      <c r="P272" s="15"/>
      <c r="Q272" s="7"/>
      <c r="R272" s="7"/>
      <c r="S272" s="7"/>
      <c r="T272" s="8"/>
      <c r="U272" s="8"/>
    </row>
    <row r="273" spans="1:21">
      <c r="A273" s="10"/>
      <c r="B273" s="11"/>
      <c r="C273" s="12"/>
      <c r="D273" s="13"/>
      <c r="E273" s="12"/>
      <c r="F273" s="12"/>
      <c r="G273" s="12"/>
      <c r="H273" s="12"/>
      <c r="I273" s="12"/>
      <c r="J273" s="14"/>
      <c r="K273" s="12"/>
      <c r="L273" s="12" t="str">
        <f t="shared" si="1"/>
        <v/>
      </c>
      <c r="M273" s="12"/>
      <c r="N273" s="12"/>
      <c r="O273" s="12"/>
      <c r="P273" s="15"/>
      <c r="Q273" s="7"/>
      <c r="R273" s="7"/>
      <c r="S273" s="7"/>
      <c r="T273" s="8"/>
      <c r="U273" s="8"/>
    </row>
    <row r="274" spans="1:21">
      <c r="A274" s="10"/>
      <c r="B274" s="11"/>
      <c r="C274" s="12"/>
      <c r="D274" s="13"/>
      <c r="E274" s="12"/>
      <c r="F274" s="12"/>
      <c r="G274" s="12"/>
      <c r="H274" s="12"/>
      <c r="I274" s="12"/>
      <c r="J274" s="14"/>
      <c r="K274" s="12"/>
      <c r="L274" s="12" t="str">
        <f t="shared" si="1"/>
        <v/>
      </c>
      <c r="M274" s="12"/>
      <c r="N274" s="12"/>
      <c r="O274" s="12"/>
      <c r="P274" s="15"/>
      <c r="Q274" s="7"/>
      <c r="R274" s="7"/>
      <c r="S274" s="7"/>
      <c r="T274" s="8"/>
      <c r="U274" s="8"/>
    </row>
    <row r="275" spans="1:21">
      <c r="A275" s="10"/>
      <c r="B275" s="11"/>
      <c r="C275" s="12"/>
      <c r="D275" s="13"/>
      <c r="E275" s="12"/>
      <c r="F275" s="12"/>
      <c r="G275" s="12"/>
      <c r="H275" s="12"/>
      <c r="I275" s="12"/>
      <c r="J275" s="14"/>
      <c r="K275" s="12"/>
      <c r="L275" s="12" t="str">
        <f t="shared" si="1"/>
        <v/>
      </c>
      <c r="M275" s="12"/>
      <c r="N275" s="12"/>
      <c r="O275" s="12"/>
      <c r="P275" s="15"/>
      <c r="Q275" s="7"/>
      <c r="R275" s="7"/>
      <c r="S275" s="7"/>
      <c r="T275" s="8"/>
      <c r="U275" s="8"/>
    </row>
    <row r="276" spans="1:21">
      <c r="A276" s="10"/>
      <c r="B276" s="11"/>
      <c r="C276" s="12"/>
      <c r="D276" s="13"/>
      <c r="E276" s="12"/>
      <c r="F276" s="12"/>
      <c r="G276" s="12"/>
      <c r="H276" s="12"/>
      <c r="I276" s="12"/>
      <c r="J276" s="14"/>
      <c r="K276" s="12"/>
      <c r="L276" s="12" t="str">
        <f t="shared" si="1"/>
        <v/>
      </c>
      <c r="M276" s="12"/>
      <c r="N276" s="12"/>
      <c r="O276" s="12"/>
      <c r="P276" s="15"/>
      <c r="Q276" s="7"/>
      <c r="R276" s="7"/>
      <c r="S276" s="7"/>
      <c r="T276" s="8"/>
      <c r="U276" s="8"/>
    </row>
    <row r="277" spans="1:21">
      <c r="A277" s="10"/>
      <c r="B277" s="11"/>
      <c r="C277" s="12"/>
      <c r="D277" s="13"/>
      <c r="E277" s="12"/>
      <c r="F277" s="12"/>
      <c r="G277" s="12"/>
      <c r="H277" s="12"/>
      <c r="I277" s="12"/>
      <c r="J277" s="14"/>
      <c r="K277" s="12"/>
      <c r="L277" s="12" t="str">
        <f t="shared" si="1"/>
        <v/>
      </c>
      <c r="M277" s="12"/>
      <c r="N277" s="12"/>
      <c r="O277" s="12"/>
      <c r="P277" s="15"/>
      <c r="Q277" s="7"/>
      <c r="R277" s="7"/>
      <c r="S277" s="7"/>
      <c r="T277" s="8"/>
      <c r="U277" s="8"/>
    </row>
    <row r="278" spans="1:21">
      <c r="A278" s="10"/>
      <c r="B278" s="11"/>
      <c r="C278" s="12"/>
      <c r="D278" s="13"/>
      <c r="E278" s="12"/>
      <c r="F278" s="12"/>
      <c r="G278" s="12"/>
      <c r="H278" s="12"/>
      <c r="I278" s="12"/>
      <c r="J278" s="14"/>
      <c r="K278" s="12"/>
      <c r="L278" s="12" t="str">
        <f t="shared" si="1"/>
        <v/>
      </c>
      <c r="M278" s="12"/>
      <c r="N278" s="12"/>
      <c r="O278" s="12"/>
      <c r="P278" s="15"/>
      <c r="Q278" s="7"/>
      <c r="R278" s="7"/>
      <c r="S278" s="7"/>
      <c r="T278" s="8"/>
      <c r="U278" s="8"/>
    </row>
    <row r="279" spans="1:21">
      <c r="A279" s="10"/>
      <c r="B279" s="11"/>
      <c r="C279" s="12"/>
      <c r="D279" s="13"/>
      <c r="E279" s="12"/>
      <c r="F279" s="12"/>
      <c r="G279" s="12"/>
      <c r="H279" s="12"/>
      <c r="I279" s="12"/>
      <c r="J279" s="14"/>
      <c r="K279" s="12"/>
      <c r="L279" s="12" t="str">
        <f t="shared" si="1"/>
        <v/>
      </c>
      <c r="M279" s="12"/>
      <c r="N279" s="12"/>
      <c r="O279" s="12"/>
      <c r="P279" s="15"/>
      <c r="Q279" s="7"/>
      <c r="R279" s="7"/>
      <c r="S279" s="7"/>
      <c r="T279" s="8"/>
      <c r="U279" s="8"/>
    </row>
    <row r="280" spans="1:21">
      <c r="A280" s="10"/>
      <c r="B280" s="11"/>
      <c r="C280" s="12"/>
      <c r="D280" s="13"/>
      <c r="E280" s="12"/>
      <c r="F280" s="12"/>
      <c r="G280" s="12"/>
      <c r="H280" s="12"/>
      <c r="I280" s="12"/>
      <c r="J280" s="14"/>
      <c r="K280" s="12"/>
      <c r="L280" s="12" t="str">
        <f t="shared" si="1"/>
        <v/>
      </c>
      <c r="M280" s="12"/>
      <c r="N280" s="12"/>
      <c r="O280" s="12"/>
      <c r="P280" s="15"/>
      <c r="Q280" s="7"/>
      <c r="R280" s="7"/>
      <c r="S280" s="7"/>
      <c r="T280" s="8"/>
      <c r="U280" s="8"/>
    </row>
    <row r="281" spans="1:21">
      <c r="A281" s="10"/>
      <c r="B281" s="11"/>
      <c r="C281" s="12"/>
      <c r="D281" s="13"/>
      <c r="E281" s="12"/>
      <c r="F281" s="12"/>
      <c r="G281" s="12"/>
      <c r="H281" s="12"/>
      <c r="I281" s="12"/>
      <c r="J281" s="14"/>
      <c r="K281" s="12"/>
      <c r="L281" s="12" t="str">
        <f t="shared" si="1"/>
        <v/>
      </c>
      <c r="M281" s="12"/>
      <c r="N281" s="12"/>
      <c r="O281" s="12"/>
      <c r="P281" s="15"/>
      <c r="Q281" s="7"/>
      <c r="R281" s="7"/>
      <c r="S281" s="7"/>
      <c r="T281" s="8"/>
      <c r="U281" s="8"/>
    </row>
    <row r="282" spans="1:21">
      <c r="A282" s="10"/>
      <c r="B282" s="11"/>
      <c r="C282" s="12"/>
      <c r="D282" s="13"/>
      <c r="E282" s="12"/>
      <c r="F282" s="12"/>
      <c r="G282" s="12"/>
      <c r="H282" s="12"/>
      <c r="I282" s="12"/>
      <c r="J282" s="14"/>
      <c r="K282" s="12"/>
      <c r="L282" s="12" t="str">
        <f t="shared" si="1"/>
        <v/>
      </c>
      <c r="M282" s="12"/>
      <c r="N282" s="12"/>
      <c r="O282" s="12"/>
      <c r="P282" s="15"/>
      <c r="Q282" s="7"/>
      <c r="R282" s="7"/>
      <c r="S282" s="7"/>
      <c r="T282" s="8"/>
      <c r="U282" s="8"/>
    </row>
    <row r="283" spans="1:21">
      <c r="A283" s="10"/>
      <c r="B283" s="11"/>
      <c r="C283" s="12"/>
      <c r="D283" s="13"/>
      <c r="E283" s="12"/>
      <c r="F283" s="12"/>
      <c r="G283" s="12"/>
      <c r="H283" s="12"/>
      <c r="I283" s="12"/>
      <c r="J283" s="14"/>
      <c r="K283" s="12"/>
      <c r="L283" s="12" t="str">
        <f t="shared" si="1"/>
        <v/>
      </c>
      <c r="M283" s="12"/>
      <c r="N283" s="12"/>
      <c r="O283" s="12"/>
      <c r="P283" s="15"/>
      <c r="Q283" s="7"/>
      <c r="R283" s="7"/>
      <c r="S283" s="7"/>
      <c r="T283" s="8"/>
      <c r="U283" s="8"/>
    </row>
    <row r="284" spans="1:21">
      <c r="A284" s="10"/>
      <c r="B284" s="11"/>
      <c r="C284" s="12"/>
      <c r="D284" s="13"/>
      <c r="E284" s="12"/>
      <c r="F284" s="12"/>
      <c r="G284" s="12"/>
      <c r="H284" s="12"/>
      <c r="I284" s="12"/>
      <c r="J284" s="14"/>
      <c r="K284" s="12"/>
      <c r="L284" s="12" t="str">
        <f t="shared" si="1"/>
        <v/>
      </c>
      <c r="M284" s="12"/>
      <c r="N284" s="12"/>
      <c r="O284" s="12"/>
      <c r="P284" s="15"/>
      <c r="Q284" s="7"/>
      <c r="R284" s="7"/>
      <c r="S284" s="7"/>
      <c r="T284" s="8"/>
      <c r="U284" s="8"/>
    </row>
    <row r="285" spans="1:21">
      <c r="A285" s="10"/>
      <c r="B285" s="11"/>
      <c r="C285" s="12"/>
      <c r="D285" s="13"/>
      <c r="E285" s="12"/>
      <c r="F285" s="12"/>
      <c r="G285" s="12"/>
      <c r="H285" s="12"/>
      <c r="I285" s="12"/>
      <c r="J285" s="14"/>
      <c r="K285" s="12"/>
      <c r="L285" s="12" t="str">
        <f t="shared" si="1"/>
        <v/>
      </c>
      <c r="M285" s="12"/>
      <c r="N285" s="12"/>
      <c r="O285" s="12"/>
      <c r="P285" s="15"/>
      <c r="Q285" s="7"/>
      <c r="R285" s="7"/>
      <c r="S285" s="7"/>
      <c r="T285" s="8"/>
      <c r="U285" s="8"/>
    </row>
    <row r="286" spans="1:21">
      <c r="A286" s="10"/>
      <c r="B286" s="11"/>
      <c r="C286" s="12"/>
      <c r="D286" s="13"/>
      <c r="E286" s="12"/>
      <c r="F286" s="12"/>
      <c r="G286" s="12"/>
      <c r="H286" s="12"/>
      <c r="I286" s="12"/>
      <c r="J286" s="14"/>
      <c r="K286" s="12"/>
      <c r="L286" s="12" t="str">
        <f t="shared" si="1"/>
        <v/>
      </c>
      <c r="M286" s="12"/>
      <c r="N286" s="12"/>
      <c r="O286" s="12"/>
      <c r="P286" s="15"/>
      <c r="Q286" s="7"/>
      <c r="R286" s="7"/>
      <c r="S286" s="7"/>
      <c r="T286" s="8"/>
      <c r="U286" s="8"/>
    </row>
    <row r="287" spans="1:21">
      <c r="A287" s="10"/>
      <c r="B287" s="11"/>
      <c r="C287" s="12"/>
      <c r="D287" s="13"/>
      <c r="E287" s="12"/>
      <c r="F287" s="12"/>
      <c r="G287" s="12"/>
      <c r="H287" s="12"/>
      <c r="I287" s="12"/>
      <c r="J287" s="14"/>
      <c r="K287" s="12"/>
      <c r="L287" s="12" t="str">
        <f t="shared" si="1"/>
        <v/>
      </c>
      <c r="M287" s="12"/>
      <c r="N287" s="12"/>
      <c r="O287" s="12"/>
      <c r="P287" s="15"/>
      <c r="Q287" s="7"/>
      <c r="R287" s="7"/>
      <c r="S287" s="7"/>
      <c r="T287" s="8"/>
      <c r="U287" s="8"/>
    </row>
    <row r="288" spans="1:21">
      <c r="A288" s="10"/>
      <c r="B288" s="11"/>
      <c r="C288" s="12"/>
      <c r="D288" s="13"/>
      <c r="E288" s="12"/>
      <c r="F288" s="12"/>
      <c r="G288" s="12"/>
      <c r="H288" s="12"/>
      <c r="I288" s="12"/>
      <c r="J288" s="14"/>
      <c r="K288" s="12"/>
      <c r="L288" s="12" t="str">
        <f t="shared" si="1"/>
        <v/>
      </c>
      <c r="M288" s="12"/>
      <c r="N288" s="12"/>
      <c r="O288" s="12"/>
      <c r="P288" s="15"/>
      <c r="Q288" s="7"/>
      <c r="R288" s="7"/>
      <c r="S288" s="7"/>
      <c r="T288" s="8"/>
      <c r="U288" s="8"/>
    </row>
    <row r="289" spans="1:21">
      <c r="A289" s="10"/>
      <c r="B289" s="11"/>
      <c r="C289" s="12"/>
      <c r="D289" s="13"/>
      <c r="E289" s="12"/>
      <c r="F289" s="12"/>
      <c r="G289" s="12"/>
      <c r="H289" s="12"/>
      <c r="I289" s="12"/>
      <c r="J289" s="14"/>
      <c r="K289" s="12"/>
      <c r="L289" s="12" t="str">
        <f t="shared" si="1"/>
        <v/>
      </c>
      <c r="M289" s="12"/>
      <c r="N289" s="12"/>
      <c r="O289" s="12"/>
      <c r="P289" s="15"/>
      <c r="Q289" s="7"/>
      <c r="R289" s="7"/>
      <c r="S289" s="7"/>
      <c r="T289" s="8"/>
      <c r="U289" s="8"/>
    </row>
    <row r="290" spans="1:21">
      <c r="A290" s="10"/>
      <c r="B290" s="11"/>
      <c r="C290" s="12"/>
      <c r="D290" s="13"/>
      <c r="E290" s="12"/>
      <c r="F290" s="12"/>
      <c r="G290" s="12"/>
      <c r="H290" s="12"/>
      <c r="I290" s="12"/>
      <c r="J290" s="14"/>
      <c r="K290" s="12"/>
      <c r="L290" s="12" t="str">
        <f t="shared" si="1"/>
        <v/>
      </c>
      <c r="M290" s="12"/>
      <c r="N290" s="12"/>
      <c r="O290" s="12"/>
      <c r="P290" s="15"/>
      <c r="Q290" s="7"/>
      <c r="R290" s="7"/>
      <c r="S290" s="7"/>
      <c r="T290" s="8"/>
      <c r="U290" s="8"/>
    </row>
    <row r="291" spans="1:21">
      <c r="A291" s="10"/>
      <c r="B291" s="11"/>
      <c r="C291" s="12"/>
      <c r="D291" s="13"/>
      <c r="E291" s="12"/>
      <c r="F291" s="12"/>
      <c r="G291" s="12"/>
      <c r="H291" s="12"/>
      <c r="I291" s="12"/>
      <c r="J291" s="14"/>
      <c r="K291" s="12"/>
      <c r="L291" s="12" t="str">
        <f t="shared" si="1"/>
        <v/>
      </c>
      <c r="M291" s="12"/>
      <c r="N291" s="12"/>
      <c r="O291" s="12"/>
      <c r="P291" s="15"/>
      <c r="Q291" s="7"/>
      <c r="R291" s="7"/>
      <c r="S291" s="7"/>
      <c r="T291" s="8"/>
      <c r="U291" s="8"/>
    </row>
    <row r="292" spans="1:21">
      <c r="A292" s="10"/>
      <c r="B292" s="11"/>
      <c r="C292" s="12"/>
      <c r="D292" s="13"/>
      <c r="E292" s="12"/>
      <c r="F292" s="12"/>
      <c r="G292" s="12"/>
      <c r="H292" s="12"/>
      <c r="I292" s="12"/>
      <c r="J292" s="14"/>
      <c r="K292" s="12"/>
      <c r="L292" s="12" t="str">
        <f t="shared" si="1"/>
        <v/>
      </c>
      <c r="M292" s="12"/>
      <c r="N292" s="12"/>
      <c r="O292" s="12"/>
      <c r="P292" s="15"/>
      <c r="Q292" s="7"/>
      <c r="R292" s="7"/>
      <c r="S292" s="7"/>
      <c r="T292" s="8"/>
      <c r="U292" s="8"/>
    </row>
    <row r="293" spans="1:21">
      <c r="A293" s="10"/>
      <c r="B293" s="11"/>
      <c r="C293" s="12"/>
      <c r="D293" s="13"/>
      <c r="E293" s="12"/>
      <c r="F293" s="12"/>
      <c r="G293" s="12"/>
      <c r="H293" s="12"/>
      <c r="I293" s="12"/>
      <c r="J293" s="14"/>
      <c r="K293" s="12"/>
      <c r="L293" s="12" t="str">
        <f t="shared" si="1"/>
        <v/>
      </c>
      <c r="M293" s="12"/>
      <c r="N293" s="12"/>
      <c r="O293" s="12"/>
      <c r="P293" s="15"/>
      <c r="Q293" s="7"/>
      <c r="R293" s="7"/>
      <c r="S293" s="7"/>
      <c r="T293" s="8"/>
      <c r="U293" s="8"/>
    </row>
    <row r="294" spans="1:21">
      <c r="A294" s="10"/>
      <c r="B294" s="11"/>
      <c r="C294" s="12"/>
      <c r="D294" s="13"/>
      <c r="E294" s="12"/>
      <c r="F294" s="12"/>
      <c r="G294" s="12"/>
      <c r="H294" s="12"/>
      <c r="I294" s="12"/>
      <c r="J294" s="14"/>
      <c r="K294" s="12"/>
      <c r="L294" s="12" t="str">
        <f t="shared" si="1"/>
        <v/>
      </c>
      <c r="M294" s="12"/>
      <c r="N294" s="12"/>
      <c r="O294" s="12"/>
      <c r="P294" s="15"/>
      <c r="Q294" s="7"/>
      <c r="R294" s="7"/>
      <c r="S294" s="7"/>
      <c r="T294" s="8"/>
      <c r="U294" s="8"/>
    </row>
    <row r="295" spans="1:21">
      <c r="A295" s="10"/>
      <c r="B295" s="11"/>
      <c r="C295" s="12"/>
      <c r="D295" s="13"/>
      <c r="E295" s="12"/>
      <c r="F295" s="12"/>
      <c r="G295" s="12"/>
      <c r="H295" s="12"/>
      <c r="I295" s="12"/>
      <c r="J295" s="14"/>
      <c r="K295" s="12"/>
      <c r="L295" s="12" t="str">
        <f t="shared" si="1"/>
        <v/>
      </c>
      <c r="M295" s="12"/>
      <c r="N295" s="12"/>
      <c r="O295" s="12"/>
      <c r="P295" s="15"/>
      <c r="Q295" s="7"/>
      <c r="R295" s="7"/>
      <c r="S295" s="7"/>
      <c r="T295" s="8"/>
      <c r="U295" s="8"/>
    </row>
    <row r="296" spans="1:21">
      <c r="A296" s="10"/>
      <c r="B296" s="11"/>
      <c r="C296" s="12"/>
      <c r="D296" s="13"/>
      <c r="E296" s="12"/>
      <c r="F296" s="12"/>
      <c r="G296" s="12"/>
      <c r="H296" s="12"/>
      <c r="I296" s="12"/>
      <c r="J296" s="14"/>
      <c r="K296" s="12"/>
      <c r="L296" s="12" t="str">
        <f t="shared" si="1"/>
        <v/>
      </c>
      <c r="M296" s="12"/>
      <c r="N296" s="12"/>
      <c r="O296" s="12"/>
      <c r="P296" s="15"/>
      <c r="Q296" s="7"/>
      <c r="R296" s="7"/>
      <c r="S296" s="7"/>
      <c r="T296" s="8"/>
      <c r="U296" s="8"/>
    </row>
    <row r="297" spans="1:21">
      <c r="A297" s="10"/>
      <c r="B297" s="11"/>
      <c r="C297" s="12"/>
      <c r="D297" s="13"/>
      <c r="E297" s="12"/>
      <c r="F297" s="12"/>
      <c r="G297" s="12"/>
      <c r="H297" s="12"/>
      <c r="I297" s="12"/>
      <c r="J297" s="14"/>
      <c r="K297" s="12"/>
      <c r="L297" s="12" t="str">
        <f t="shared" si="1"/>
        <v/>
      </c>
      <c r="M297" s="12"/>
      <c r="N297" s="12"/>
      <c r="O297" s="12"/>
      <c r="P297" s="15"/>
      <c r="Q297" s="7"/>
      <c r="R297" s="7"/>
      <c r="S297" s="7"/>
      <c r="T297" s="8"/>
      <c r="U297" s="8"/>
    </row>
    <row r="298" spans="1:21">
      <c r="A298" s="10"/>
      <c r="B298" s="11"/>
      <c r="C298" s="12"/>
      <c r="D298" s="13"/>
      <c r="E298" s="12"/>
      <c r="F298" s="12"/>
      <c r="G298" s="12"/>
      <c r="H298" s="12"/>
      <c r="I298" s="12"/>
      <c r="J298" s="14"/>
      <c r="K298" s="12"/>
      <c r="L298" s="12" t="str">
        <f t="shared" si="1"/>
        <v/>
      </c>
      <c r="M298" s="12"/>
      <c r="N298" s="12"/>
      <c r="O298" s="12"/>
      <c r="P298" s="15"/>
      <c r="Q298" s="7"/>
      <c r="R298" s="7"/>
      <c r="S298" s="7"/>
      <c r="T298" s="8"/>
      <c r="U298" s="8"/>
    </row>
    <row r="299" spans="1:21">
      <c r="A299" s="10"/>
      <c r="B299" s="11"/>
      <c r="C299" s="12"/>
      <c r="D299" s="13"/>
      <c r="E299" s="12"/>
      <c r="F299" s="12"/>
      <c r="G299" s="12"/>
      <c r="H299" s="12"/>
      <c r="I299" s="12"/>
      <c r="J299" s="14"/>
      <c r="K299" s="12"/>
      <c r="L299" s="12" t="str">
        <f t="shared" si="1"/>
        <v/>
      </c>
      <c r="M299" s="12"/>
      <c r="N299" s="12"/>
      <c r="O299" s="12"/>
      <c r="P299" s="15"/>
      <c r="Q299" s="7"/>
      <c r="R299" s="7"/>
      <c r="S299" s="7"/>
      <c r="T299" s="8"/>
      <c r="U299" s="8"/>
    </row>
    <row r="300" spans="1:21">
      <c r="A300" s="10"/>
      <c r="B300" s="11"/>
      <c r="C300" s="12"/>
      <c r="D300" s="13"/>
      <c r="E300" s="12"/>
      <c r="F300" s="12"/>
      <c r="G300" s="12"/>
      <c r="H300" s="12"/>
      <c r="I300" s="12"/>
      <c r="J300" s="14"/>
      <c r="K300" s="12"/>
      <c r="L300" s="12" t="str">
        <f t="shared" si="1"/>
        <v/>
      </c>
      <c r="M300" s="12"/>
      <c r="N300" s="12"/>
      <c r="O300" s="12"/>
      <c r="P300" s="15"/>
      <c r="Q300" s="7"/>
      <c r="R300" s="7"/>
      <c r="S300" s="7"/>
      <c r="T300" s="8"/>
      <c r="U300" s="8"/>
    </row>
    <row r="301" spans="1:21">
      <c r="A301" s="10"/>
      <c r="B301" s="11"/>
      <c r="C301" s="12"/>
      <c r="D301" s="13"/>
      <c r="E301" s="12"/>
      <c r="F301" s="12"/>
      <c r="G301" s="12"/>
      <c r="H301" s="12"/>
      <c r="I301" s="12"/>
      <c r="J301" s="14"/>
      <c r="K301" s="12"/>
      <c r="L301" s="12" t="str">
        <f t="shared" si="1"/>
        <v/>
      </c>
      <c r="M301" s="12"/>
      <c r="N301" s="12"/>
      <c r="O301" s="12"/>
      <c r="P301" s="15"/>
      <c r="Q301" s="7"/>
      <c r="R301" s="7"/>
      <c r="S301" s="7"/>
      <c r="T301" s="8"/>
      <c r="U301" s="8"/>
    </row>
    <row r="302" spans="1:21">
      <c r="A302" s="10"/>
      <c r="B302" s="11"/>
      <c r="C302" s="12"/>
      <c r="D302" s="13"/>
      <c r="E302" s="12"/>
      <c r="F302" s="12"/>
      <c r="G302" s="12"/>
      <c r="H302" s="12"/>
      <c r="I302" s="12"/>
      <c r="J302" s="14"/>
      <c r="K302" s="12"/>
      <c r="L302" s="12" t="str">
        <f t="shared" si="1"/>
        <v/>
      </c>
      <c r="M302" s="12"/>
      <c r="N302" s="12"/>
      <c r="O302" s="12"/>
      <c r="P302" s="15"/>
      <c r="Q302" s="7"/>
      <c r="R302" s="7"/>
      <c r="S302" s="7"/>
      <c r="T302" s="8"/>
      <c r="U302" s="8"/>
    </row>
    <row r="303" spans="1:21">
      <c r="A303" s="10"/>
      <c r="B303" s="11"/>
      <c r="C303" s="12"/>
      <c r="D303" s="13"/>
      <c r="E303" s="12"/>
      <c r="F303" s="12"/>
      <c r="G303" s="12"/>
      <c r="H303" s="12"/>
      <c r="I303" s="12"/>
      <c r="J303" s="14"/>
      <c r="K303" s="12"/>
      <c r="L303" s="12" t="str">
        <f t="shared" si="1"/>
        <v/>
      </c>
      <c r="M303" s="12"/>
      <c r="N303" s="12"/>
      <c r="O303" s="12"/>
      <c r="P303" s="15"/>
      <c r="Q303" s="7"/>
      <c r="R303" s="7"/>
      <c r="S303" s="7"/>
      <c r="T303" s="8"/>
      <c r="U303" s="8"/>
    </row>
    <row r="304" spans="1:21">
      <c r="A304" s="10"/>
      <c r="B304" s="11"/>
      <c r="C304" s="12"/>
      <c r="D304" s="13"/>
      <c r="E304" s="12"/>
      <c r="F304" s="12"/>
      <c r="G304" s="12"/>
      <c r="H304" s="12"/>
      <c r="I304" s="12"/>
      <c r="J304" s="14"/>
      <c r="K304" s="12"/>
      <c r="L304" s="12" t="str">
        <f t="shared" si="1"/>
        <v/>
      </c>
      <c r="M304" s="12"/>
      <c r="N304" s="12"/>
      <c r="O304" s="12"/>
      <c r="P304" s="15"/>
      <c r="Q304" s="7"/>
      <c r="R304" s="7"/>
      <c r="S304" s="7"/>
      <c r="T304" s="8"/>
      <c r="U304" s="8"/>
    </row>
    <row r="305" spans="1:21">
      <c r="A305" s="10"/>
      <c r="B305" s="11"/>
      <c r="C305" s="12"/>
      <c r="D305" s="13"/>
      <c r="E305" s="12"/>
      <c r="F305" s="12"/>
      <c r="G305" s="12"/>
      <c r="H305" s="12"/>
      <c r="I305" s="12"/>
      <c r="J305" s="14"/>
      <c r="K305" s="12"/>
      <c r="L305" s="12" t="str">
        <f t="shared" si="1"/>
        <v/>
      </c>
      <c r="M305" s="12"/>
      <c r="N305" s="12"/>
      <c r="O305" s="12"/>
      <c r="P305" s="15"/>
      <c r="Q305" s="7"/>
      <c r="R305" s="7"/>
      <c r="S305" s="7"/>
      <c r="T305" s="8"/>
      <c r="U305" s="8"/>
    </row>
    <row r="306" spans="1:21">
      <c r="A306" s="10"/>
      <c r="B306" s="11"/>
      <c r="C306" s="12"/>
      <c r="D306" s="13"/>
      <c r="E306" s="12"/>
      <c r="F306" s="12"/>
      <c r="G306" s="12"/>
      <c r="H306" s="12"/>
      <c r="I306" s="12"/>
      <c r="J306" s="14"/>
      <c r="K306" s="12"/>
      <c r="L306" s="12" t="str">
        <f t="shared" si="1"/>
        <v/>
      </c>
      <c r="M306" s="12"/>
      <c r="N306" s="12"/>
      <c r="O306" s="12"/>
      <c r="P306" s="15"/>
      <c r="Q306" s="7"/>
      <c r="R306" s="7"/>
      <c r="S306" s="7"/>
      <c r="T306" s="8"/>
      <c r="U306" s="8"/>
    </row>
    <row r="307" spans="1:21">
      <c r="A307" s="10"/>
      <c r="B307" s="11"/>
      <c r="C307" s="12"/>
      <c r="D307" s="13"/>
      <c r="E307" s="12"/>
      <c r="F307" s="12"/>
      <c r="G307" s="12"/>
      <c r="H307" s="12"/>
      <c r="I307" s="12"/>
      <c r="J307" s="14"/>
      <c r="K307" s="12"/>
      <c r="L307" s="12" t="str">
        <f t="shared" si="1"/>
        <v/>
      </c>
      <c r="M307" s="12"/>
      <c r="N307" s="12"/>
      <c r="O307" s="12"/>
      <c r="P307" s="15"/>
      <c r="Q307" s="7"/>
      <c r="R307" s="7"/>
      <c r="S307" s="7"/>
      <c r="T307" s="8"/>
      <c r="U307" s="8"/>
    </row>
    <row r="308" spans="1:21">
      <c r="A308" s="10"/>
      <c r="B308" s="11"/>
      <c r="C308" s="12"/>
      <c r="D308" s="13"/>
      <c r="E308" s="12"/>
      <c r="F308" s="12"/>
      <c r="G308" s="12"/>
      <c r="H308" s="12"/>
      <c r="I308" s="12"/>
      <c r="J308" s="14"/>
      <c r="K308" s="12"/>
      <c r="L308" s="12" t="str">
        <f t="shared" si="1"/>
        <v/>
      </c>
      <c r="M308" s="12"/>
      <c r="N308" s="12"/>
      <c r="O308" s="12"/>
      <c r="P308" s="15"/>
      <c r="Q308" s="7"/>
      <c r="R308" s="7"/>
      <c r="S308" s="7"/>
      <c r="T308" s="8"/>
      <c r="U308" s="8"/>
    </row>
    <row r="309" spans="1:21">
      <c r="A309" s="10"/>
      <c r="B309" s="11"/>
      <c r="C309" s="12"/>
      <c r="D309" s="13"/>
      <c r="E309" s="12"/>
      <c r="F309" s="12"/>
      <c r="G309" s="12"/>
      <c r="H309" s="12"/>
      <c r="I309" s="12"/>
      <c r="J309" s="14"/>
      <c r="K309" s="12"/>
      <c r="L309" s="12" t="str">
        <f t="shared" si="1"/>
        <v/>
      </c>
      <c r="M309" s="12"/>
      <c r="N309" s="12"/>
      <c r="O309" s="12"/>
      <c r="P309" s="15"/>
      <c r="Q309" s="7"/>
      <c r="R309" s="7"/>
      <c r="S309" s="7"/>
      <c r="T309" s="8"/>
      <c r="U309" s="8"/>
    </row>
    <row r="310" spans="1:21">
      <c r="A310" s="10"/>
      <c r="B310" s="11"/>
      <c r="C310" s="12"/>
      <c r="D310" s="13"/>
      <c r="E310" s="12"/>
      <c r="F310" s="12"/>
      <c r="G310" s="12"/>
      <c r="H310" s="12"/>
      <c r="I310" s="12"/>
      <c r="J310" s="14"/>
      <c r="K310" s="12"/>
      <c r="L310" s="12" t="str">
        <f t="shared" si="1"/>
        <v/>
      </c>
      <c r="M310" s="12"/>
      <c r="N310" s="12"/>
      <c r="O310" s="12"/>
      <c r="P310" s="15"/>
      <c r="Q310" s="7"/>
      <c r="R310" s="7"/>
      <c r="S310" s="7"/>
      <c r="T310" s="8"/>
      <c r="U310" s="8"/>
    </row>
    <row r="311" spans="1:21">
      <c r="A311" s="10"/>
      <c r="B311" s="11"/>
      <c r="C311" s="12"/>
      <c r="D311" s="13"/>
      <c r="E311" s="12"/>
      <c r="F311" s="12"/>
      <c r="G311" s="12"/>
      <c r="H311" s="12"/>
      <c r="I311" s="12"/>
      <c r="J311" s="14"/>
      <c r="K311" s="12"/>
      <c r="L311" s="12" t="str">
        <f t="shared" si="1"/>
        <v/>
      </c>
      <c r="M311" s="12"/>
      <c r="N311" s="12"/>
      <c r="O311" s="12"/>
      <c r="P311" s="15"/>
      <c r="Q311" s="7"/>
      <c r="R311" s="7"/>
      <c r="S311" s="7"/>
      <c r="T311" s="8"/>
      <c r="U311" s="8"/>
    </row>
    <row r="312" spans="1:21">
      <c r="A312" s="10"/>
      <c r="B312" s="11"/>
      <c r="C312" s="12"/>
      <c r="D312" s="13"/>
      <c r="E312" s="12"/>
      <c r="F312" s="12"/>
      <c r="G312" s="12"/>
      <c r="H312" s="12"/>
      <c r="I312" s="12"/>
      <c r="J312" s="14"/>
      <c r="K312" s="12"/>
      <c r="L312" s="12" t="str">
        <f t="shared" si="1"/>
        <v/>
      </c>
      <c r="M312" s="12"/>
      <c r="N312" s="12"/>
      <c r="O312" s="12"/>
      <c r="P312" s="15"/>
      <c r="Q312" s="7"/>
      <c r="R312" s="7"/>
      <c r="S312" s="7"/>
      <c r="T312" s="8"/>
      <c r="U312" s="8"/>
    </row>
    <row r="313" spans="1:21">
      <c r="A313" s="10"/>
      <c r="B313" s="11"/>
      <c r="C313" s="12"/>
      <c r="D313" s="13"/>
      <c r="E313" s="12"/>
      <c r="F313" s="12"/>
      <c r="G313" s="12"/>
      <c r="H313" s="12"/>
      <c r="I313" s="12"/>
      <c r="J313" s="14"/>
      <c r="K313" s="12"/>
      <c r="L313" s="12" t="str">
        <f t="shared" si="1"/>
        <v/>
      </c>
      <c r="M313" s="12"/>
      <c r="N313" s="12"/>
      <c r="O313" s="12"/>
      <c r="P313" s="15"/>
      <c r="Q313" s="7"/>
      <c r="R313" s="7"/>
      <c r="S313" s="7"/>
      <c r="T313" s="8"/>
      <c r="U313" s="8"/>
    </row>
    <row r="314" spans="1:21">
      <c r="A314" s="10"/>
      <c r="B314" s="11"/>
      <c r="C314" s="12"/>
      <c r="D314" s="13"/>
      <c r="E314" s="12"/>
      <c r="F314" s="12"/>
      <c r="G314" s="12"/>
      <c r="H314" s="12"/>
      <c r="I314" s="12"/>
      <c r="J314" s="14"/>
      <c r="K314" s="12"/>
      <c r="L314" s="12" t="str">
        <f t="shared" si="1"/>
        <v/>
      </c>
      <c r="M314" s="12"/>
      <c r="N314" s="12"/>
      <c r="O314" s="12"/>
      <c r="P314" s="15"/>
      <c r="Q314" s="7"/>
      <c r="R314" s="7"/>
      <c r="S314" s="7"/>
      <c r="T314" s="8"/>
      <c r="U314" s="8"/>
    </row>
    <row r="315" spans="1:21">
      <c r="A315" s="10"/>
      <c r="B315" s="11"/>
      <c r="C315" s="12"/>
      <c r="D315" s="13"/>
      <c r="E315" s="12"/>
      <c r="F315" s="12"/>
      <c r="G315" s="12"/>
      <c r="H315" s="12"/>
      <c r="I315" s="12"/>
      <c r="J315" s="14"/>
      <c r="K315" s="12"/>
      <c r="L315" s="12" t="str">
        <f t="shared" si="1"/>
        <v/>
      </c>
      <c r="M315" s="12"/>
      <c r="N315" s="12"/>
      <c r="O315" s="12"/>
      <c r="P315" s="15"/>
      <c r="Q315" s="7"/>
      <c r="R315" s="7"/>
      <c r="S315" s="7"/>
      <c r="T315" s="8"/>
      <c r="U315" s="8"/>
    </row>
    <row r="316" spans="1:21">
      <c r="A316" s="10"/>
      <c r="B316" s="11"/>
      <c r="C316" s="12"/>
      <c r="D316" s="13"/>
      <c r="E316" s="12"/>
      <c r="F316" s="12"/>
      <c r="G316" s="12"/>
      <c r="H316" s="12"/>
      <c r="I316" s="12"/>
      <c r="J316" s="14"/>
      <c r="K316" s="12"/>
      <c r="L316" s="12" t="str">
        <f t="shared" si="1"/>
        <v/>
      </c>
      <c r="M316" s="12"/>
      <c r="N316" s="12"/>
      <c r="O316" s="12"/>
      <c r="P316" s="15"/>
      <c r="Q316" s="7"/>
      <c r="R316" s="7"/>
      <c r="S316" s="7"/>
      <c r="T316" s="8"/>
      <c r="U316" s="8"/>
    </row>
    <row r="317" spans="1:21">
      <c r="A317" s="10"/>
      <c r="B317" s="11"/>
      <c r="C317" s="12"/>
      <c r="D317" s="13"/>
      <c r="E317" s="12"/>
      <c r="F317" s="12"/>
      <c r="G317" s="12"/>
      <c r="H317" s="12"/>
      <c r="I317" s="12"/>
      <c r="J317" s="14"/>
      <c r="K317" s="12"/>
      <c r="L317" s="12" t="str">
        <f t="shared" si="1"/>
        <v/>
      </c>
      <c r="M317" s="12"/>
      <c r="N317" s="12"/>
      <c r="O317" s="12"/>
      <c r="P317" s="15"/>
      <c r="Q317" s="7"/>
      <c r="R317" s="7"/>
      <c r="S317" s="7"/>
      <c r="T317" s="8"/>
      <c r="U317" s="8"/>
    </row>
    <row r="318" spans="1:21">
      <c r="A318" s="10"/>
      <c r="B318" s="11"/>
      <c r="C318" s="12"/>
      <c r="D318" s="13"/>
      <c r="E318" s="12"/>
      <c r="F318" s="12"/>
      <c r="G318" s="12"/>
      <c r="H318" s="12"/>
      <c r="I318" s="12"/>
      <c r="J318" s="14"/>
      <c r="K318" s="12"/>
      <c r="L318" s="12" t="str">
        <f t="shared" si="1"/>
        <v/>
      </c>
      <c r="M318" s="12"/>
      <c r="N318" s="12"/>
      <c r="O318" s="12"/>
      <c r="P318" s="15"/>
      <c r="Q318" s="7"/>
      <c r="R318" s="7"/>
      <c r="S318" s="7"/>
      <c r="T318" s="8"/>
      <c r="U318" s="8"/>
    </row>
    <row r="319" spans="1:21">
      <c r="A319" s="10"/>
      <c r="B319" s="11"/>
      <c r="C319" s="12"/>
      <c r="D319" s="13"/>
      <c r="E319" s="12"/>
      <c r="F319" s="12"/>
      <c r="G319" s="12"/>
      <c r="H319" s="12"/>
      <c r="I319" s="12"/>
      <c r="J319" s="14"/>
      <c r="K319" s="12"/>
      <c r="L319" s="12" t="str">
        <f t="shared" si="1"/>
        <v/>
      </c>
      <c r="M319" s="12"/>
      <c r="N319" s="12"/>
      <c r="O319" s="12"/>
      <c r="P319" s="15"/>
      <c r="Q319" s="7"/>
      <c r="R319" s="7"/>
      <c r="S319" s="7"/>
      <c r="T319" s="8"/>
      <c r="U319" s="8"/>
    </row>
    <row r="320" spans="1:21">
      <c r="A320" s="10"/>
      <c r="B320" s="11"/>
      <c r="C320" s="12"/>
      <c r="D320" s="13"/>
      <c r="E320" s="12"/>
      <c r="F320" s="12"/>
      <c r="G320" s="12"/>
      <c r="H320" s="12"/>
      <c r="I320" s="12"/>
      <c r="J320" s="14"/>
      <c r="K320" s="12"/>
      <c r="L320" s="12" t="str">
        <f t="shared" si="1"/>
        <v/>
      </c>
      <c r="M320" s="12"/>
      <c r="N320" s="12"/>
      <c r="O320" s="12"/>
      <c r="P320" s="15"/>
      <c r="Q320" s="7"/>
      <c r="R320" s="7"/>
      <c r="S320" s="7"/>
      <c r="T320" s="8"/>
      <c r="U320" s="8"/>
    </row>
    <row r="321" spans="1:21">
      <c r="A321" s="10"/>
      <c r="B321" s="11"/>
      <c r="C321" s="12"/>
      <c r="D321" s="13"/>
      <c r="E321" s="12"/>
      <c r="F321" s="12"/>
      <c r="G321" s="12"/>
      <c r="H321" s="12"/>
      <c r="I321" s="12"/>
      <c r="J321" s="14"/>
      <c r="K321" s="12"/>
      <c r="L321" s="12" t="str">
        <f t="shared" si="1"/>
        <v/>
      </c>
      <c r="M321" s="12"/>
      <c r="N321" s="12"/>
      <c r="O321" s="12"/>
      <c r="P321" s="15"/>
      <c r="Q321" s="7"/>
      <c r="R321" s="7"/>
      <c r="S321" s="7"/>
      <c r="T321" s="8"/>
      <c r="U321" s="8"/>
    </row>
    <row r="322" spans="1:21">
      <c r="A322" s="10"/>
      <c r="B322" s="11"/>
      <c r="C322" s="12"/>
      <c r="D322" s="13"/>
      <c r="E322" s="12"/>
      <c r="F322" s="12"/>
      <c r="G322" s="12"/>
      <c r="H322" s="12"/>
      <c r="I322" s="12"/>
      <c r="J322" s="14"/>
      <c r="K322" s="12"/>
      <c r="L322" s="12" t="str">
        <f t="shared" si="1"/>
        <v/>
      </c>
      <c r="M322" s="12"/>
      <c r="N322" s="12"/>
      <c r="O322" s="12"/>
      <c r="P322" s="15"/>
      <c r="Q322" s="7"/>
      <c r="R322" s="7"/>
      <c r="S322" s="7"/>
      <c r="T322" s="8"/>
      <c r="U322" s="8"/>
    </row>
    <row r="323" spans="1:21">
      <c r="A323" s="10"/>
      <c r="B323" s="11"/>
      <c r="C323" s="12"/>
      <c r="D323" s="13"/>
      <c r="E323" s="12"/>
      <c r="F323" s="12"/>
      <c r="G323" s="12"/>
      <c r="H323" s="12"/>
      <c r="I323" s="12"/>
      <c r="J323" s="14"/>
      <c r="K323" s="12"/>
      <c r="L323" s="12" t="str">
        <f t="shared" si="1"/>
        <v/>
      </c>
      <c r="M323" s="12"/>
      <c r="N323" s="12"/>
      <c r="O323" s="12"/>
      <c r="P323" s="15"/>
      <c r="Q323" s="7"/>
      <c r="R323" s="7"/>
      <c r="S323" s="7"/>
      <c r="T323" s="8"/>
      <c r="U323" s="8"/>
    </row>
    <row r="324" spans="1:21">
      <c r="A324" s="10"/>
      <c r="B324" s="11"/>
      <c r="C324" s="12"/>
      <c r="D324" s="13"/>
      <c r="E324" s="12"/>
      <c r="F324" s="12"/>
      <c r="G324" s="12"/>
      <c r="H324" s="12"/>
      <c r="I324" s="12"/>
      <c r="J324" s="14"/>
      <c r="K324" s="12"/>
      <c r="L324" s="12" t="str">
        <f t="shared" si="1"/>
        <v/>
      </c>
      <c r="M324" s="12"/>
      <c r="N324" s="12"/>
      <c r="O324" s="12"/>
      <c r="P324" s="15"/>
      <c r="Q324" s="7"/>
      <c r="R324" s="7"/>
      <c r="S324" s="7"/>
      <c r="T324" s="8"/>
      <c r="U324" s="8"/>
    </row>
    <row r="325" spans="1:21">
      <c r="A325" s="10"/>
      <c r="B325" s="11"/>
      <c r="C325" s="12"/>
      <c r="D325" s="13"/>
      <c r="E325" s="12"/>
      <c r="F325" s="12"/>
      <c r="G325" s="12"/>
      <c r="H325" s="12"/>
      <c r="I325" s="12"/>
      <c r="J325" s="14"/>
      <c r="K325" s="12"/>
      <c r="L325" s="12" t="str">
        <f t="shared" si="1"/>
        <v/>
      </c>
      <c r="M325" s="12"/>
      <c r="N325" s="12"/>
      <c r="O325" s="12"/>
      <c r="P325" s="15"/>
      <c r="Q325" s="7"/>
      <c r="R325" s="7"/>
      <c r="S325" s="7"/>
      <c r="T325" s="8"/>
      <c r="U325" s="8"/>
    </row>
    <row r="326" spans="1:21">
      <c r="A326" s="10"/>
      <c r="B326" s="11"/>
      <c r="C326" s="12"/>
      <c r="D326" s="13"/>
      <c r="E326" s="12"/>
      <c r="F326" s="12"/>
      <c r="G326" s="12"/>
      <c r="H326" s="12"/>
      <c r="I326" s="12"/>
      <c r="J326" s="14"/>
      <c r="K326" s="12"/>
      <c r="L326" s="12" t="str">
        <f t="shared" si="1"/>
        <v/>
      </c>
      <c r="M326" s="12"/>
      <c r="N326" s="12"/>
      <c r="O326" s="12"/>
      <c r="P326" s="15"/>
      <c r="Q326" s="7"/>
      <c r="R326" s="7"/>
      <c r="S326" s="7"/>
      <c r="T326" s="8"/>
      <c r="U326" s="8"/>
    </row>
    <row r="327" spans="1:21">
      <c r="A327" s="10"/>
      <c r="B327" s="11"/>
      <c r="C327" s="12"/>
      <c r="D327" s="13"/>
      <c r="E327" s="12"/>
      <c r="F327" s="12"/>
      <c r="G327" s="12"/>
      <c r="H327" s="12"/>
      <c r="I327" s="12"/>
      <c r="J327" s="14"/>
      <c r="K327" s="12"/>
      <c r="L327" s="12" t="str">
        <f t="shared" si="1"/>
        <v/>
      </c>
      <c r="M327" s="12"/>
      <c r="N327" s="12"/>
      <c r="O327" s="12"/>
      <c r="P327" s="15"/>
      <c r="Q327" s="7"/>
      <c r="R327" s="7"/>
      <c r="S327" s="7"/>
      <c r="T327" s="8"/>
      <c r="U327" s="8"/>
    </row>
    <row r="328" spans="1:21">
      <c r="A328" s="10"/>
      <c r="B328" s="11"/>
      <c r="C328" s="12"/>
      <c r="D328" s="13"/>
      <c r="E328" s="12"/>
      <c r="F328" s="12"/>
      <c r="G328" s="12"/>
      <c r="H328" s="12"/>
      <c r="I328" s="12"/>
      <c r="J328" s="14"/>
      <c r="K328" s="12"/>
      <c r="L328" s="12" t="str">
        <f t="shared" si="1"/>
        <v/>
      </c>
      <c r="M328" s="12"/>
      <c r="N328" s="12"/>
      <c r="O328" s="12"/>
      <c r="P328" s="15"/>
      <c r="Q328" s="7"/>
      <c r="R328" s="7"/>
      <c r="S328" s="7"/>
      <c r="T328" s="8"/>
      <c r="U328" s="8"/>
    </row>
    <row r="329" spans="1:21">
      <c r="A329" s="10"/>
      <c r="B329" s="11"/>
      <c r="C329" s="12"/>
      <c r="D329" s="13"/>
      <c r="E329" s="12"/>
      <c r="F329" s="12"/>
      <c r="G329" s="12"/>
      <c r="H329" s="12"/>
      <c r="I329" s="12"/>
      <c r="J329" s="14"/>
      <c r="K329" s="12"/>
      <c r="L329" s="12" t="str">
        <f t="shared" si="1"/>
        <v/>
      </c>
      <c r="M329" s="12"/>
      <c r="N329" s="12"/>
      <c r="O329" s="12"/>
      <c r="P329" s="15"/>
      <c r="Q329" s="7"/>
      <c r="R329" s="7"/>
      <c r="S329" s="7"/>
      <c r="T329" s="8"/>
      <c r="U329" s="8"/>
    </row>
    <row r="330" spans="1:21">
      <c r="A330" s="10"/>
      <c r="B330" s="11"/>
      <c r="C330" s="12"/>
      <c r="D330" s="13"/>
      <c r="E330" s="12"/>
      <c r="F330" s="12"/>
      <c r="G330" s="12"/>
      <c r="H330" s="12"/>
      <c r="I330" s="12"/>
      <c r="J330" s="14"/>
      <c r="K330" s="12"/>
      <c r="L330" s="12" t="str">
        <f t="shared" si="1"/>
        <v/>
      </c>
      <c r="M330" s="12"/>
      <c r="N330" s="12"/>
      <c r="O330" s="12"/>
      <c r="P330" s="15"/>
      <c r="Q330" s="7"/>
      <c r="R330" s="7"/>
      <c r="S330" s="7"/>
      <c r="T330" s="8"/>
      <c r="U330" s="8"/>
    </row>
    <row r="331" spans="1:21">
      <c r="A331" s="10"/>
      <c r="B331" s="11"/>
      <c r="C331" s="12"/>
      <c r="D331" s="13"/>
      <c r="E331" s="12"/>
      <c r="F331" s="12"/>
      <c r="G331" s="12"/>
      <c r="H331" s="12"/>
      <c r="I331" s="12"/>
      <c r="J331" s="14"/>
      <c r="K331" s="12"/>
      <c r="L331" s="12" t="str">
        <f t="shared" si="1"/>
        <v/>
      </c>
      <c r="M331" s="12"/>
      <c r="N331" s="12"/>
      <c r="O331" s="12"/>
      <c r="P331" s="15"/>
      <c r="Q331" s="7"/>
      <c r="R331" s="7"/>
      <c r="S331" s="7"/>
      <c r="T331" s="8"/>
      <c r="U331" s="8"/>
    </row>
    <row r="332" spans="1:21">
      <c r="A332" s="10"/>
      <c r="B332" s="11"/>
      <c r="C332" s="12"/>
      <c r="D332" s="13"/>
      <c r="E332" s="12"/>
      <c r="F332" s="12"/>
      <c r="G332" s="12"/>
      <c r="H332" s="12"/>
      <c r="I332" s="12"/>
      <c r="J332" s="14"/>
      <c r="K332" s="12"/>
      <c r="L332" s="12" t="str">
        <f t="shared" si="1"/>
        <v/>
      </c>
      <c r="M332" s="12"/>
      <c r="N332" s="12"/>
      <c r="O332" s="12"/>
      <c r="P332" s="15"/>
      <c r="Q332" s="7"/>
      <c r="R332" s="7"/>
      <c r="S332" s="7"/>
      <c r="T332" s="8"/>
      <c r="U332" s="8"/>
    </row>
    <row r="333" spans="1:21">
      <c r="A333" s="10"/>
      <c r="B333" s="11"/>
      <c r="C333" s="12"/>
      <c r="D333" s="13"/>
      <c r="E333" s="12"/>
      <c r="F333" s="12"/>
      <c r="G333" s="12"/>
      <c r="H333" s="12"/>
      <c r="I333" s="12"/>
      <c r="J333" s="14"/>
      <c r="K333" s="12"/>
      <c r="L333" s="12" t="str">
        <f t="shared" si="1"/>
        <v/>
      </c>
      <c r="M333" s="12"/>
      <c r="N333" s="12"/>
      <c r="O333" s="12"/>
      <c r="P333" s="15"/>
      <c r="Q333" s="7"/>
      <c r="R333" s="7"/>
      <c r="S333" s="7"/>
      <c r="T333" s="8"/>
      <c r="U333" s="8"/>
    </row>
    <row r="334" spans="1:21">
      <c r="A334" s="10"/>
      <c r="B334" s="11"/>
      <c r="C334" s="12"/>
      <c r="D334" s="13"/>
      <c r="E334" s="12"/>
      <c r="F334" s="12"/>
      <c r="G334" s="12"/>
      <c r="H334" s="12"/>
      <c r="I334" s="12"/>
      <c r="J334" s="14"/>
      <c r="K334" s="12"/>
      <c r="L334" s="12" t="str">
        <f t="shared" si="1"/>
        <v/>
      </c>
      <c r="M334" s="12"/>
      <c r="N334" s="12"/>
      <c r="O334" s="12"/>
      <c r="P334" s="15"/>
      <c r="Q334" s="7"/>
      <c r="R334" s="7"/>
      <c r="S334" s="7"/>
      <c r="T334" s="8"/>
      <c r="U334" s="8"/>
    </row>
    <row r="335" spans="1:21">
      <c r="A335" s="10"/>
      <c r="B335" s="11"/>
      <c r="C335" s="12"/>
      <c r="D335" s="13"/>
      <c r="E335" s="12"/>
      <c r="F335" s="12"/>
      <c r="G335" s="12"/>
      <c r="H335" s="12"/>
      <c r="I335" s="12"/>
      <c r="J335" s="14"/>
      <c r="K335" s="12"/>
      <c r="L335" s="12" t="str">
        <f t="shared" si="1"/>
        <v/>
      </c>
      <c r="M335" s="12"/>
      <c r="N335" s="12"/>
      <c r="O335" s="12"/>
      <c r="P335" s="15"/>
      <c r="Q335" s="7"/>
      <c r="R335" s="7"/>
      <c r="S335" s="7"/>
      <c r="T335" s="8"/>
      <c r="U335" s="8"/>
    </row>
    <row r="336" spans="1:21">
      <c r="A336" s="10"/>
      <c r="B336" s="11"/>
      <c r="C336" s="12"/>
      <c r="D336" s="13"/>
      <c r="E336" s="12"/>
      <c r="F336" s="12"/>
      <c r="G336" s="12"/>
      <c r="H336" s="12"/>
      <c r="I336" s="12"/>
      <c r="J336" s="14"/>
      <c r="K336" s="12"/>
      <c r="L336" s="12" t="str">
        <f t="shared" si="1"/>
        <v/>
      </c>
      <c r="M336" s="12"/>
      <c r="N336" s="12"/>
      <c r="O336" s="12"/>
      <c r="P336" s="15"/>
      <c r="Q336" s="7"/>
      <c r="R336" s="7"/>
      <c r="S336" s="7"/>
      <c r="T336" s="8"/>
      <c r="U336" s="8"/>
    </row>
    <row r="337" spans="1:21">
      <c r="A337" s="10"/>
      <c r="B337" s="11"/>
      <c r="C337" s="12"/>
      <c r="D337" s="13"/>
      <c r="E337" s="12"/>
      <c r="F337" s="12"/>
      <c r="G337" s="12"/>
      <c r="H337" s="12"/>
      <c r="I337" s="12"/>
      <c r="J337" s="14"/>
      <c r="K337" s="12"/>
      <c r="L337" s="12" t="str">
        <f t="shared" si="1"/>
        <v/>
      </c>
      <c r="M337" s="12"/>
      <c r="N337" s="12"/>
      <c r="O337" s="12"/>
      <c r="P337" s="15"/>
      <c r="Q337" s="7"/>
      <c r="R337" s="7"/>
      <c r="S337" s="7"/>
      <c r="T337" s="8"/>
      <c r="U337" s="8"/>
    </row>
    <row r="338" spans="1:21">
      <c r="A338" s="10"/>
      <c r="B338" s="11"/>
      <c r="C338" s="12"/>
      <c r="D338" s="13"/>
      <c r="E338" s="12"/>
      <c r="F338" s="12"/>
      <c r="G338" s="12"/>
      <c r="H338" s="12"/>
      <c r="I338" s="12"/>
      <c r="J338" s="14"/>
      <c r="K338" s="12"/>
      <c r="L338" s="12" t="str">
        <f t="shared" si="1"/>
        <v/>
      </c>
      <c r="M338" s="12"/>
      <c r="N338" s="12"/>
      <c r="O338" s="12"/>
      <c r="P338" s="15"/>
      <c r="Q338" s="7"/>
      <c r="R338" s="7"/>
      <c r="S338" s="7"/>
      <c r="T338" s="8"/>
      <c r="U338" s="8"/>
    </row>
    <row r="339" spans="1:21">
      <c r="A339" s="10"/>
      <c r="B339" s="11"/>
      <c r="C339" s="12"/>
      <c r="D339" s="13"/>
      <c r="E339" s="12"/>
      <c r="F339" s="12"/>
      <c r="G339" s="12"/>
      <c r="H339" s="12"/>
      <c r="I339" s="12"/>
      <c r="J339" s="14"/>
      <c r="K339" s="12"/>
      <c r="L339" s="12" t="str">
        <f t="shared" si="1"/>
        <v/>
      </c>
      <c r="M339" s="12"/>
      <c r="N339" s="12"/>
      <c r="O339" s="12"/>
      <c r="P339" s="15"/>
      <c r="Q339" s="7"/>
      <c r="R339" s="7"/>
      <c r="S339" s="7"/>
      <c r="T339" s="8"/>
      <c r="U339" s="8"/>
    </row>
    <row r="340" spans="1:21">
      <c r="A340" s="10"/>
      <c r="B340" s="11"/>
      <c r="C340" s="12"/>
      <c r="D340" s="13"/>
      <c r="E340" s="12"/>
      <c r="F340" s="12"/>
      <c r="G340" s="12"/>
      <c r="H340" s="12"/>
      <c r="I340" s="12"/>
      <c r="J340" s="14"/>
      <c r="K340" s="12"/>
      <c r="L340" s="12" t="str">
        <f t="shared" si="1"/>
        <v/>
      </c>
      <c r="M340" s="12"/>
      <c r="N340" s="12"/>
      <c r="O340" s="12"/>
      <c r="P340" s="15"/>
      <c r="Q340" s="7"/>
      <c r="R340" s="7"/>
      <c r="S340" s="7"/>
      <c r="T340" s="8"/>
      <c r="U340" s="8"/>
    </row>
    <row r="341" spans="1:21">
      <c r="A341" s="10"/>
      <c r="B341" s="11"/>
      <c r="C341" s="12"/>
      <c r="D341" s="13"/>
      <c r="E341" s="12"/>
      <c r="F341" s="12"/>
      <c r="G341" s="12"/>
      <c r="H341" s="12"/>
      <c r="I341" s="12"/>
      <c r="J341" s="14"/>
      <c r="K341" s="12"/>
      <c r="L341" s="12" t="str">
        <f t="shared" si="1"/>
        <v/>
      </c>
      <c r="M341" s="12"/>
      <c r="N341" s="12"/>
      <c r="O341" s="12"/>
      <c r="P341" s="15"/>
      <c r="Q341" s="7"/>
      <c r="R341" s="7"/>
      <c r="S341" s="7"/>
      <c r="T341" s="8"/>
      <c r="U341" s="8"/>
    </row>
    <row r="342" spans="1:21">
      <c r="A342" s="10"/>
      <c r="B342" s="11"/>
      <c r="C342" s="12"/>
      <c r="D342" s="13"/>
      <c r="E342" s="12"/>
      <c r="F342" s="12"/>
      <c r="G342" s="12"/>
      <c r="H342" s="12"/>
      <c r="I342" s="12"/>
      <c r="J342" s="14"/>
      <c r="K342" s="12"/>
      <c r="L342" s="12" t="str">
        <f t="shared" si="1"/>
        <v/>
      </c>
      <c r="M342" s="12"/>
      <c r="N342" s="12"/>
      <c r="O342" s="12"/>
      <c r="P342" s="15"/>
      <c r="Q342" s="7"/>
      <c r="R342" s="7"/>
      <c r="S342" s="7"/>
      <c r="T342" s="8"/>
      <c r="U342" s="8"/>
    </row>
    <row r="343" spans="1:21">
      <c r="A343" s="10"/>
      <c r="B343" s="11"/>
      <c r="C343" s="12"/>
      <c r="D343" s="13"/>
      <c r="E343" s="12"/>
      <c r="F343" s="12"/>
      <c r="G343" s="12"/>
      <c r="H343" s="12"/>
      <c r="I343" s="12"/>
      <c r="J343" s="14"/>
      <c r="K343" s="12"/>
      <c r="L343" s="12" t="str">
        <f t="shared" si="1"/>
        <v/>
      </c>
      <c r="M343" s="12"/>
      <c r="N343" s="12"/>
      <c r="O343" s="12"/>
      <c r="P343" s="15"/>
      <c r="Q343" s="7"/>
      <c r="R343" s="7"/>
      <c r="S343" s="7"/>
      <c r="T343" s="8"/>
      <c r="U343" s="8"/>
    </row>
    <row r="344" spans="1:21">
      <c r="A344" s="10"/>
      <c r="B344" s="11"/>
      <c r="C344" s="12"/>
      <c r="D344" s="13"/>
      <c r="E344" s="12"/>
      <c r="F344" s="12"/>
      <c r="G344" s="12"/>
      <c r="H344" s="12"/>
      <c r="I344" s="12"/>
      <c r="J344" s="14"/>
      <c r="K344" s="12"/>
      <c r="L344" s="12" t="str">
        <f t="shared" si="1"/>
        <v/>
      </c>
      <c r="M344" s="12"/>
      <c r="N344" s="12"/>
      <c r="O344" s="12"/>
      <c r="P344" s="15"/>
      <c r="Q344" s="7"/>
      <c r="R344" s="7"/>
      <c r="S344" s="7"/>
      <c r="T344" s="8"/>
      <c r="U344" s="8"/>
    </row>
    <row r="345" spans="1:21">
      <c r="A345" s="10"/>
      <c r="B345" s="11"/>
      <c r="C345" s="12"/>
      <c r="D345" s="13"/>
      <c r="E345" s="12"/>
      <c r="F345" s="12"/>
      <c r="G345" s="12"/>
      <c r="H345" s="12"/>
      <c r="I345" s="12"/>
      <c r="J345" s="14"/>
      <c r="K345" s="12"/>
      <c r="L345" s="12" t="str">
        <f t="shared" si="1"/>
        <v/>
      </c>
      <c r="M345" s="12"/>
      <c r="N345" s="12"/>
      <c r="O345" s="12"/>
      <c r="P345" s="15"/>
      <c r="Q345" s="7"/>
      <c r="R345" s="7"/>
      <c r="S345" s="7"/>
      <c r="T345" s="8"/>
      <c r="U345" s="8"/>
    </row>
    <row r="346" spans="1:21">
      <c r="A346" s="10"/>
      <c r="B346" s="11"/>
      <c r="C346" s="12"/>
      <c r="D346" s="13"/>
      <c r="E346" s="12"/>
      <c r="F346" s="12"/>
      <c r="G346" s="12"/>
      <c r="H346" s="12"/>
      <c r="I346" s="12"/>
      <c r="J346" s="14"/>
      <c r="K346" s="12"/>
      <c r="L346" s="12" t="str">
        <f t="shared" si="1"/>
        <v/>
      </c>
      <c r="M346" s="12"/>
      <c r="N346" s="12"/>
      <c r="O346" s="12"/>
      <c r="P346" s="15"/>
      <c r="Q346" s="7"/>
      <c r="R346" s="7"/>
      <c r="S346" s="7"/>
      <c r="T346" s="8"/>
      <c r="U346" s="8"/>
    </row>
    <row r="347" spans="1:21">
      <c r="A347" s="10"/>
      <c r="B347" s="11"/>
      <c r="C347" s="12"/>
      <c r="D347" s="13"/>
      <c r="E347" s="12"/>
      <c r="F347" s="12"/>
      <c r="G347" s="12"/>
      <c r="H347" s="12"/>
      <c r="I347" s="12"/>
      <c r="J347" s="14"/>
      <c r="K347" s="12"/>
      <c r="L347" s="12" t="str">
        <f t="shared" si="1"/>
        <v/>
      </c>
      <c r="M347" s="12"/>
      <c r="N347" s="12"/>
      <c r="O347" s="12"/>
      <c r="P347" s="15"/>
      <c r="Q347" s="7"/>
      <c r="R347" s="7"/>
      <c r="S347" s="7"/>
      <c r="T347" s="8"/>
      <c r="U347" s="8"/>
    </row>
    <row r="348" spans="1:21">
      <c r="A348" s="10"/>
      <c r="B348" s="11"/>
      <c r="C348" s="12"/>
      <c r="D348" s="13"/>
      <c r="E348" s="12"/>
      <c r="F348" s="12"/>
      <c r="G348" s="12"/>
      <c r="H348" s="12"/>
      <c r="I348" s="12"/>
      <c r="J348" s="14"/>
      <c r="K348" s="12"/>
      <c r="L348" s="12" t="str">
        <f t="shared" si="1"/>
        <v/>
      </c>
      <c r="M348" s="12"/>
      <c r="N348" s="12"/>
      <c r="O348" s="12"/>
      <c r="P348" s="15"/>
      <c r="Q348" s="7"/>
      <c r="R348" s="7"/>
      <c r="S348" s="7"/>
      <c r="T348" s="8"/>
      <c r="U348" s="8"/>
    </row>
    <row r="349" spans="1:21">
      <c r="A349" s="10"/>
      <c r="B349" s="11"/>
      <c r="C349" s="12"/>
      <c r="D349" s="13"/>
      <c r="E349" s="12"/>
      <c r="F349" s="12"/>
      <c r="G349" s="12"/>
      <c r="H349" s="12"/>
      <c r="I349" s="12"/>
      <c r="J349" s="14"/>
      <c r="K349" s="12"/>
      <c r="L349" s="12" t="str">
        <f t="shared" si="1"/>
        <v/>
      </c>
      <c r="M349" s="12"/>
      <c r="N349" s="12"/>
      <c r="O349" s="12"/>
      <c r="P349" s="15"/>
      <c r="Q349" s="7"/>
      <c r="R349" s="7"/>
      <c r="S349" s="7"/>
      <c r="T349" s="8"/>
      <c r="U349" s="8"/>
    </row>
    <row r="350" spans="1:21">
      <c r="A350" s="10"/>
      <c r="B350" s="11"/>
      <c r="C350" s="12"/>
      <c r="D350" s="13"/>
      <c r="E350" s="12"/>
      <c r="F350" s="12"/>
      <c r="G350" s="12"/>
      <c r="H350" s="12"/>
      <c r="I350" s="12"/>
      <c r="J350" s="14"/>
      <c r="K350" s="12"/>
      <c r="L350" s="12" t="str">
        <f t="shared" si="1"/>
        <v/>
      </c>
      <c r="M350" s="12"/>
      <c r="N350" s="12"/>
      <c r="O350" s="12"/>
      <c r="P350" s="15"/>
      <c r="Q350" s="7"/>
      <c r="R350" s="7"/>
      <c r="S350" s="7"/>
      <c r="T350" s="8"/>
      <c r="U350" s="8"/>
    </row>
    <row r="351" spans="1:21">
      <c r="A351" s="10"/>
      <c r="B351" s="11"/>
      <c r="C351" s="12"/>
      <c r="D351" s="13"/>
      <c r="E351" s="12"/>
      <c r="F351" s="12"/>
      <c r="G351" s="12"/>
      <c r="H351" s="12"/>
      <c r="I351" s="12"/>
      <c r="J351" s="14"/>
      <c r="K351" s="12"/>
      <c r="L351" s="12" t="str">
        <f t="shared" si="1"/>
        <v/>
      </c>
      <c r="M351" s="12"/>
      <c r="N351" s="12"/>
      <c r="O351" s="12"/>
      <c r="P351" s="15"/>
      <c r="Q351" s="7"/>
      <c r="R351" s="7"/>
      <c r="S351" s="7"/>
      <c r="T351" s="8"/>
      <c r="U351" s="8"/>
    </row>
    <row r="352" spans="1:21">
      <c r="A352" s="10"/>
      <c r="B352" s="11"/>
      <c r="C352" s="12"/>
      <c r="D352" s="13"/>
      <c r="E352" s="12"/>
      <c r="F352" s="12"/>
      <c r="G352" s="12"/>
      <c r="H352" s="12"/>
      <c r="I352" s="12"/>
      <c r="J352" s="14"/>
      <c r="K352" s="12"/>
      <c r="L352" s="12" t="str">
        <f t="shared" si="1"/>
        <v/>
      </c>
      <c r="M352" s="12"/>
      <c r="N352" s="12"/>
      <c r="O352" s="12"/>
      <c r="P352" s="15"/>
      <c r="Q352" s="7"/>
      <c r="R352" s="7"/>
      <c r="S352" s="7"/>
      <c r="T352" s="8"/>
      <c r="U352" s="8"/>
    </row>
    <row r="353" spans="1:21">
      <c r="A353" s="10"/>
      <c r="B353" s="11"/>
      <c r="C353" s="12"/>
      <c r="D353" s="13"/>
      <c r="E353" s="12"/>
      <c r="F353" s="12"/>
      <c r="G353" s="12"/>
      <c r="H353" s="12"/>
      <c r="I353" s="12"/>
      <c r="J353" s="14"/>
      <c r="K353" s="12"/>
      <c r="L353" s="12" t="str">
        <f t="shared" si="1"/>
        <v/>
      </c>
      <c r="M353" s="12"/>
      <c r="N353" s="12"/>
      <c r="O353" s="12"/>
      <c r="P353" s="15"/>
      <c r="Q353" s="7"/>
      <c r="R353" s="7"/>
      <c r="S353" s="7"/>
      <c r="T353" s="8"/>
      <c r="U353" s="8"/>
    </row>
    <row r="354" spans="1:21">
      <c r="A354" s="10"/>
      <c r="B354" s="11"/>
      <c r="C354" s="12"/>
      <c r="D354" s="13"/>
      <c r="E354" s="12"/>
      <c r="F354" s="12"/>
      <c r="G354" s="12"/>
      <c r="H354" s="12"/>
      <c r="I354" s="12"/>
      <c r="J354" s="14"/>
      <c r="K354" s="12"/>
      <c r="L354" s="12" t="str">
        <f t="shared" si="1"/>
        <v/>
      </c>
      <c r="M354" s="12"/>
      <c r="N354" s="12"/>
      <c r="O354" s="12"/>
      <c r="P354" s="15"/>
      <c r="Q354" s="7"/>
      <c r="R354" s="7"/>
      <c r="S354" s="7"/>
      <c r="T354" s="8"/>
      <c r="U354" s="8"/>
    </row>
    <row r="355" spans="1:21">
      <c r="A355" s="10"/>
      <c r="B355" s="11"/>
      <c r="C355" s="12"/>
      <c r="D355" s="13"/>
      <c r="E355" s="12"/>
      <c r="F355" s="12"/>
      <c r="G355" s="12"/>
      <c r="H355" s="12"/>
      <c r="I355" s="12"/>
      <c r="J355" s="14"/>
      <c r="K355" s="12"/>
      <c r="L355" s="12" t="str">
        <f t="shared" si="1"/>
        <v/>
      </c>
      <c r="M355" s="12"/>
      <c r="N355" s="12"/>
      <c r="O355" s="12"/>
      <c r="P355" s="15"/>
      <c r="Q355" s="7"/>
      <c r="R355" s="7"/>
      <c r="S355" s="7"/>
      <c r="T355" s="8"/>
      <c r="U355" s="8"/>
    </row>
    <row r="356" spans="1:21">
      <c r="A356" s="10"/>
      <c r="B356" s="11"/>
      <c r="C356" s="12"/>
      <c r="D356" s="13"/>
      <c r="E356" s="12"/>
      <c r="F356" s="12"/>
      <c r="G356" s="12"/>
      <c r="H356" s="12"/>
      <c r="I356" s="12"/>
      <c r="J356" s="14"/>
      <c r="K356" s="12"/>
      <c r="L356" s="12" t="str">
        <f t="shared" si="1"/>
        <v/>
      </c>
      <c r="M356" s="12"/>
      <c r="N356" s="12"/>
      <c r="O356" s="12"/>
      <c r="P356" s="15"/>
      <c r="Q356" s="7"/>
      <c r="R356" s="7"/>
      <c r="S356" s="7"/>
      <c r="T356" s="8"/>
      <c r="U356" s="8"/>
    </row>
    <row r="357" spans="1:21">
      <c r="A357" s="10"/>
      <c r="B357" s="11"/>
      <c r="C357" s="12"/>
      <c r="D357" s="13"/>
      <c r="E357" s="12"/>
      <c r="F357" s="12"/>
      <c r="G357" s="12"/>
      <c r="H357" s="12"/>
      <c r="I357" s="12"/>
      <c r="J357" s="14"/>
      <c r="K357" s="12"/>
      <c r="L357" s="12" t="str">
        <f t="shared" si="1"/>
        <v/>
      </c>
      <c r="M357" s="12"/>
      <c r="N357" s="12"/>
      <c r="O357" s="12"/>
      <c r="P357" s="15"/>
      <c r="Q357" s="7"/>
      <c r="R357" s="7"/>
      <c r="S357" s="7"/>
      <c r="T357" s="8"/>
      <c r="U357" s="8"/>
    </row>
    <row r="358" spans="1:21">
      <c r="A358" s="10"/>
      <c r="B358" s="11"/>
      <c r="C358" s="12"/>
      <c r="D358" s="13"/>
      <c r="E358" s="12"/>
      <c r="F358" s="12"/>
      <c r="G358" s="12"/>
      <c r="H358" s="12"/>
      <c r="I358" s="12"/>
      <c r="J358" s="14"/>
      <c r="K358" s="12"/>
      <c r="L358" s="12" t="str">
        <f t="shared" si="1"/>
        <v/>
      </c>
      <c r="M358" s="12"/>
      <c r="N358" s="12"/>
      <c r="O358" s="12"/>
      <c r="P358" s="15"/>
      <c r="Q358" s="7"/>
      <c r="R358" s="7"/>
      <c r="S358" s="7"/>
      <c r="T358" s="8"/>
      <c r="U358" s="8"/>
    </row>
    <row r="359" spans="1:21">
      <c r="A359" s="10"/>
      <c r="B359" s="11"/>
      <c r="C359" s="12"/>
      <c r="D359" s="13"/>
      <c r="E359" s="12"/>
      <c r="F359" s="12"/>
      <c r="G359" s="12"/>
      <c r="H359" s="12"/>
      <c r="I359" s="12"/>
      <c r="J359" s="14"/>
      <c r="K359" s="12"/>
      <c r="L359" s="12" t="str">
        <f t="shared" si="1"/>
        <v/>
      </c>
      <c r="M359" s="12"/>
      <c r="N359" s="12"/>
      <c r="O359" s="12"/>
      <c r="P359" s="15"/>
      <c r="Q359" s="7"/>
      <c r="R359" s="7"/>
      <c r="S359" s="7"/>
      <c r="T359" s="8"/>
      <c r="U359" s="8"/>
    </row>
    <row r="360" spans="1:21">
      <c r="A360" s="10"/>
      <c r="B360" s="11"/>
      <c r="C360" s="12"/>
      <c r="D360" s="13"/>
      <c r="E360" s="12"/>
      <c r="F360" s="12"/>
      <c r="G360" s="12"/>
      <c r="H360" s="12"/>
      <c r="I360" s="12"/>
      <c r="J360" s="14"/>
      <c r="K360" s="12"/>
      <c r="L360" s="12" t="str">
        <f t="shared" si="1"/>
        <v/>
      </c>
      <c r="M360" s="12"/>
      <c r="N360" s="12"/>
      <c r="O360" s="12"/>
      <c r="P360" s="15"/>
      <c r="Q360" s="7"/>
      <c r="R360" s="7"/>
      <c r="S360" s="7"/>
      <c r="T360" s="8"/>
      <c r="U360" s="8"/>
    </row>
    <row r="361" spans="1:21">
      <c r="A361" s="10"/>
      <c r="B361" s="11"/>
      <c r="C361" s="12"/>
      <c r="D361" s="13"/>
      <c r="E361" s="12"/>
      <c r="F361" s="12"/>
      <c r="G361" s="12"/>
      <c r="H361" s="12"/>
      <c r="I361" s="12"/>
      <c r="J361" s="14"/>
      <c r="K361" s="12"/>
      <c r="L361" s="12" t="str">
        <f t="shared" si="1"/>
        <v/>
      </c>
      <c r="M361" s="12"/>
      <c r="N361" s="12"/>
      <c r="O361" s="12"/>
      <c r="P361" s="15"/>
      <c r="Q361" s="7"/>
      <c r="R361" s="7"/>
      <c r="S361" s="7"/>
      <c r="T361" s="8"/>
      <c r="U361" s="8"/>
    </row>
    <row r="362" spans="1:21">
      <c r="A362" s="10"/>
      <c r="B362" s="11"/>
      <c r="C362" s="12"/>
      <c r="D362" s="13"/>
      <c r="E362" s="12"/>
      <c r="F362" s="12"/>
      <c r="G362" s="12"/>
      <c r="H362" s="12"/>
      <c r="I362" s="12"/>
      <c r="J362" s="14"/>
      <c r="K362" s="12"/>
      <c r="L362" s="12" t="str">
        <f t="shared" si="1"/>
        <v/>
      </c>
      <c r="M362" s="12"/>
      <c r="N362" s="12"/>
      <c r="O362" s="12"/>
      <c r="P362" s="15"/>
      <c r="Q362" s="7"/>
      <c r="R362" s="7"/>
      <c r="S362" s="7"/>
      <c r="T362" s="8"/>
      <c r="U362" s="8"/>
    </row>
    <row r="363" spans="1:21">
      <c r="A363" s="10"/>
      <c r="B363" s="11"/>
      <c r="C363" s="12"/>
      <c r="D363" s="13"/>
      <c r="E363" s="12"/>
      <c r="F363" s="12"/>
      <c r="G363" s="12"/>
      <c r="H363" s="12"/>
      <c r="I363" s="12"/>
      <c r="J363" s="14"/>
      <c r="K363" s="12"/>
      <c r="L363" s="12" t="str">
        <f t="shared" si="1"/>
        <v/>
      </c>
      <c r="M363" s="12"/>
      <c r="N363" s="12"/>
      <c r="O363" s="12"/>
      <c r="P363" s="15"/>
      <c r="Q363" s="7"/>
      <c r="R363" s="7"/>
      <c r="S363" s="7"/>
      <c r="T363" s="8"/>
      <c r="U363" s="8"/>
    </row>
    <row r="364" spans="1:21">
      <c r="A364" s="10"/>
      <c r="B364" s="11"/>
      <c r="C364" s="12"/>
      <c r="D364" s="13"/>
      <c r="E364" s="12"/>
      <c r="F364" s="12"/>
      <c r="G364" s="12"/>
      <c r="H364" s="12"/>
      <c r="I364" s="12"/>
      <c r="J364" s="14"/>
      <c r="K364" s="12"/>
      <c r="L364" s="12" t="str">
        <f t="shared" si="1"/>
        <v/>
      </c>
      <c r="M364" s="12"/>
      <c r="N364" s="12"/>
      <c r="O364" s="12"/>
      <c r="P364" s="15"/>
      <c r="Q364" s="7"/>
      <c r="R364" s="7"/>
      <c r="S364" s="7"/>
      <c r="T364" s="8"/>
      <c r="U364" s="8"/>
    </row>
    <row r="365" spans="1:21">
      <c r="A365" s="10"/>
      <c r="B365" s="11"/>
      <c r="C365" s="12"/>
      <c r="D365" s="13"/>
      <c r="E365" s="12"/>
      <c r="F365" s="12"/>
      <c r="G365" s="12"/>
      <c r="H365" s="12"/>
      <c r="I365" s="12"/>
      <c r="J365" s="14"/>
      <c r="K365" s="12"/>
      <c r="L365" s="12" t="str">
        <f t="shared" si="1"/>
        <v/>
      </c>
      <c r="M365" s="12"/>
      <c r="N365" s="12"/>
      <c r="O365" s="12"/>
      <c r="P365" s="15"/>
      <c r="Q365" s="7"/>
      <c r="R365" s="7"/>
      <c r="S365" s="7"/>
      <c r="T365" s="8"/>
      <c r="U365" s="8"/>
    </row>
    <row r="366" spans="1:21">
      <c r="A366" s="10"/>
      <c r="B366" s="11"/>
      <c r="C366" s="12"/>
      <c r="D366" s="13"/>
      <c r="E366" s="12"/>
      <c r="F366" s="12"/>
      <c r="G366" s="12"/>
      <c r="H366" s="12"/>
      <c r="I366" s="12"/>
      <c r="J366" s="14"/>
      <c r="K366" s="12"/>
      <c r="L366" s="12" t="str">
        <f t="shared" si="1"/>
        <v/>
      </c>
      <c r="M366" s="12"/>
      <c r="N366" s="12"/>
      <c r="O366" s="12"/>
      <c r="P366" s="15"/>
      <c r="Q366" s="7"/>
      <c r="R366" s="7"/>
      <c r="S366" s="7"/>
      <c r="T366" s="8"/>
      <c r="U366" s="8"/>
    </row>
    <row r="367" spans="1:21">
      <c r="A367" s="10"/>
      <c r="B367" s="11"/>
      <c r="C367" s="12"/>
      <c r="D367" s="13"/>
      <c r="E367" s="12"/>
      <c r="F367" s="12"/>
      <c r="G367" s="12"/>
      <c r="H367" s="12"/>
      <c r="I367" s="12"/>
      <c r="J367" s="14"/>
      <c r="K367" s="12"/>
      <c r="L367" s="12" t="str">
        <f t="shared" si="1"/>
        <v/>
      </c>
      <c r="M367" s="12"/>
      <c r="N367" s="12"/>
      <c r="O367" s="12"/>
      <c r="P367" s="15"/>
      <c r="Q367" s="7"/>
      <c r="R367" s="7"/>
      <c r="S367" s="7"/>
      <c r="T367" s="8"/>
      <c r="U367" s="8"/>
    </row>
    <row r="368" spans="1:21">
      <c r="A368" s="10"/>
      <c r="B368" s="11"/>
      <c r="C368" s="12"/>
      <c r="D368" s="13"/>
      <c r="E368" s="12"/>
      <c r="F368" s="12"/>
      <c r="G368" s="12"/>
      <c r="H368" s="12"/>
      <c r="I368" s="12"/>
      <c r="J368" s="14"/>
      <c r="K368" s="12"/>
      <c r="L368" s="12" t="str">
        <f t="shared" si="1"/>
        <v/>
      </c>
      <c r="M368" s="12"/>
      <c r="N368" s="12"/>
      <c r="O368" s="12"/>
      <c r="P368" s="15"/>
      <c r="Q368" s="7"/>
      <c r="R368" s="7"/>
      <c r="S368" s="7"/>
      <c r="T368" s="8"/>
      <c r="U368" s="8"/>
    </row>
    <row r="369" spans="1:21">
      <c r="A369" s="10"/>
      <c r="B369" s="11"/>
      <c r="C369" s="12"/>
      <c r="D369" s="13"/>
      <c r="E369" s="12"/>
      <c r="F369" s="12"/>
      <c r="G369" s="12"/>
      <c r="H369" s="12"/>
      <c r="I369" s="12"/>
      <c r="J369" s="14"/>
      <c r="K369" s="12"/>
      <c r="L369" s="12" t="str">
        <f t="shared" si="1"/>
        <v/>
      </c>
      <c r="M369" s="12"/>
      <c r="N369" s="12"/>
      <c r="O369" s="12"/>
      <c r="P369" s="15"/>
      <c r="Q369" s="7"/>
      <c r="R369" s="7"/>
      <c r="S369" s="7"/>
      <c r="T369" s="8"/>
      <c r="U369" s="8"/>
    </row>
    <row r="370" spans="1:21">
      <c r="A370" s="10"/>
      <c r="B370" s="11"/>
      <c r="C370" s="12"/>
      <c r="D370" s="13"/>
      <c r="E370" s="12"/>
      <c r="F370" s="12"/>
      <c r="G370" s="12"/>
      <c r="H370" s="12"/>
      <c r="I370" s="12"/>
      <c r="J370" s="14"/>
      <c r="K370" s="12"/>
      <c r="L370" s="12" t="str">
        <f t="shared" si="1"/>
        <v/>
      </c>
      <c r="M370" s="12"/>
      <c r="N370" s="12"/>
      <c r="O370" s="12"/>
      <c r="P370" s="15"/>
      <c r="Q370" s="7"/>
      <c r="R370" s="7"/>
      <c r="S370" s="7"/>
      <c r="T370" s="8"/>
      <c r="U370" s="8"/>
    </row>
    <row r="371" spans="1:21">
      <c r="A371" s="10"/>
      <c r="B371" s="11"/>
      <c r="C371" s="12"/>
      <c r="D371" s="13"/>
      <c r="E371" s="12"/>
      <c r="F371" s="12"/>
      <c r="G371" s="12"/>
      <c r="H371" s="12"/>
      <c r="I371" s="12"/>
      <c r="J371" s="14"/>
      <c r="K371" s="12"/>
      <c r="L371" s="12" t="str">
        <f t="shared" si="1"/>
        <v/>
      </c>
      <c r="M371" s="12"/>
      <c r="N371" s="12"/>
      <c r="O371" s="12"/>
      <c r="P371" s="15"/>
      <c r="Q371" s="7"/>
      <c r="R371" s="7"/>
      <c r="S371" s="7"/>
      <c r="T371" s="8"/>
      <c r="U371" s="8"/>
    </row>
    <row r="372" spans="1:21">
      <c r="A372" s="10"/>
      <c r="B372" s="11"/>
      <c r="C372" s="12"/>
      <c r="D372" s="13"/>
      <c r="E372" s="12"/>
      <c r="F372" s="12"/>
      <c r="G372" s="12"/>
      <c r="H372" s="12"/>
      <c r="I372" s="12"/>
      <c r="J372" s="14"/>
      <c r="K372" s="12"/>
      <c r="L372" s="12" t="str">
        <f t="shared" si="1"/>
        <v/>
      </c>
      <c r="M372" s="12"/>
      <c r="N372" s="12"/>
      <c r="O372" s="12"/>
      <c r="P372" s="15"/>
      <c r="Q372" s="7"/>
      <c r="R372" s="7"/>
      <c r="S372" s="7"/>
      <c r="T372" s="8"/>
      <c r="U372" s="8"/>
    </row>
    <row r="373" spans="1:21">
      <c r="A373" s="10"/>
      <c r="B373" s="11"/>
      <c r="C373" s="12"/>
      <c r="D373" s="13"/>
      <c r="E373" s="12"/>
      <c r="F373" s="12"/>
      <c r="G373" s="12"/>
      <c r="H373" s="12"/>
      <c r="I373" s="12"/>
      <c r="J373" s="14"/>
      <c r="K373" s="12"/>
      <c r="L373" s="12" t="str">
        <f t="shared" si="1"/>
        <v/>
      </c>
      <c r="M373" s="12"/>
      <c r="N373" s="12"/>
      <c r="O373" s="12"/>
      <c r="P373" s="15"/>
      <c r="Q373" s="7"/>
      <c r="R373" s="7"/>
      <c r="S373" s="7"/>
      <c r="T373" s="8"/>
      <c r="U373" s="8"/>
    </row>
    <row r="374" spans="1:21">
      <c r="A374" s="10"/>
      <c r="B374" s="11"/>
      <c r="C374" s="12"/>
      <c r="D374" s="13"/>
      <c r="E374" s="12"/>
      <c r="F374" s="12"/>
      <c r="G374" s="12"/>
      <c r="H374" s="12"/>
      <c r="I374" s="12"/>
      <c r="J374" s="14"/>
      <c r="K374" s="12"/>
      <c r="L374" s="12" t="str">
        <f t="shared" si="1"/>
        <v/>
      </c>
      <c r="M374" s="12"/>
      <c r="N374" s="12"/>
      <c r="O374" s="12"/>
      <c r="P374" s="15"/>
      <c r="Q374" s="7"/>
      <c r="R374" s="7"/>
      <c r="S374" s="7"/>
      <c r="T374" s="8"/>
      <c r="U374" s="8"/>
    </row>
    <row r="375" spans="1:21">
      <c r="A375" s="10"/>
      <c r="B375" s="11"/>
      <c r="C375" s="12"/>
      <c r="D375" s="13"/>
      <c r="E375" s="12"/>
      <c r="F375" s="12"/>
      <c r="G375" s="12"/>
      <c r="H375" s="12"/>
      <c r="I375" s="12"/>
      <c r="J375" s="14"/>
      <c r="K375" s="12"/>
      <c r="L375" s="12" t="str">
        <f t="shared" si="1"/>
        <v/>
      </c>
      <c r="M375" s="12"/>
      <c r="N375" s="12"/>
      <c r="O375" s="12"/>
      <c r="P375" s="15"/>
      <c r="Q375" s="7"/>
      <c r="R375" s="7"/>
      <c r="S375" s="7"/>
      <c r="T375" s="8"/>
      <c r="U375" s="8"/>
    </row>
    <row r="376" spans="1:21">
      <c r="A376" s="10"/>
      <c r="B376" s="11"/>
      <c r="C376" s="12"/>
      <c r="D376" s="13"/>
      <c r="E376" s="12"/>
      <c r="F376" s="12"/>
      <c r="G376" s="12"/>
      <c r="H376" s="12"/>
      <c r="I376" s="12"/>
      <c r="J376" s="14"/>
      <c r="K376" s="12"/>
      <c r="L376" s="12" t="str">
        <f t="shared" si="1"/>
        <v/>
      </c>
      <c r="M376" s="12"/>
      <c r="N376" s="12"/>
      <c r="O376" s="12"/>
      <c r="P376" s="15"/>
      <c r="Q376" s="7"/>
      <c r="R376" s="7"/>
      <c r="S376" s="7"/>
      <c r="T376" s="8"/>
      <c r="U376" s="8"/>
    </row>
    <row r="377" spans="1:21">
      <c r="A377" s="10"/>
      <c r="B377" s="11"/>
      <c r="C377" s="12"/>
      <c r="D377" s="13"/>
      <c r="E377" s="12"/>
      <c r="F377" s="12"/>
      <c r="G377" s="12"/>
      <c r="H377" s="12"/>
      <c r="I377" s="12"/>
      <c r="J377" s="14"/>
      <c r="K377" s="12"/>
      <c r="L377" s="12" t="str">
        <f t="shared" si="1"/>
        <v/>
      </c>
      <c r="M377" s="12"/>
      <c r="N377" s="12"/>
      <c r="O377" s="12"/>
      <c r="P377" s="15"/>
      <c r="Q377" s="7"/>
      <c r="R377" s="7"/>
      <c r="S377" s="7"/>
      <c r="T377" s="8"/>
      <c r="U377" s="8"/>
    </row>
    <row r="378" spans="1:21">
      <c r="A378" s="10"/>
      <c r="B378" s="11"/>
      <c r="C378" s="12"/>
      <c r="D378" s="13"/>
      <c r="E378" s="12"/>
      <c r="F378" s="12"/>
      <c r="G378" s="12"/>
      <c r="H378" s="12"/>
      <c r="I378" s="12"/>
      <c r="J378" s="14"/>
      <c r="K378" s="12"/>
      <c r="L378" s="12" t="str">
        <f t="shared" si="1"/>
        <v/>
      </c>
      <c r="M378" s="12"/>
      <c r="N378" s="12"/>
      <c r="O378" s="12"/>
      <c r="P378" s="15"/>
      <c r="Q378" s="7"/>
      <c r="R378" s="7"/>
      <c r="S378" s="7"/>
      <c r="T378" s="8"/>
      <c r="U378" s="8"/>
    </row>
    <row r="379" spans="1:21">
      <c r="A379" s="10"/>
      <c r="B379" s="11"/>
      <c r="C379" s="12"/>
      <c r="D379" s="13"/>
      <c r="E379" s="12"/>
      <c r="F379" s="12"/>
      <c r="G379" s="12"/>
      <c r="H379" s="12"/>
      <c r="I379" s="12"/>
      <c r="J379" s="14"/>
      <c r="K379" s="12"/>
      <c r="L379" s="12" t="str">
        <f t="shared" si="1"/>
        <v/>
      </c>
      <c r="M379" s="12"/>
      <c r="N379" s="12"/>
      <c r="O379" s="12"/>
      <c r="P379" s="15"/>
      <c r="Q379" s="7"/>
      <c r="R379" s="7"/>
      <c r="S379" s="7"/>
      <c r="T379" s="8"/>
      <c r="U379" s="8"/>
    </row>
    <row r="380" spans="1:21">
      <c r="A380" s="10"/>
      <c r="B380" s="11"/>
      <c r="C380" s="12"/>
      <c r="D380" s="13"/>
      <c r="E380" s="12"/>
      <c r="F380" s="12"/>
      <c r="G380" s="12"/>
      <c r="H380" s="12"/>
      <c r="I380" s="12"/>
      <c r="J380" s="14"/>
      <c r="K380" s="12"/>
      <c r="L380" s="12" t="str">
        <f t="shared" si="1"/>
        <v/>
      </c>
      <c r="M380" s="12"/>
      <c r="N380" s="12"/>
      <c r="O380" s="12"/>
      <c r="P380" s="15"/>
      <c r="Q380" s="7"/>
      <c r="R380" s="7"/>
      <c r="S380" s="7"/>
      <c r="T380" s="8"/>
      <c r="U380" s="8"/>
    </row>
    <row r="381" spans="1:21">
      <c r="A381" s="10"/>
      <c r="B381" s="11"/>
      <c r="C381" s="12"/>
      <c r="D381" s="13"/>
      <c r="E381" s="12"/>
      <c r="F381" s="12"/>
      <c r="G381" s="12"/>
      <c r="H381" s="12"/>
      <c r="I381" s="12"/>
      <c r="J381" s="14"/>
      <c r="K381" s="12"/>
      <c r="L381" s="12" t="str">
        <f t="shared" si="1"/>
        <v/>
      </c>
      <c r="M381" s="12"/>
      <c r="N381" s="12"/>
      <c r="O381" s="12"/>
      <c r="P381" s="15"/>
      <c r="Q381" s="7"/>
      <c r="R381" s="7"/>
      <c r="S381" s="7"/>
      <c r="T381" s="8"/>
      <c r="U381" s="8"/>
    </row>
    <row r="382" spans="1:21">
      <c r="A382" s="10"/>
      <c r="B382" s="11"/>
      <c r="C382" s="12"/>
      <c r="D382" s="13"/>
      <c r="E382" s="12"/>
      <c r="F382" s="12"/>
      <c r="G382" s="12"/>
      <c r="H382" s="12"/>
      <c r="I382" s="12"/>
      <c r="J382" s="14"/>
      <c r="K382" s="12"/>
      <c r="L382" s="12" t="str">
        <f t="shared" si="1"/>
        <v/>
      </c>
      <c r="M382" s="12"/>
      <c r="N382" s="12"/>
      <c r="O382" s="12"/>
      <c r="P382" s="15"/>
      <c r="Q382" s="7"/>
      <c r="R382" s="7"/>
      <c r="S382" s="7"/>
      <c r="T382" s="8"/>
      <c r="U382" s="8"/>
    </row>
    <row r="383" spans="1:21">
      <c r="A383" s="10"/>
      <c r="B383" s="11"/>
      <c r="C383" s="12"/>
      <c r="D383" s="13"/>
      <c r="E383" s="12"/>
      <c r="F383" s="12"/>
      <c r="G383" s="12"/>
      <c r="H383" s="12"/>
      <c r="I383" s="12"/>
      <c r="J383" s="14"/>
      <c r="K383" s="12"/>
      <c r="L383" s="12" t="str">
        <f t="shared" si="1"/>
        <v/>
      </c>
      <c r="M383" s="12"/>
      <c r="N383" s="12"/>
      <c r="O383" s="12"/>
      <c r="P383" s="15"/>
      <c r="Q383" s="7"/>
      <c r="R383" s="7"/>
      <c r="S383" s="7"/>
      <c r="T383" s="8"/>
      <c r="U383" s="8"/>
    </row>
    <row r="384" spans="1:21">
      <c r="A384" s="10"/>
      <c r="B384" s="11"/>
      <c r="C384" s="12"/>
      <c r="D384" s="13"/>
      <c r="E384" s="12"/>
      <c r="F384" s="12"/>
      <c r="G384" s="12"/>
      <c r="H384" s="12"/>
      <c r="I384" s="12"/>
      <c r="J384" s="14"/>
      <c r="K384" s="12"/>
      <c r="L384" s="12" t="str">
        <f t="shared" si="1"/>
        <v/>
      </c>
      <c r="M384" s="12"/>
      <c r="N384" s="12"/>
      <c r="O384" s="12"/>
      <c r="P384" s="15"/>
      <c r="Q384" s="7"/>
      <c r="R384" s="7"/>
      <c r="S384" s="7"/>
      <c r="T384" s="8"/>
      <c r="U384" s="8"/>
    </row>
    <row r="385" spans="1:21">
      <c r="A385" s="10"/>
      <c r="B385" s="11"/>
      <c r="C385" s="12"/>
      <c r="D385" s="13"/>
      <c r="E385" s="12"/>
      <c r="F385" s="12"/>
      <c r="G385" s="12"/>
      <c r="H385" s="12"/>
      <c r="I385" s="12"/>
      <c r="J385" s="14"/>
      <c r="K385" s="12"/>
      <c r="L385" s="12" t="str">
        <f t="shared" si="1"/>
        <v/>
      </c>
      <c r="M385" s="12"/>
      <c r="N385" s="12"/>
      <c r="O385" s="12"/>
      <c r="P385" s="15"/>
      <c r="Q385" s="7"/>
      <c r="R385" s="7"/>
      <c r="S385" s="7"/>
      <c r="T385" s="8"/>
      <c r="U385" s="8"/>
    </row>
    <row r="386" spans="1:21">
      <c r="A386" s="10"/>
      <c r="B386" s="11"/>
      <c r="C386" s="12"/>
      <c r="D386" s="13"/>
      <c r="E386" s="12"/>
      <c r="F386" s="12"/>
      <c r="G386" s="12"/>
      <c r="H386" s="12"/>
      <c r="I386" s="12"/>
      <c r="J386" s="14"/>
      <c r="K386" s="12"/>
      <c r="L386" s="12" t="str">
        <f t="shared" si="1"/>
        <v/>
      </c>
      <c r="M386" s="12"/>
      <c r="N386" s="12"/>
      <c r="O386" s="12"/>
      <c r="P386" s="15"/>
      <c r="Q386" s="7"/>
      <c r="R386" s="7"/>
      <c r="S386" s="7"/>
      <c r="T386" s="8"/>
      <c r="U386" s="8"/>
    </row>
    <row r="387" spans="1:21">
      <c r="A387" s="10"/>
      <c r="B387" s="11"/>
      <c r="C387" s="12"/>
      <c r="D387" s="13"/>
      <c r="E387" s="12"/>
      <c r="F387" s="12"/>
      <c r="G387" s="12"/>
      <c r="H387" s="12"/>
      <c r="I387" s="12"/>
      <c r="J387" s="14"/>
      <c r="K387" s="12"/>
      <c r="L387" s="12" t="str">
        <f t="shared" si="1"/>
        <v/>
      </c>
      <c r="M387" s="12"/>
      <c r="N387" s="12"/>
      <c r="O387" s="12"/>
      <c r="P387" s="15"/>
      <c r="Q387" s="7"/>
      <c r="R387" s="7"/>
      <c r="S387" s="7"/>
      <c r="T387" s="8"/>
      <c r="U387" s="8"/>
    </row>
    <row r="388" spans="1:21">
      <c r="A388" s="10"/>
      <c r="B388" s="11"/>
      <c r="C388" s="12"/>
      <c r="D388" s="13"/>
      <c r="E388" s="12"/>
      <c r="F388" s="12"/>
      <c r="G388" s="12"/>
      <c r="H388" s="12"/>
      <c r="I388" s="12"/>
      <c r="J388" s="14"/>
      <c r="K388" s="12"/>
      <c r="L388" s="12" t="str">
        <f t="shared" si="1"/>
        <v/>
      </c>
      <c r="M388" s="12"/>
      <c r="N388" s="12"/>
      <c r="O388" s="12"/>
      <c r="P388" s="15"/>
      <c r="Q388" s="7"/>
      <c r="R388" s="7"/>
      <c r="S388" s="7"/>
      <c r="T388" s="8"/>
      <c r="U388" s="8"/>
    </row>
    <row r="389" spans="1:21">
      <c r="A389" s="10"/>
      <c r="B389" s="11"/>
      <c r="C389" s="12"/>
      <c r="D389" s="13"/>
      <c r="E389" s="12"/>
      <c r="F389" s="12"/>
      <c r="G389" s="12"/>
      <c r="H389" s="12"/>
      <c r="I389" s="12"/>
      <c r="J389" s="14"/>
      <c r="K389" s="12"/>
      <c r="L389" s="12" t="str">
        <f t="shared" si="1"/>
        <v/>
      </c>
      <c r="M389" s="12"/>
      <c r="N389" s="12"/>
      <c r="O389" s="12"/>
      <c r="P389" s="15"/>
      <c r="Q389" s="7"/>
      <c r="R389" s="7"/>
      <c r="S389" s="7"/>
      <c r="T389" s="8"/>
      <c r="U389" s="8"/>
    </row>
    <row r="390" spans="1:21">
      <c r="A390" s="10"/>
      <c r="B390" s="11"/>
      <c r="C390" s="12"/>
      <c r="D390" s="13"/>
      <c r="E390" s="12"/>
      <c r="F390" s="12"/>
      <c r="G390" s="12"/>
      <c r="H390" s="12"/>
      <c r="I390" s="12"/>
      <c r="J390" s="14"/>
      <c r="K390" s="12"/>
      <c r="L390" s="12" t="str">
        <f t="shared" si="1"/>
        <v/>
      </c>
      <c r="M390" s="12"/>
      <c r="N390" s="12"/>
      <c r="O390" s="12"/>
      <c r="P390" s="15"/>
      <c r="Q390" s="7"/>
      <c r="R390" s="7"/>
      <c r="S390" s="7"/>
      <c r="T390" s="8"/>
      <c r="U390" s="8"/>
    </row>
    <row r="391" spans="1:21">
      <c r="A391" s="10"/>
      <c r="B391" s="11"/>
      <c r="C391" s="12"/>
      <c r="D391" s="13"/>
      <c r="E391" s="12"/>
      <c r="F391" s="12"/>
      <c r="G391" s="12"/>
      <c r="H391" s="12"/>
      <c r="I391" s="12"/>
      <c r="J391" s="14"/>
      <c r="K391" s="12"/>
      <c r="L391" s="12" t="str">
        <f t="shared" si="1"/>
        <v/>
      </c>
      <c r="M391" s="12"/>
      <c r="N391" s="12"/>
      <c r="O391" s="12"/>
      <c r="P391" s="15"/>
      <c r="Q391" s="7"/>
      <c r="R391" s="7"/>
      <c r="S391" s="7"/>
      <c r="T391" s="8"/>
      <c r="U391" s="8"/>
    </row>
    <row r="392" spans="1:21">
      <c r="A392" s="10"/>
      <c r="B392" s="11"/>
      <c r="C392" s="12"/>
      <c r="D392" s="13"/>
      <c r="E392" s="12"/>
      <c r="F392" s="12"/>
      <c r="G392" s="12"/>
      <c r="H392" s="12"/>
      <c r="I392" s="12"/>
      <c r="J392" s="14"/>
      <c r="K392" s="12"/>
      <c r="L392" s="12" t="str">
        <f t="shared" si="1"/>
        <v/>
      </c>
      <c r="M392" s="12"/>
      <c r="N392" s="12"/>
      <c r="O392" s="12"/>
      <c r="P392" s="15"/>
      <c r="Q392" s="7"/>
      <c r="R392" s="7"/>
      <c r="S392" s="7"/>
      <c r="T392" s="8"/>
      <c r="U392" s="8"/>
    </row>
    <row r="393" spans="1:21">
      <c r="A393" s="10"/>
      <c r="B393" s="11"/>
      <c r="C393" s="12"/>
      <c r="D393" s="13"/>
      <c r="E393" s="12"/>
      <c r="F393" s="12"/>
      <c r="G393" s="12"/>
      <c r="H393" s="12"/>
      <c r="I393" s="12"/>
      <c r="J393" s="14"/>
      <c r="K393" s="12"/>
      <c r="L393" s="12" t="str">
        <f t="shared" si="1"/>
        <v/>
      </c>
      <c r="M393" s="12"/>
      <c r="N393" s="12"/>
      <c r="O393" s="12"/>
      <c r="P393" s="15"/>
      <c r="Q393" s="7"/>
      <c r="R393" s="7"/>
      <c r="S393" s="7"/>
      <c r="T393" s="8"/>
      <c r="U393" s="8"/>
    </row>
    <row r="394" spans="1:21">
      <c r="A394" s="10"/>
      <c r="B394" s="11"/>
      <c r="C394" s="12"/>
      <c r="D394" s="13"/>
      <c r="E394" s="12"/>
      <c r="F394" s="12"/>
      <c r="G394" s="12"/>
      <c r="H394" s="12"/>
      <c r="I394" s="12"/>
      <c r="J394" s="14"/>
      <c r="K394" s="12"/>
      <c r="L394" s="12" t="str">
        <f t="shared" si="1"/>
        <v/>
      </c>
      <c r="M394" s="12"/>
      <c r="N394" s="12"/>
      <c r="O394" s="12"/>
      <c r="P394" s="15"/>
      <c r="Q394" s="7"/>
      <c r="R394" s="7"/>
      <c r="S394" s="7"/>
      <c r="T394" s="8"/>
      <c r="U394" s="8"/>
    </row>
    <row r="395" spans="1:21">
      <c r="A395" s="10"/>
      <c r="B395" s="11"/>
      <c r="C395" s="12"/>
      <c r="D395" s="13"/>
      <c r="E395" s="12"/>
      <c r="F395" s="12"/>
      <c r="G395" s="12"/>
      <c r="H395" s="12"/>
      <c r="I395" s="12"/>
      <c r="J395" s="14"/>
      <c r="K395" s="12"/>
      <c r="L395" s="12" t="str">
        <f t="shared" si="1"/>
        <v/>
      </c>
      <c r="M395" s="12"/>
      <c r="N395" s="12"/>
      <c r="O395" s="12"/>
      <c r="P395" s="15"/>
      <c r="Q395" s="7"/>
      <c r="R395" s="7"/>
      <c r="S395" s="7"/>
      <c r="T395" s="8"/>
      <c r="U395" s="8"/>
    </row>
    <row r="396" spans="1:21">
      <c r="A396" s="10"/>
      <c r="B396" s="11"/>
      <c r="C396" s="12"/>
      <c r="D396" s="13"/>
      <c r="E396" s="12"/>
      <c r="F396" s="12"/>
      <c r="G396" s="12"/>
      <c r="H396" s="12"/>
      <c r="I396" s="12"/>
      <c r="J396" s="14"/>
      <c r="K396" s="12"/>
      <c r="L396" s="12" t="str">
        <f t="shared" si="1"/>
        <v/>
      </c>
      <c r="M396" s="12"/>
      <c r="N396" s="12"/>
      <c r="O396" s="12"/>
      <c r="P396" s="15"/>
      <c r="Q396" s="7"/>
      <c r="R396" s="7"/>
      <c r="S396" s="7"/>
      <c r="T396" s="8"/>
      <c r="U396" s="8"/>
    </row>
    <row r="397" spans="1:21">
      <c r="A397" s="10"/>
      <c r="B397" s="11"/>
      <c r="C397" s="12"/>
      <c r="D397" s="13"/>
      <c r="E397" s="12"/>
      <c r="F397" s="12"/>
      <c r="G397" s="12"/>
      <c r="H397" s="12"/>
      <c r="I397" s="12"/>
      <c r="J397" s="14"/>
      <c r="K397" s="12"/>
      <c r="L397" s="12" t="str">
        <f t="shared" si="1"/>
        <v/>
      </c>
      <c r="M397" s="12"/>
      <c r="N397" s="12"/>
      <c r="O397" s="12"/>
      <c r="P397" s="15"/>
      <c r="Q397" s="7"/>
      <c r="R397" s="7"/>
      <c r="S397" s="7"/>
      <c r="T397" s="8"/>
      <c r="U397" s="8"/>
    </row>
    <row r="398" spans="1:21">
      <c r="A398" s="10"/>
      <c r="B398" s="11"/>
      <c r="C398" s="12"/>
      <c r="D398" s="13"/>
      <c r="E398" s="12"/>
      <c r="F398" s="12"/>
      <c r="G398" s="12"/>
      <c r="H398" s="12"/>
      <c r="I398" s="12"/>
      <c r="J398" s="14"/>
      <c r="K398" s="12"/>
      <c r="L398" s="12" t="str">
        <f t="shared" si="1"/>
        <v/>
      </c>
      <c r="M398" s="12"/>
      <c r="N398" s="12"/>
      <c r="O398" s="12"/>
      <c r="P398" s="15"/>
      <c r="Q398" s="7"/>
      <c r="R398" s="7"/>
      <c r="S398" s="7"/>
      <c r="T398" s="8"/>
      <c r="U398" s="8"/>
    </row>
    <row r="399" spans="1:21">
      <c r="A399" s="10"/>
      <c r="B399" s="11"/>
      <c r="C399" s="12"/>
      <c r="D399" s="13"/>
      <c r="E399" s="12"/>
      <c r="F399" s="12"/>
      <c r="G399" s="12"/>
      <c r="H399" s="12"/>
      <c r="I399" s="12"/>
      <c r="J399" s="14"/>
      <c r="K399" s="12"/>
      <c r="L399" s="12" t="str">
        <f t="shared" si="1"/>
        <v/>
      </c>
      <c r="M399" s="12"/>
      <c r="N399" s="12"/>
      <c r="O399" s="12"/>
      <c r="P399" s="15"/>
      <c r="Q399" s="7"/>
      <c r="R399" s="7"/>
      <c r="S399" s="7"/>
      <c r="T399" s="8"/>
      <c r="U399" s="8"/>
    </row>
    <row r="400" spans="1:21">
      <c r="A400" s="10"/>
      <c r="B400" s="11"/>
      <c r="C400" s="12"/>
      <c r="D400" s="13"/>
      <c r="E400" s="12"/>
      <c r="F400" s="12"/>
      <c r="G400" s="12"/>
      <c r="H400" s="12"/>
      <c r="I400" s="12"/>
      <c r="J400" s="14"/>
      <c r="K400" s="12"/>
      <c r="L400" s="12" t="str">
        <f t="shared" si="1"/>
        <v/>
      </c>
      <c r="M400" s="12"/>
      <c r="N400" s="12"/>
      <c r="O400" s="12"/>
      <c r="P400" s="15"/>
      <c r="Q400" s="7"/>
      <c r="R400" s="7"/>
      <c r="S400" s="7"/>
      <c r="T400" s="8"/>
      <c r="U400" s="8"/>
    </row>
    <row r="401" spans="1:21">
      <c r="A401" s="10"/>
      <c r="B401" s="11"/>
      <c r="C401" s="12"/>
      <c r="D401" s="13"/>
      <c r="E401" s="12"/>
      <c r="F401" s="12"/>
      <c r="G401" s="12"/>
      <c r="H401" s="12"/>
      <c r="I401" s="12"/>
      <c r="J401" s="14"/>
      <c r="K401" s="12"/>
      <c r="L401" s="12" t="str">
        <f t="shared" si="1"/>
        <v/>
      </c>
      <c r="M401" s="12"/>
      <c r="N401" s="12"/>
      <c r="O401" s="12"/>
      <c r="P401" s="15"/>
      <c r="Q401" s="7"/>
      <c r="R401" s="7"/>
      <c r="S401" s="7"/>
      <c r="T401" s="8"/>
      <c r="U401" s="8"/>
    </row>
    <row r="402" spans="1:21">
      <c r="A402" s="10"/>
      <c r="B402" s="11"/>
      <c r="C402" s="12"/>
      <c r="D402" s="13"/>
      <c r="E402" s="12"/>
      <c r="F402" s="12"/>
      <c r="G402" s="12"/>
      <c r="H402" s="12"/>
      <c r="I402" s="12"/>
      <c r="J402" s="14"/>
      <c r="K402" s="12"/>
      <c r="L402" s="12" t="str">
        <f t="shared" si="1"/>
        <v/>
      </c>
      <c r="M402" s="12"/>
      <c r="N402" s="12"/>
      <c r="O402" s="12"/>
      <c r="P402" s="15"/>
      <c r="Q402" s="7"/>
      <c r="R402" s="7"/>
      <c r="S402" s="7"/>
      <c r="T402" s="8"/>
      <c r="U402" s="8"/>
    </row>
    <row r="403" spans="1:21">
      <c r="A403" s="10"/>
      <c r="B403" s="11"/>
      <c r="C403" s="12"/>
      <c r="D403" s="13"/>
      <c r="E403" s="12"/>
      <c r="F403" s="12"/>
      <c r="G403" s="12"/>
      <c r="H403" s="12"/>
      <c r="I403" s="12"/>
      <c r="J403" s="14"/>
      <c r="K403" s="12"/>
      <c r="L403" s="12" t="str">
        <f t="shared" si="1"/>
        <v/>
      </c>
      <c r="M403" s="12"/>
      <c r="N403" s="12"/>
      <c r="O403" s="12"/>
      <c r="P403" s="15"/>
      <c r="Q403" s="7"/>
      <c r="R403" s="7"/>
      <c r="S403" s="7"/>
      <c r="T403" s="8"/>
      <c r="U403" s="8"/>
    </row>
    <row r="404" spans="1:21">
      <c r="A404" s="10"/>
      <c r="B404" s="11"/>
      <c r="C404" s="12"/>
      <c r="D404" s="13"/>
      <c r="E404" s="12"/>
      <c r="F404" s="12"/>
      <c r="G404" s="12"/>
      <c r="H404" s="12"/>
      <c r="I404" s="12"/>
      <c r="J404" s="14"/>
      <c r="K404" s="12"/>
      <c r="L404" s="12" t="str">
        <f t="shared" si="1"/>
        <v/>
      </c>
      <c r="M404" s="12"/>
      <c r="N404" s="12"/>
      <c r="O404" s="12"/>
      <c r="P404" s="15"/>
      <c r="Q404" s="7"/>
      <c r="R404" s="7"/>
      <c r="S404" s="7"/>
      <c r="T404" s="8"/>
      <c r="U404" s="8"/>
    </row>
    <row r="405" spans="1:21">
      <c r="A405" s="10"/>
      <c r="B405" s="11"/>
      <c r="C405" s="12"/>
      <c r="D405" s="13"/>
      <c r="E405" s="12"/>
      <c r="F405" s="12"/>
      <c r="G405" s="12"/>
      <c r="H405" s="12"/>
      <c r="I405" s="12"/>
      <c r="J405" s="14"/>
      <c r="K405" s="12"/>
      <c r="L405" s="12" t="str">
        <f t="shared" si="1"/>
        <v/>
      </c>
      <c r="M405" s="12"/>
      <c r="N405" s="12"/>
      <c r="O405" s="12"/>
      <c r="P405" s="15"/>
      <c r="Q405" s="7"/>
      <c r="R405" s="7"/>
      <c r="S405" s="7"/>
      <c r="T405" s="8"/>
      <c r="U405" s="8"/>
    </row>
    <row r="406" spans="1:21">
      <c r="A406" s="10"/>
      <c r="B406" s="11"/>
      <c r="C406" s="12"/>
      <c r="D406" s="13"/>
      <c r="E406" s="12"/>
      <c r="F406" s="12"/>
      <c r="G406" s="12"/>
      <c r="H406" s="12"/>
      <c r="I406" s="12"/>
      <c r="J406" s="14"/>
      <c r="K406" s="12"/>
      <c r="L406" s="12" t="str">
        <f t="shared" si="1"/>
        <v/>
      </c>
      <c r="M406" s="12"/>
      <c r="N406" s="12"/>
      <c r="O406" s="12"/>
      <c r="P406" s="15"/>
      <c r="Q406" s="7"/>
      <c r="R406" s="7"/>
      <c r="S406" s="7"/>
      <c r="T406" s="8"/>
      <c r="U406" s="8"/>
    </row>
    <row r="407" spans="1:21">
      <c r="A407" s="10"/>
      <c r="B407" s="11"/>
      <c r="C407" s="12"/>
      <c r="D407" s="13"/>
      <c r="E407" s="12"/>
      <c r="F407" s="12"/>
      <c r="G407" s="12"/>
      <c r="H407" s="12"/>
      <c r="I407" s="12"/>
      <c r="J407" s="14"/>
      <c r="K407" s="12"/>
      <c r="L407" s="12" t="str">
        <f t="shared" si="1"/>
        <v/>
      </c>
      <c r="M407" s="12"/>
      <c r="N407" s="12"/>
      <c r="O407" s="12"/>
      <c r="P407" s="15"/>
      <c r="Q407" s="7"/>
      <c r="R407" s="7"/>
      <c r="S407" s="7"/>
      <c r="T407" s="8"/>
      <c r="U407" s="8"/>
    </row>
    <row r="408" spans="1:21">
      <c r="A408" s="10"/>
      <c r="B408" s="11"/>
      <c r="C408" s="12"/>
      <c r="D408" s="13"/>
      <c r="E408" s="12"/>
      <c r="F408" s="12"/>
      <c r="G408" s="12"/>
      <c r="H408" s="12"/>
      <c r="I408" s="12"/>
      <c r="J408" s="14"/>
      <c r="K408" s="12"/>
      <c r="L408" s="12" t="str">
        <f t="shared" si="1"/>
        <v/>
      </c>
      <c r="M408" s="12"/>
      <c r="N408" s="12"/>
      <c r="O408" s="12"/>
      <c r="P408" s="15"/>
      <c r="Q408" s="7"/>
      <c r="R408" s="7"/>
      <c r="S408" s="7"/>
      <c r="T408" s="8"/>
      <c r="U408" s="8"/>
    </row>
    <row r="409" spans="1:21">
      <c r="A409" s="10"/>
      <c r="B409" s="11"/>
      <c r="C409" s="12"/>
      <c r="D409" s="13"/>
      <c r="E409" s="12"/>
      <c r="F409" s="12"/>
      <c r="G409" s="12"/>
      <c r="H409" s="12"/>
      <c r="I409" s="12"/>
      <c r="J409" s="14"/>
      <c r="K409" s="12"/>
      <c r="L409" s="12" t="str">
        <f t="shared" si="1"/>
        <v/>
      </c>
      <c r="M409" s="12"/>
      <c r="N409" s="12"/>
      <c r="O409" s="12"/>
      <c r="P409" s="15"/>
      <c r="Q409" s="7"/>
      <c r="R409" s="7"/>
      <c r="S409" s="7"/>
      <c r="T409" s="8"/>
      <c r="U409" s="8"/>
    </row>
    <row r="410" spans="1:21">
      <c r="A410" s="10"/>
      <c r="B410" s="11"/>
      <c r="C410" s="12"/>
      <c r="D410" s="13"/>
      <c r="E410" s="12"/>
      <c r="F410" s="12"/>
      <c r="G410" s="12"/>
      <c r="H410" s="12"/>
      <c r="I410" s="12"/>
      <c r="J410" s="14"/>
      <c r="K410" s="12"/>
      <c r="L410" s="12" t="str">
        <f t="shared" si="1"/>
        <v/>
      </c>
      <c r="M410" s="12"/>
      <c r="N410" s="12"/>
      <c r="O410" s="12"/>
      <c r="P410" s="15"/>
      <c r="Q410" s="7"/>
      <c r="R410" s="7"/>
      <c r="S410" s="7"/>
      <c r="T410" s="8"/>
      <c r="U410" s="8"/>
    </row>
    <row r="411" spans="1:21">
      <c r="A411" s="10"/>
      <c r="B411" s="11"/>
      <c r="C411" s="12"/>
      <c r="D411" s="13"/>
      <c r="E411" s="12"/>
      <c r="F411" s="12"/>
      <c r="G411" s="12"/>
      <c r="H411" s="12"/>
      <c r="I411" s="12"/>
      <c r="J411" s="14"/>
      <c r="K411" s="12"/>
      <c r="L411" s="12" t="str">
        <f t="shared" si="1"/>
        <v/>
      </c>
      <c r="M411" s="12"/>
      <c r="N411" s="12"/>
      <c r="O411" s="12"/>
      <c r="P411" s="15"/>
      <c r="Q411" s="7"/>
      <c r="R411" s="7"/>
      <c r="S411" s="7"/>
      <c r="T411" s="8"/>
      <c r="U411" s="8"/>
    </row>
    <row r="412" spans="1:21">
      <c r="A412" s="10"/>
      <c r="B412" s="11"/>
      <c r="C412" s="12"/>
      <c r="D412" s="13"/>
      <c r="E412" s="12"/>
      <c r="F412" s="12"/>
      <c r="G412" s="12"/>
      <c r="H412" s="12"/>
      <c r="I412" s="12"/>
      <c r="J412" s="14"/>
      <c r="K412" s="12"/>
      <c r="L412" s="12" t="str">
        <f t="shared" si="1"/>
        <v/>
      </c>
      <c r="M412" s="12"/>
      <c r="N412" s="12"/>
      <c r="O412" s="12"/>
      <c r="P412" s="15"/>
      <c r="Q412" s="7"/>
      <c r="R412" s="7"/>
      <c r="S412" s="7"/>
      <c r="T412" s="8"/>
      <c r="U412" s="8"/>
    </row>
    <row r="413" spans="1:21">
      <c r="A413" s="10"/>
      <c r="B413" s="11"/>
      <c r="C413" s="12"/>
      <c r="D413" s="13"/>
      <c r="E413" s="12"/>
      <c r="F413" s="12"/>
      <c r="G413" s="12"/>
      <c r="H413" s="12"/>
      <c r="I413" s="12"/>
      <c r="J413" s="14"/>
      <c r="K413" s="12"/>
      <c r="L413" s="12" t="str">
        <f t="shared" si="1"/>
        <v/>
      </c>
      <c r="M413" s="12"/>
      <c r="N413" s="12"/>
      <c r="O413" s="12"/>
      <c r="P413" s="15"/>
      <c r="Q413" s="7"/>
      <c r="R413" s="7"/>
      <c r="S413" s="7"/>
      <c r="T413" s="8"/>
      <c r="U413" s="8"/>
    </row>
    <row r="414" spans="1:21">
      <c r="A414" s="10"/>
      <c r="B414" s="11"/>
      <c r="C414" s="12"/>
      <c r="D414" s="13"/>
      <c r="E414" s="12"/>
      <c r="F414" s="12"/>
      <c r="G414" s="12"/>
      <c r="H414" s="12"/>
      <c r="I414" s="12"/>
      <c r="J414" s="14"/>
      <c r="K414" s="12"/>
      <c r="L414" s="12" t="str">
        <f t="shared" si="1"/>
        <v/>
      </c>
      <c r="M414" s="12"/>
      <c r="N414" s="12"/>
      <c r="O414" s="12"/>
      <c r="P414" s="15"/>
      <c r="Q414" s="7"/>
      <c r="R414" s="7"/>
      <c r="S414" s="7"/>
      <c r="T414" s="8"/>
      <c r="U414" s="8"/>
    </row>
    <row r="415" spans="1:21">
      <c r="A415" s="10"/>
      <c r="B415" s="11"/>
      <c r="C415" s="12"/>
      <c r="D415" s="13"/>
      <c r="E415" s="12"/>
      <c r="F415" s="12"/>
      <c r="G415" s="12"/>
      <c r="H415" s="12"/>
      <c r="I415" s="12"/>
      <c r="J415" s="14"/>
      <c r="K415" s="12"/>
      <c r="L415" s="12" t="str">
        <f t="shared" si="1"/>
        <v/>
      </c>
      <c r="M415" s="12"/>
      <c r="N415" s="12"/>
      <c r="O415" s="12"/>
      <c r="P415" s="15"/>
      <c r="Q415" s="7"/>
      <c r="R415" s="7"/>
      <c r="S415" s="7"/>
      <c r="T415" s="8"/>
      <c r="U415" s="8"/>
    </row>
    <row r="416" spans="1:21">
      <c r="A416" s="10"/>
      <c r="B416" s="11"/>
      <c r="C416" s="12"/>
      <c r="D416" s="13"/>
      <c r="E416" s="12"/>
      <c r="F416" s="12"/>
      <c r="G416" s="12"/>
      <c r="H416" s="12"/>
      <c r="I416" s="12"/>
      <c r="J416" s="14"/>
      <c r="K416" s="12"/>
      <c r="L416" s="12" t="str">
        <f t="shared" si="1"/>
        <v/>
      </c>
      <c r="M416" s="12"/>
      <c r="N416" s="12"/>
      <c r="O416" s="12"/>
      <c r="P416" s="15"/>
      <c r="Q416" s="7"/>
      <c r="R416" s="7"/>
      <c r="S416" s="7"/>
      <c r="T416" s="8"/>
      <c r="U416" s="8"/>
    </row>
    <row r="417" spans="1:21">
      <c r="A417" s="10"/>
      <c r="B417" s="11"/>
      <c r="C417" s="12"/>
      <c r="D417" s="13"/>
      <c r="E417" s="12"/>
      <c r="F417" s="12"/>
      <c r="G417" s="12"/>
      <c r="H417" s="12"/>
      <c r="I417" s="12"/>
      <c r="J417" s="14"/>
      <c r="K417" s="12"/>
      <c r="L417" s="12" t="str">
        <f t="shared" si="1"/>
        <v/>
      </c>
      <c r="M417" s="12"/>
      <c r="N417" s="12"/>
      <c r="O417" s="12"/>
      <c r="P417" s="15"/>
      <c r="Q417" s="7"/>
      <c r="R417" s="7"/>
      <c r="S417" s="7"/>
      <c r="T417" s="8"/>
      <c r="U417" s="8"/>
    </row>
    <row r="418" spans="1:21">
      <c r="A418" s="10"/>
      <c r="B418" s="11"/>
      <c r="C418" s="12"/>
      <c r="D418" s="13"/>
      <c r="E418" s="12"/>
      <c r="F418" s="12"/>
      <c r="G418" s="12"/>
      <c r="H418" s="12"/>
      <c r="I418" s="12"/>
      <c r="J418" s="14"/>
      <c r="K418" s="12"/>
      <c r="L418" s="12" t="str">
        <f t="shared" si="1"/>
        <v/>
      </c>
      <c r="M418" s="12"/>
      <c r="N418" s="12"/>
      <c r="O418" s="12"/>
      <c r="P418" s="15"/>
      <c r="Q418" s="7"/>
      <c r="R418" s="7"/>
      <c r="S418" s="7"/>
      <c r="T418" s="8"/>
      <c r="U418" s="8"/>
    </row>
    <row r="419" spans="1:21">
      <c r="A419" s="10"/>
      <c r="B419" s="11"/>
      <c r="C419" s="12"/>
      <c r="D419" s="13"/>
      <c r="E419" s="12"/>
      <c r="F419" s="12"/>
      <c r="G419" s="12"/>
      <c r="H419" s="12"/>
      <c r="I419" s="12"/>
      <c r="J419" s="14"/>
      <c r="K419" s="12"/>
      <c r="L419" s="12" t="str">
        <f t="shared" si="1"/>
        <v/>
      </c>
      <c r="M419" s="12"/>
      <c r="N419" s="12"/>
      <c r="O419" s="12"/>
      <c r="P419" s="15"/>
      <c r="Q419" s="7"/>
      <c r="R419" s="7"/>
      <c r="S419" s="7"/>
      <c r="T419" s="8"/>
      <c r="U419" s="8"/>
    </row>
    <row r="420" spans="1:21">
      <c r="A420" s="10"/>
      <c r="B420" s="11"/>
      <c r="C420" s="12"/>
      <c r="D420" s="13"/>
      <c r="E420" s="12"/>
      <c r="F420" s="12"/>
      <c r="G420" s="12"/>
      <c r="H420" s="12"/>
      <c r="I420" s="12"/>
      <c r="J420" s="14"/>
      <c r="K420" s="12"/>
      <c r="L420" s="12" t="str">
        <f t="shared" si="1"/>
        <v/>
      </c>
      <c r="M420" s="12"/>
      <c r="N420" s="12"/>
      <c r="O420" s="12"/>
      <c r="P420" s="15"/>
      <c r="Q420" s="7"/>
      <c r="R420" s="7"/>
      <c r="S420" s="7"/>
      <c r="T420" s="8"/>
      <c r="U420" s="8"/>
    </row>
    <row r="421" spans="1:21">
      <c r="A421" s="10"/>
      <c r="B421" s="11"/>
      <c r="C421" s="12"/>
      <c r="D421" s="13"/>
      <c r="E421" s="12"/>
      <c r="F421" s="12"/>
      <c r="G421" s="12"/>
      <c r="H421" s="12"/>
      <c r="I421" s="12"/>
      <c r="J421" s="14"/>
      <c r="K421" s="12"/>
      <c r="L421" s="12" t="str">
        <f t="shared" si="1"/>
        <v/>
      </c>
      <c r="M421" s="12"/>
      <c r="N421" s="12"/>
      <c r="O421" s="12"/>
      <c r="P421" s="15"/>
      <c r="Q421" s="7"/>
      <c r="R421" s="7"/>
      <c r="S421" s="7"/>
      <c r="T421" s="8"/>
      <c r="U421" s="8"/>
    </row>
    <row r="422" spans="1:21">
      <c r="A422" s="10"/>
      <c r="B422" s="11"/>
      <c r="C422" s="12"/>
      <c r="D422" s="13"/>
      <c r="E422" s="12"/>
      <c r="F422" s="12"/>
      <c r="G422" s="12"/>
      <c r="H422" s="12"/>
      <c r="I422" s="12"/>
      <c r="J422" s="14"/>
      <c r="K422" s="12"/>
      <c r="L422" s="12" t="str">
        <f t="shared" si="1"/>
        <v/>
      </c>
      <c r="M422" s="12"/>
      <c r="N422" s="12"/>
      <c r="O422" s="12"/>
      <c r="P422" s="15"/>
      <c r="Q422" s="7"/>
      <c r="R422" s="7"/>
      <c r="S422" s="7"/>
      <c r="T422" s="8"/>
      <c r="U422" s="8"/>
    </row>
    <row r="423" spans="1:21">
      <c r="A423" s="10"/>
      <c r="B423" s="11"/>
      <c r="C423" s="12"/>
      <c r="D423" s="13"/>
      <c r="E423" s="12"/>
      <c r="F423" s="12"/>
      <c r="G423" s="12"/>
      <c r="H423" s="12"/>
      <c r="I423" s="12"/>
      <c r="J423" s="14"/>
      <c r="K423" s="12"/>
      <c r="L423" s="12" t="str">
        <f t="shared" si="1"/>
        <v/>
      </c>
      <c r="M423" s="12"/>
      <c r="N423" s="12"/>
      <c r="O423" s="12"/>
      <c r="P423" s="15"/>
      <c r="Q423" s="7"/>
      <c r="R423" s="7"/>
      <c r="S423" s="7"/>
      <c r="T423" s="8"/>
      <c r="U423" s="8"/>
    </row>
    <row r="424" spans="1:21">
      <c r="A424" s="10"/>
      <c r="B424" s="11"/>
      <c r="C424" s="12"/>
      <c r="D424" s="13"/>
      <c r="E424" s="12"/>
      <c r="F424" s="12"/>
      <c r="G424" s="12"/>
      <c r="H424" s="12"/>
      <c r="I424" s="12"/>
      <c r="J424" s="14"/>
      <c r="K424" s="12"/>
      <c r="L424" s="12" t="str">
        <f t="shared" si="1"/>
        <v/>
      </c>
      <c r="M424" s="12"/>
      <c r="N424" s="12"/>
      <c r="O424" s="12"/>
      <c r="P424" s="15"/>
      <c r="Q424" s="7"/>
      <c r="R424" s="7"/>
      <c r="S424" s="7"/>
      <c r="T424" s="8"/>
      <c r="U424" s="8"/>
    </row>
    <row r="425" spans="1:21">
      <c r="A425" s="10"/>
      <c r="B425" s="11"/>
      <c r="C425" s="12"/>
      <c r="D425" s="13"/>
      <c r="E425" s="12"/>
      <c r="F425" s="12"/>
      <c r="G425" s="12"/>
      <c r="H425" s="12"/>
      <c r="I425" s="12"/>
      <c r="J425" s="14"/>
      <c r="K425" s="12"/>
      <c r="L425" s="12" t="str">
        <f t="shared" si="1"/>
        <v/>
      </c>
      <c r="M425" s="12"/>
      <c r="N425" s="12"/>
      <c r="O425" s="12"/>
      <c r="P425" s="15"/>
      <c r="Q425" s="7"/>
      <c r="R425" s="7"/>
      <c r="S425" s="7"/>
      <c r="T425" s="8"/>
      <c r="U425" s="8"/>
    </row>
    <row r="426" spans="1:21">
      <c r="A426" s="10"/>
      <c r="B426" s="11"/>
      <c r="C426" s="12"/>
      <c r="D426" s="13"/>
      <c r="E426" s="12"/>
      <c r="F426" s="12"/>
      <c r="G426" s="12"/>
      <c r="H426" s="12"/>
      <c r="I426" s="12"/>
      <c r="J426" s="14"/>
      <c r="K426" s="12"/>
      <c r="L426" s="12" t="str">
        <f t="shared" si="1"/>
        <v/>
      </c>
      <c r="M426" s="12"/>
      <c r="N426" s="12"/>
      <c r="O426" s="12"/>
      <c r="P426" s="15"/>
      <c r="Q426" s="7"/>
      <c r="R426" s="7"/>
      <c r="S426" s="7"/>
      <c r="T426" s="8"/>
      <c r="U426" s="8"/>
    </row>
    <row r="427" spans="1:21">
      <c r="A427" s="10"/>
      <c r="B427" s="11"/>
      <c r="C427" s="12"/>
      <c r="D427" s="13"/>
      <c r="E427" s="12"/>
      <c r="F427" s="12"/>
      <c r="G427" s="12"/>
      <c r="H427" s="12"/>
      <c r="I427" s="12"/>
      <c r="J427" s="14"/>
      <c r="K427" s="12"/>
      <c r="L427" s="12" t="str">
        <f t="shared" si="1"/>
        <v/>
      </c>
      <c r="M427" s="12"/>
      <c r="N427" s="12"/>
      <c r="O427" s="12"/>
      <c r="P427" s="15"/>
      <c r="Q427" s="7"/>
      <c r="R427" s="7"/>
      <c r="S427" s="7"/>
      <c r="T427" s="8"/>
      <c r="U427" s="8"/>
    </row>
    <row r="428" spans="1:21">
      <c r="A428" s="10"/>
      <c r="B428" s="11"/>
      <c r="C428" s="12"/>
      <c r="D428" s="13"/>
      <c r="E428" s="12"/>
      <c r="F428" s="12"/>
      <c r="G428" s="12"/>
      <c r="H428" s="12"/>
      <c r="I428" s="12"/>
      <c r="J428" s="14"/>
      <c r="K428" s="12"/>
      <c r="L428" s="12" t="str">
        <f t="shared" si="1"/>
        <v/>
      </c>
      <c r="M428" s="12"/>
      <c r="N428" s="12"/>
      <c r="O428" s="12"/>
      <c r="P428" s="15"/>
      <c r="Q428" s="7"/>
      <c r="R428" s="7"/>
      <c r="S428" s="7"/>
      <c r="T428" s="8"/>
      <c r="U428" s="8"/>
    </row>
    <row r="429" spans="1:21">
      <c r="A429" s="10"/>
      <c r="B429" s="11"/>
      <c r="C429" s="12"/>
      <c r="D429" s="13"/>
      <c r="E429" s="12"/>
      <c r="F429" s="12"/>
      <c r="G429" s="12"/>
      <c r="H429" s="12"/>
      <c r="I429" s="12"/>
      <c r="J429" s="14"/>
      <c r="K429" s="12"/>
      <c r="L429" s="12" t="str">
        <f t="shared" si="1"/>
        <v/>
      </c>
      <c r="M429" s="12"/>
      <c r="N429" s="12"/>
      <c r="O429" s="12"/>
      <c r="P429" s="15"/>
      <c r="Q429" s="7"/>
      <c r="R429" s="7"/>
      <c r="S429" s="7"/>
      <c r="T429" s="8"/>
      <c r="U429" s="8"/>
    </row>
    <row r="430" spans="1:21">
      <c r="A430" s="10"/>
      <c r="B430" s="11"/>
      <c r="C430" s="12"/>
      <c r="D430" s="13"/>
      <c r="E430" s="12"/>
      <c r="F430" s="12"/>
      <c r="G430" s="12"/>
      <c r="H430" s="12"/>
      <c r="I430" s="12"/>
      <c r="J430" s="14"/>
      <c r="K430" s="12"/>
      <c r="L430" s="12" t="str">
        <f t="shared" si="1"/>
        <v/>
      </c>
      <c r="M430" s="12"/>
      <c r="N430" s="12"/>
      <c r="O430" s="12"/>
      <c r="P430" s="15"/>
      <c r="Q430" s="7"/>
      <c r="R430" s="7"/>
      <c r="S430" s="7"/>
      <c r="T430" s="8"/>
      <c r="U430" s="8"/>
    </row>
    <row r="431" spans="1:21">
      <c r="A431" s="10"/>
      <c r="B431" s="11"/>
      <c r="C431" s="12"/>
      <c r="D431" s="13"/>
      <c r="E431" s="12"/>
      <c r="F431" s="12"/>
      <c r="G431" s="12"/>
      <c r="H431" s="12"/>
      <c r="I431" s="12"/>
      <c r="J431" s="14"/>
      <c r="K431" s="12"/>
      <c r="L431" s="12" t="str">
        <f t="shared" si="1"/>
        <v/>
      </c>
      <c r="M431" s="12"/>
      <c r="N431" s="12"/>
      <c r="O431" s="12"/>
      <c r="P431" s="15"/>
      <c r="Q431" s="7"/>
      <c r="R431" s="7"/>
      <c r="S431" s="7"/>
      <c r="T431" s="8"/>
      <c r="U431" s="8"/>
    </row>
    <row r="432" spans="1:21">
      <c r="A432" s="10"/>
      <c r="B432" s="11"/>
      <c r="C432" s="12"/>
      <c r="D432" s="13"/>
      <c r="E432" s="12"/>
      <c r="F432" s="12"/>
      <c r="G432" s="12"/>
      <c r="H432" s="12"/>
      <c r="I432" s="12"/>
      <c r="J432" s="14"/>
      <c r="K432" s="12"/>
      <c r="L432" s="12" t="str">
        <f t="shared" si="1"/>
        <v/>
      </c>
      <c r="M432" s="12"/>
      <c r="N432" s="12"/>
      <c r="O432" s="12"/>
      <c r="P432" s="15"/>
      <c r="Q432" s="7"/>
      <c r="R432" s="7"/>
      <c r="S432" s="7"/>
      <c r="T432" s="8"/>
      <c r="U432" s="8"/>
    </row>
    <row r="433" spans="1:21">
      <c r="A433" s="10"/>
      <c r="B433" s="11"/>
      <c r="C433" s="12"/>
      <c r="D433" s="13"/>
      <c r="E433" s="12"/>
      <c r="F433" s="12"/>
      <c r="G433" s="12"/>
      <c r="H433" s="12"/>
      <c r="I433" s="12"/>
      <c r="J433" s="14"/>
      <c r="K433" s="12"/>
      <c r="L433" s="12" t="str">
        <f t="shared" si="1"/>
        <v/>
      </c>
      <c r="M433" s="12"/>
      <c r="N433" s="12"/>
      <c r="O433" s="12"/>
      <c r="P433" s="15"/>
      <c r="Q433" s="7"/>
      <c r="R433" s="7"/>
      <c r="S433" s="7"/>
      <c r="T433" s="8"/>
      <c r="U433" s="8"/>
    </row>
    <row r="434" spans="1:21">
      <c r="A434" s="10"/>
      <c r="B434" s="11"/>
      <c r="C434" s="12"/>
      <c r="D434" s="13"/>
      <c r="E434" s="12"/>
      <c r="F434" s="12"/>
      <c r="G434" s="12"/>
      <c r="H434" s="12"/>
      <c r="I434" s="12"/>
      <c r="J434" s="14"/>
      <c r="K434" s="12"/>
      <c r="L434" s="12" t="str">
        <f t="shared" si="1"/>
        <v/>
      </c>
      <c r="M434" s="12"/>
      <c r="N434" s="12"/>
      <c r="O434" s="12"/>
      <c r="P434" s="15"/>
      <c r="Q434" s="7"/>
      <c r="R434" s="7"/>
      <c r="S434" s="7"/>
      <c r="T434" s="8"/>
      <c r="U434" s="8"/>
    </row>
    <row r="435" spans="1:21">
      <c r="A435" s="10"/>
      <c r="B435" s="11"/>
      <c r="C435" s="12"/>
      <c r="D435" s="13"/>
      <c r="E435" s="12"/>
      <c r="F435" s="12"/>
      <c r="G435" s="12"/>
      <c r="H435" s="12"/>
      <c r="I435" s="12"/>
      <c r="J435" s="14"/>
      <c r="K435" s="12"/>
      <c r="L435" s="12" t="str">
        <f t="shared" si="1"/>
        <v/>
      </c>
      <c r="M435" s="12"/>
      <c r="N435" s="12"/>
      <c r="O435" s="12"/>
      <c r="P435" s="15"/>
      <c r="Q435" s="7"/>
      <c r="R435" s="7"/>
      <c r="S435" s="7"/>
      <c r="T435" s="8"/>
      <c r="U435" s="8"/>
    </row>
    <row r="436" spans="1:21">
      <c r="A436" s="10"/>
      <c r="B436" s="11"/>
      <c r="C436" s="12"/>
      <c r="D436" s="13"/>
      <c r="E436" s="12"/>
      <c r="F436" s="12"/>
      <c r="G436" s="12"/>
      <c r="H436" s="12"/>
      <c r="I436" s="12"/>
      <c r="J436" s="14"/>
      <c r="K436" s="12"/>
      <c r="L436" s="12" t="str">
        <f t="shared" si="1"/>
        <v/>
      </c>
      <c r="M436" s="12"/>
      <c r="N436" s="12"/>
      <c r="O436" s="12"/>
      <c r="P436" s="15"/>
      <c r="Q436" s="7"/>
      <c r="R436" s="7"/>
      <c r="S436" s="7"/>
      <c r="T436" s="8"/>
      <c r="U436" s="8"/>
    </row>
    <row r="437" spans="1:21">
      <c r="A437" s="10"/>
      <c r="B437" s="11"/>
      <c r="C437" s="12"/>
      <c r="D437" s="13"/>
      <c r="E437" s="12"/>
      <c r="F437" s="12"/>
      <c r="G437" s="12"/>
      <c r="H437" s="12"/>
      <c r="I437" s="12"/>
      <c r="J437" s="14"/>
      <c r="K437" s="12"/>
      <c r="L437" s="12" t="str">
        <f t="shared" si="1"/>
        <v/>
      </c>
      <c r="M437" s="12"/>
      <c r="N437" s="12"/>
      <c r="O437" s="12"/>
      <c r="P437" s="15"/>
      <c r="Q437" s="7"/>
      <c r="R437" s="7"/>
      <c r="S437" s="7"/>
      <c r="T437" s="8"/>
      <c r="U437" s="8"/>
    </row>
    <row r="438" spans="1:21">
      <c r="A438" s="10"/>
      <c r="B438" s="11"/>
      <c r="C438" s="12"/>
      <c r="D438" s="13"/>
      <c r="E438" s="12"/>
      <c r="F438" s="12"/>
      <c r="G438" s="12"/>
      <c r="H438" s="12"/>
      <c r="I438" s="12"/>
      <c r="J438" s="14"/>
      <c r="K438" s="12"/>
      <c r="L438" s="12" t="str">
        <f t="shared" si="1"/>
        <v/>
      </c>
      <c r="M438" s="12"/>
      <c r="N438" s="12"/>
      <c r="O438" s="12"/>
      <c r="P438" s="15"/>
      <c r="Q438" s="7"/>
      <c r="R438" s="7"/>
      <c r="S438" s="7"/>
      <c r="T438" s="8"/>
      <c r="U438" s="8"/>
    </row>
    <row r="439" spans="1:21">
      <c r="A439" s="10"/>
      <c r="B439" s="11"/>
      <c r="C439" s="12"/>
      <c r="D439" s="13"/>
      <c r="E439" s="12"/>
      <c r="F439" s="12"/>
      <c r="G439" s="12"/>
      <c r="H439" s="12"/>
      <c r="I439" s="12"/>
      <c r="J439" s="14"/>
      <c r="K439" s="12"/>
      <c r="L439" s="12" t="str">
        <f t="shared" si="1"/>
        <v/>
      </c>
      <c r="M439" s="12"/>
      <c r="N439" s="12"/>
      <c r="O439" s="12"/>
      <c r="P439" s="15"/>
      <c r="Q439" s="7"/>
      <c r="R439" s="7"/>
      <c r="S439" s="7"/>
      <c r="T439" s="8"/>
      <c r="U439" s="8"/>
    </row>
    <row r="440" spans="1:21">
      <c r="A440" s="10"/>
      <c r="B440" s="11"/>
      <c r="C440" s="12"/>
      <c r="D440" s="13"/>
      <c r="E440" s="12"/>
      <c r="F440" s="12"/>
      <c r="G440" s="12"/>
      <c r="H440" s="12"/>
      <c r="I440" s="12"/>
      <c r="J440" s="14"/>
      <c r="K440" s="12"/>
      <c r="L440" s="12" t="str">
        <f t="shared" si="1"/>
        <v/>
      </c>
      <c r="M440" s="12"/>
      <c r="N440" s="12"/>
      <c r="O440" s="12"/>
      <c r="P440" s="15"/>
      <c r="Q440" s="7"/>
      <c r="R440" s="7"/>
      <c r="S440" s="7"/>
      <c r="T440" s="8"/>
      <c r="U440" s="8"/>
    </row>
    <row r="441" spans="1:21">
      <c r="A441" s="10"/>
      <c r="B441" s="11"/>
      <c r="C441" s="12"/>
      <c r="D441" s="13"/>
      <c r="E441" s="12"/>
      <c r="F441" s="12"/>
      <c r="G441" s="12"/>
      <c r="H441" s="12"/>
      <c r="I441" s="12"/>
      <c r="J441" s="14"/>
      <c r="K441" s="12"/>
      <c r="L441" s="12" t="str">
        <f t="shared" si="1"/>
        <v/>
      </c>
      <c r="M441" s="12"/>
      <c r="N441" s="12"/>
      <c r="O441" s="12"/>
      <c r="P441" s="15"/>
      <c r="Q441" s="7"/>
      <c r="R441" s="7"/>
      <c r="S441" s="7"/>
      <c r="T441" s="8"/>
      <c r="U441" s="8"/>
    </row>
    <row r="442" spans="1:21">
      <c r="A442" s="10"/>
      <c r="B442" s="11"/>
      <c r="C442" s="12"/>
      <c r="D442" s="13"/>
      <c r="E442" s="12"/>
      <c r="F442" s="12"/>
      <c r="G442" s="12"/>
      <c r="H442" s="12"/>
      <c r="I442" s="12"/>
      <c r="J442" s="14"/>
      <c r="K442" s="12"/>
      <c r="L442" s="12" t="str">
        <f t="shared" si="1"/>
        <v/>
      </c>
      <c r="M442" s="12"/>
      <c r="N442" s="12"/>
      <c r="O442" s="12"/>
      <c r="P442" s="15"/>
      <c r="Q442" s="7"/>
      <c r="R442" s="7"/>
      <c r="S442" s="7"/>
      <c r="T442" s="8"/>
      <c r="U442" s="8"/>
    </row>
    <row r="443" spans="1:21">
      <c r="A443" s="10"/>
      <c r="B443" s="11"/>
      <c r="C443" s="12"/>
      <c r="D443" s="13"/>
      <c r="E443" s="12"/>
      <c r="F443" s="12"/>
      <c r="G443" s="12"/>
      <c r="H443" s="12"/>
      <c r="I443" s="12"/>
      <c r="J443" s="14"/>
      <c r="K443" s="12"/>
      <c r="L443" s="12" t="str">
        <f t="shared" si="1"/>
        <v/>
      </c>
      <c r="M443" s="12"/>
      <c r="N443" s="12"/>
      <c r="O443" s="12"/>
      <c r="P443" s="15"/>
      <c r="Q443" s="7"/>
      <c r="R443" s="7"/>
      <c r="S443" s="7"/>
      <c r="T443" s="8"/>
      <c r="U443" s="8"/>
    </row>
    <row r="444" spans="1:21">
      <c r="A444" s="10"/>
      <c r="B444" s="11"/>
      <c r="C444" s="12"/>
      <c r="D444" s="13"/>
      <c r="E444" s="12"/>
      <c r="F444" s="12"/>
      <c r="G444" s="12"/>
      <c r="H444" s="12"/>
      <c r="I444" s="12"/>
      <c r="J444" s="14"/>
      <c r="K444" s="12"/>
      <c r="L444" s="12" t="str">
        <f t="shared" si="1"/>
        <v/>
      </c>
      <c r="M444" s="12"/>
      <c r="N444" s="12"/>
      <c r="O444" s="12"/>
      <c r="P444" s="15"/>
      <c r="Q444" s="7"/>
      <c r="R444" s="7"/>
      <c r="S444" s="7"/>
      <c r="T444" s="8"/>
      <c r="U444" s="8"/>
    </row>
    <row r="445" spans="1:21">
      <c r="A445" s="10"/>
      <c r="B445" s="11"/>
      <c r="C445" s="12"/>
      <c r="D445" s="13"/>
      <c r="E445" s="12"/>
      <c r="F445" s="12"/>
      <c r="G445" s="12"/>
      <c r="H445" s="12"/>
      <c r="I445" s="12"/>
      <c r="J445" s="14"/>
      <c r="K445" s="12"/>
      <c r="L445" s="12" t="str">
        <f t="shared" si="1"/>
        <v/>
      </c>
      <c r="M445" s="12"/>
      <c r="N445" s="12"/>
      <c r="O445" s="12"/>
      <c r="P445" s="15"/>
      <c r="Q445" s="7"/>
      <c r="R445" s="7"/>
      <c r="S445" s="7"/>
      <c r="T445" s="8"/>
      <c r="U445" s="8"/>
    </row>
    <row r="446" spans="1:21">
      <c r="A446" s="10"/>
      <c r="B446" s="11"/>
      <c r="C446" s="12"/>
      <c r="D446" s="13"/>
      <c r="E446" s="12"/>
      <c r="F446" s="12"/>
      <c r="G446" s="12"/>
      <c r="H446" s="12"/>
      <c r="I446" s="12"/>
      <c r="J446" s="14"/>
      <c r="K446" s="12"/>
      <c r="L446" s="12" t="str">
        <f t="shared" si="1"/>
        <v/>
      </c>
      <c r="M446" s="12"/>
      <c r="N446" s="12"/>
      <c r="O446" s="12"/>
      <c r="P446" s="15"/>
      <c r="Q446" s="7"/>
      <c r="R446" s="7"/>
      <c r="S446" s="7"/>
      <c r="T446" s="8"/>
      <c r="U446" s="8"/>
    </row>
    <row r="447" spans="1:21">
      <c r="A447" s="10"/>
      <c r="B447" s="11"/>
      <c r="C447" s="12"/>
      <c r="D447" s="13"/>
      <c r="E447" s="12"/>
      <c r="F447" s="12"/>
      <c r="G447" s="12"/>
      <c r="H447" s="12"/>
      <c r="I447" s="12"/>
      <c r="J447" s="14"/>
      <c r="K447" s="12"/>
      <c r="L447" s="12" t="str">
        <f t="shared" si="1"/>
        <v/>
      </c>
      <c r="M447" s="12"/>
      <c r="N447" s="12"/>
      <c r="O447" s="12"/>
      <c r="P447" s="15"/>
      <c r="Q447" s="7"/>
      <c r="R447" s="7"/>
      <c r="S447" s="7"/>
      <c r="T447" s="8"/>
      <c r="U447" s="8"/>
    </row>
    <row r="448" spans="1:21">
      <c r="A448" s="10"/>
      <c r="B448" s="11"/>
      <c r="C448" s="12"/>
      <c r="D448" s="13"/>
      <c r="E448" s="12"/>
      <c r="F448" s="12"/>
      <c r="G448" s="12"/>
      <c r="H448" s="12"/>
      <c r="I448" s="12"/>
      <c r="J448" s="14"/>
      <c r="K448" s="12"/>
      <c r="L448" s="12" t="str">
        <f t="shared" si="1"/>
        <v/>
      </c>
      <c r="M448" s="12"/>
      <c r="N448" s="12"/>
      <c r="O448" s="12"/>
      <c r="P448" s="15"/>
      <c r="Q448" s="7"/>
      <c r="R448" s="7"/>
      <c r="S448" s="7"/>
      <c r="T448" s="8"/>
      <c r="U448" s="8"/>
    </row>
    <row r="449" spans="1:21">
      <c r="A449" s="10"/>
      <c r="B449" s="11"/>
      <c r="C449" s="12"/>
      <c r="D449" s="13"/>
      <c r="E449" s="12"/>
      <c r="F449" s="12"/>
      <c r="G449" s="12"/>
      <c r="H449" s="12"/>
      <c r="I449" s="12"/>
      <c r="J449" s="14"/>
      <c r="K449" s="12"/>
      <c r="L449" s="12" t="str">
        <f t="shared" si="1"/>
        <v/>
      </c>
      <c r="M449" s="12"/>
      <c r="N449" s="12"/>
      <c r="O449" s="12"/>
      <c r="P449" s="15"/>
      <c r="Q449" s="7"/>
      <c r="R449" s="7"/>
      <c r="S449" s="7"/>
      <c r="T449" s="8"/>
      <c r="U449" s="8"/>
    </row>
    <row r="450" spans="1:21">
      <c r="A450" s="10"/>
      <c r="B450" s="11"/>
      <c r="C450" s="12"/>
      <c r="D450" s="13"/>
      <c r="E450" s="12"/>
      <c r="F450" s="12"/>
      <c r="G450" s="12"/>
      <c r="H450" s="12"/>
      <c r="I450" s="12"/>
      <c r="J450" s="14"/>
      <c r="K450" s="12"/>
      <c r="L450" s="12" t="str">
        <f t="shared" si="1"/>
        <v/>
      </c>
      <c r="M450" s="12"/>
      <c r="N450" s="12"/>
      <c r="O450" s="12"/>
      <c r="P450" s="15"/>
      <c r="Q450" s="7"/>
      <c r="R450" s="7"/>
      <c r="S450" s="7"/>
      <c r="T450" s="8"/>
      <c r="U450" s="8"/>
    </row>
    <row r="451" spans="1:21">
      <c r="A451" s="10"/>
      <c r="B451" s="11"/>
      <c r="C451" s="12"/>
      <c r="D451" s="13"/>
      <c r="E451" s="12"/>
      <c r="F451" s="12"/>
      <c r="G451" s="12"/>
      <c r="H451" s="12"/>
      <c r="I451" s="12"/>
      <c r="J451" s="14"/>
      <c r="K451" s="12"/>
      <c r="L451" s="12" t="str">
        <f t="shared" si="1"/>
        <v/>
      </c>
      <c r="M451" s="12"/>
      <c r="N451" s="12"/>
      <c r="O451" s="12"/>
      <c r="P451" s="15"/>
      <c r="Q451" s="7"/>
      <c r="R451" s="7"/>
      <c r="S451" s="7"/>
      <c r="T451" s="8"/>
      <c r="U451" s="8"/>
    </row>
    <row r="452" spans="1:21">
      <c r="A452" s="10"/>
      <c r="B452" s="11"/>
      <c r="C452" s="12"/>
      <c r="D452" s="13"/>
      <c r="E452" s="12"/>
      <c r="F452" s="12"/>
      <c r="G452" s="12"/>
      <c r="H452" s="12"/>
      <c r="I452" s="12"/>
      <c r="J452" s="14"/>
      <c r="K452" s="12"/>
      <c r="L452" s="12" t="str">
        <f t="shared" si="1"/>
        <v/>
      </c>
      <c r="M452" s="12"/>
      <c r="N452" s="12"/>
      <c r="O452" s="12"/>
      <c r="P452" s="15"/>
      <c r="Q452" s="7"/>
      <c r="R452" s="7"/>
      <c r="S452" s="7"/>
      <c r="T452" s="8"/>
      <c r="U452" s="8"/>
    </row>
    <row r="453" spans="1:21">
      <c r="A453" s="10"/>
      <c r="B453" s="11"/>
      <c r="C453" s="12"/>
      <c r="D453" s="13"/>
      <c r="E453" s="12"/>
      <c r="F453" s="12"/>
      <c r="G453" s="12"/>
      <c r="H453" s="12"/>
      <c r="I453" s="12"/>
      <c r="J453" s="14"/>
      <c r="K453" s="12"/>
      <c r="L453" s="12" t="str">
        <f t="shared" si="1"/>
        <v/>
      </c>
      <c r="M453" s="12"/>
      <c r="N453" s="12"/>
      <c r="O453" s="12"/>
      <c r="P453" s="15"/>
      <c r="Q453" s="7"/>
      <c r="R453" s="7"/>
      <c r="S453" s="7"/>
      <c r="T453" s="8"/>
      <c r="U453" s="8"/>
    </row>
    <row r="454" spans="1:21">
      <c r="A454" s="10"/>
      <c r="B454" s="11"/>
      <c r="C454" s="12"/>
      <c r="D454" s="13"/>
      <c r="E454" s="12"/>
      <c r="F454" s="12"/>
      <c r="G454" s="12"/>
      <c r="H454" s="12"/>
      <c r="I454" s="12"/>
      <c r="J454" s="14"/>
      <c r="K454" s="12"/>
      <c r="L454" s="12" t="str">
        <f t="shared" si="1"/>
        <v/>
      </c>
      <c r="M454" s="12"/>
      <c r="N454" s="12"/>
      <c r="O454" s="12"/>
      <c r="P454" s="15"/>
      <c r="Q454" s="7"/>
      <c r="R454" s="7"/>
      <c r="S454" s="7"/>
      <c r="T454" s="8"/>
      <c r="U454" s="8"/>
    </row>
    <row r="455" spans="1:21">
      <c r="A455" s="10"/>
      <c r="B455" s="11"/>
      <c r="C455" s="12"/>
      <c r="D455" s="13"/>
      <c r="E455" s="12"/>
      <c r="F455" s="12"/>
      <c r="G455" s="12"/>
      <c r="H455" s="12"/>
      <c r="I455" s="12"/>
      <c r="J455" s="14"/>
      <c r="K455" s="12"/>
      <c r="L455" s="12" t="str">
        <f t="shared" si="1"/>
        <v/>
      </c>
      <c r="M455" s="12"/>
      <c r="N455" s="12"/>
      <c r="O455" s="12"/>
      <c r="P455" s="15"/>
      <c r="Q455" s="7"/>
      <c r="R455" s="7"/>
      <c r="S455" s="7"/>
      <c r="T455" s="8"/>
      <c r="U455" s="8"/>
    </row>
    <row r="456" spans="1:21">
      <c r="A456" s="10"/>
      <c r="B456" s="11"/>
      <c r="C456" s="12"/>
      <c r="D456" s="13"/>
      <c r="E456" s="12"/>
      <c r="F456" s="12"/>
      <c r="G456" s="12"/>
      <c r="H456" s="12"/>
      <c r="I456" s="12"/>
      <c r="J456" s="14"/>
      <c r="K456" s="12"/>
      <c r="L456" s="12" t="str">
        <f t="shared" si="1"/>
        <v/>
      </c>
      <c r="M456" s="12"/>
      <c r="N456" s="12"/>
      <c r="O456" s="12"/>
      <c r="P456" s="15"/>
      <c r="Q456" s="7"/>
      <c r="R456" s="7"/>
      <c r="S456" s="7"/>
      <c r="T456" s="8"/>
      <c r="U456" s="8"/>
    </row>
    <row r="457" spans="1:21">
      <c r="A457" s="10"/>
      <c r="B457" s="11"/>
      <c r="C457" s="12"/>
      <c r="D457" s="13"/>
      <c r="E457" s="12"/>
      <c r="F457" s="12"/>
      <c r="G457" s="12"/>
      <c r="H457" s="12"/>
      <c r="I457" s="12"/>
      <c r="J457" s="14"/>
      <c r="K457" s="12"/>
      <c r="L457" s="12" t="str">
        <f t="shared" si="1"/>
        <v/>
      </c>
      <c r="M457" s="12"/>
      <c r="N457" s="12"/>
      <c r="O457" s="12"/>
      <c r="P457" s="15"/>
      <c r="Q457" s="7"/>
      <c r="R457" s="7"/>
      <c r="S457" s="7"/>
      <c r="T457" s="8"/>
      <c r="U457" s="8"/>
    </row>
    <row r="458" spans="1:21">
      <c r="A458" s="10"/>
      <c r="B458" s="11"/>
      <c r="C458" s="12"/>
      <c r="D458" s="13"/>
      <c r="E458" s="12"/>
      <c r="F458" s="12"/>
      <c r="G458" s="12"/>
      <c r="H458" s="12"/>
      <c r="I458" s="12"/>
      <c r="J458" s="14"/>
      <c r="K458" s="12"/>
      <c r="L458" s="12" t="str">
        <f t="shared" si="1"/>
        <v/>
      </c>
      <c r="M458" s="12"/>
      <c r="N458" s="12"/>
      <c r="O458" s="12"/>
      <c r="P458" s="15"/>
      <c r="Q458" s="7"/>
      <c r="R458" s="7"/>
      <c r="S458" s="7"/>
      <c r="T458" s="8"/>
      <c r="U458" s="8"/>
    </row>
    <row r="459" spans="1:21">
      <c r="A459" s="10"/>
      <c r="B459" s="11"/>
      <c r="C459" s="12"/>
      <c r="D459" s="13"/>
      <c r="E459" s="12"/>
      <c r="F459" s="12"/>
      <c r="G459" s="12"/>
      <c r="H459" s="12"/>
      <c r="I459" s="12"/>
      <c r="J459" s="14"/>
      <c r="K459" s="12"/>
      <c r="L459" s="12" t="str">
        <f t="shared" si="1"/>
        <v/>
      </c>
      <c r="M459" s="12"/>
      <c r="N459" s="12"/>
      <c r="O459" s="12"/>
      <c r="P459" s="15"/>
      <c r="Q459" s="7"/>
      <c r="R459" s="7"/>
      <c r="S459" s="7"/>
      <c r="T459" s="8"/>
      <c r="U459" s="8"/>
    </row>
    <row r="460" spans="1:21">
      <c r="A460" s="10"/>
      <c r="B460" s="11"/>
      <c r="C460" s="12"/>
      <c r="D460" s="13"/>
      <c r="E460" s="12"/>
      <c r="F460" s="12"/>
      <c r="G460" s="12"/>
      <c r="H460" s="12"/>
      <c r="I460" s="12"/>
      <c r="J460" s="14"/>
      <c r="K460" s="12"/>
      <c r="L460" s="12" t="str">
        <f t="shared" si="1"/>
        <v/>
      </c>
      <c r="M460" s="12"/>
      <c r="N460" s="12"/>
      <c r="O460" s="12"/>
      <c r="P460" s="15"/>
      <c r="Q460" s="7"/>
      <c r="R460" s="7"/>
      <c r="S460" s="7"/>
      <c r="T460" s="8"/>
      <c r="U460" s="8"/>
    </row>
    <row r="461" spans="1:21">
      <c r="A461" s="10"/>
      <c r="B461" s="11"/>
      <c r="C461" s="12"/>
      <c r="D461" s="13"/>
      <c r="E461" s="12"/>
      <c r="F461" s="12"/>
      <c r="G461" s="12"/>
      <c r="H461" s="12"/>
      <c r="I461" s="12"/>
      <c r="J461" s="14"/>
      <c r="K461" s="12"/>
      <c r="L461" s="12" t="str">
        <f t="shared" si="1"/>
        <v/>
      </c>
      <c r="M461" s="12"/>
      <c r="N461" s="12"/>
      <c r="O461" s="12"/>
      <c r="P461" s="15"/>
      <c r="Q461" s="7"/>
      <c r="R461" s="7"/>
      <c r="S461" s="7"/>
      <c r="T461" s="8"/>
      <c r="U461" s="8"/>
    </row>
    <row r="462" spans="1:21">
      <c r="A462" s="10"/>
      <c r="B462" s="11"/>
      <c r="C462" s="12"/>
      <c r="D462" s="13"/>
      <c r="E462" s="12"/>
      <c r="F462" s="12"/>
      <c r="G462" s="12"/>
      <c r="H462" s="12"/>
      <c r="I462" s="12"/>
      <c r="J462" s="14"/>
      <c r="K462" s="12"/>
      <c r="L462" s="12" t="str">
        <f t="shared" si="1"/>
        <v/>
      </c>
      <c r="M462" s="12"/>
      <c r="N462" s="12"/>
      <c r="O462" s="12"/>
      <c r="P462" s="15"/>
      <c r="Q462" s="7"/>
      <c r="R462" s="7"/>
      <c r="S462" s="7"/>
      <c r="T462" s="8"/>
      <c r="U462" s="8"/>
    </row>
    <row r="463" spans="1:21">
      <c r="A463" s="10"/>
      <c r="B463" s="11"/>
      <c r="C463" s="12"/>
      <c r="D463" s="13"/>
      <c r="E463" s="12"/>
      <c r="F463" s="12"/>
      <c r="G463" s="12"/>
      <c r="H463" s="12"/>
      <c r="I463" s="12"/>
      <c r="J463" s="14"/>
      <c r="K463" s="12"/>
      <c r="L463" s="12" t="str">
        <f t="shared" si="1"/>
        <v/>
      </c>
      <c r="M463" s="12"/>
      <c r="N463" s="12"/>
      <c r="O463" s="12"/>
      <c r="P463" s="15"/>
      <c r="Q463" s="7"/>
      <c r="R463" s="7"/>
      <c r="S463" s="7"/>
      <c r="T463" s="8"/>
      <c r="U463" s="8"/>
    </row>
    <row r="464" spans="1:21">
      <c r="A464" s="10"/>
      <c r="B464" s="11"/>
      <c r="C464" s="12"/>
      <c r="D464" s="13"/>
      <c r="E464" s="12"/>
      <c r="F464" s="12"/>
      <c r="G464" s="12"/>
      <c r="H464" s="12"/>
      <c r="I464" s="12"/>
      <c r="J464" s="14"/>
      <c r="K464" s="12"/>
      <c r="L464" s="12" t="str">
        <f t="shared" si="1"/>
        <v/>
      </c>
      <c r="M464" s="12"/>
      <c r="N464" s="12"/>
      <c r="O464" s="12"/>
      <c r="P464" s="15"/>
      <c r="Q464" s="7"/>
      <c r="R464" s="7"/>
      <c r="S464" s="7"/>
      <c r="T464" s="8"/>
      <c r="U464" s="8"/>
    </row>
    <row r="465" spans="1:21">
      <c r="A465" s="10"/>
      <c r="B465" s="11"/>
      <c r="C465" s="12"/>
      <c r="D465" s="13"/>
      <c r="E465" s="12"/>
      <c r="F465" s="12"/>
      <c r="G465" s="12"/>
      <c r="H465" s="12"/>
      <c r="I465" s="12"/>
      <c r="J465" s="14"/>
      <c r="K465" s="12"/>
      <c r="L465" s="12" t="str">
        <f t="shared" si="1"/>
        <v/>
      </c>
      <c r="M465" s="12"/>
      <c r="N465" s="12"/>
      <c r="O465" s="12"/>
      <c r="P465" s="15"/>
      <c r="Q465" s="7"/>
      <c r="R465" s="7"/>
      <c r="S465" s="7"/>
      <c r="T465" s="8"/>
      <c r="U465" s="8"/>
    </row>
    <row r="466" spans="1:21">
      <c r="A466" s="10"/>
      <c r="B466" s="11"/>
      <c r="C466" s="12"/>
      <c r="D466" s="13"/>
      <c r="E466" s="12"/>
      <c r="F466" s="12"/>
      <c r="G466" s="12"/>
      <c r="H466" s="12"/>
      <c r="I466" s="12"/>
      <c r="J466" s="14"/>
      <c r="K466" s="12"/>
      <c r="L466" s="12" t="str">
        <f t="shared" si="1"/>
        <v/>
      </c>
      <c r="M466" s="12"/>
      <c r="N466" s="12"/>
      <c r="O466" s="12"/>
      <c r="P466" s="15"/>
      <c r="Q466" s="7"/>
      <c r="R466" s="7"/>
      <c r="S466" s="7"/>
      <c r="T466" s="8"/>
      <c r="U466" s="8"/>
    </row>
    <row r="467" spans="1:21">
      <c r="A467" s="10"/>
      <c r="B467" s="11"/>
      <c r="C467" s="12"/>
      <c r="D467" s="13"/>
      <c r="E467" s="12"/>
      <c r="F467" s="12"/>
      <c r="G467" s="12"/>
      <c r="H467" s="12"/>
      <c r="I467" s="12"/>
      <c r="J467" s="14"/>
      <c r="K467" s="12"/>
      <c r="L467" s="12" t="str">
        <f t="shared" si="1"/>
        <v/>
      </c>
      <c r="M467" s="12"/>
      <c r="N467" s="12"/>
      <c r="O467" s="12"/>
      <c r="P467" s="15"/>
      <c r="Q467" s="7"/>
      <c r="R467" s="7"/>
      <c r="S467" s="7"/>
      <c r="T467" s="8"/>
      <c r="U467" s="8"/>
    </row>
    <row r="468" spans="1:21">
      <c r="A468" s="10"/>
      <c r="B468" s="11"/>
      <c r="C468" s="12"/>
      <c r="D468" s="13"/>
      <c r="E468" s="12"/>
      <c r="F468" s="12"/>
      <c r="G468" s="12"/>
      <c r="H468" s="12"/>
      <c r="I468" s="12"/>
      <c r="J468" s="14"/>
      <c r="K468" s="12"/>
      <c r="L468" s="12" t="str">
        <f t="shared" si="1"/>
        <v/>
      </c>
      <c r="M468" s="12"/>
      <c r="N468" s="12"/>
      <c r="O468" s="12"/>
      <c r="P468" s="15"/>
      <c r="Q468" s="7"/>
      <c r="R468" s="7"/>
      <c r="S468" s="7"/>
      <c r="T468" s="8"/>
      <c r="U468" s="8"/>
    </row>
    <row r="469" spans="1:21">
      <c r="A469" s="10"/>
      <c r="B469" s="11"/>
      <c r="C469" s="12"/>
      <c r="D469" s="13"/>
      <c r="E469" s="12"/>
      <c r="F469" s="12"/>
      <c r="G469" s="12"/>
      <c r="H469" s="12"/>
      <c r="I469" s="12"/>
      <c r="J469" s="14"/>
      <c r="K469" s="12"/>
      <c r="L469" s="12" t="str">
        <f t="shared" si="1"/>
        <v/>
      </c>
      <c r="M469" s="12"/>
      <c r="N469" s="12"/>
      <c r="O469" s="12"/>
      <c r="P469" s="15"/>
      <c r="Q469" s="7"/>
      <c r="R469" s="7"/>
      <c r="S469" s="7"/>
      <c r="T469" s="8"/>
      <c r="U469" s="8"/>
    </row>
    <row r="470" spans="1:21">
      <c r="A470" s="10"/>
      <c r="B470" s="11"/>
      <c r="C470" s="12"/>
      <c r="D470" s="13"/>
      <c r="E470" s="12"/>
      <c r="F470" s="12"/>
      <c r="G470" s="12"/>
      <c r="H470" s="12"/>
      <c r="I470" s="12"/>
      <c r="J470" s="14"/>
      <c r="K470" s="12"/>
      <c r="L470" s="12" t="str">
        <f t="shared" si="1"/>
        <v/>
      </c>
      <c r="M470" s="12"/>
      <c r="N470" s="12"/>
      <c r="O470" s="12"/>
      <c r="P470" s="15"/>
      <c r="Q470" s="7"/>
      <c r="R470" s="7"/>
      <c r="S470" s="7"/>
      <c r="T470" s="8"/>
      <c r="U470" s="8"/>
    </row>
    <row r="471" spans="1:21">
      <c r="A471" s="10"/>
      <c r="B471" s="11"/>
      <c r="C471" s="12"/>
      <c r="D471" s="13"/>
      <c r="E471" s="12"/>
      <c r="F471" s="12"/>
      <c r="G471" s="12"/>
      <c r="H471" s="12"/>
      <c r="I471" s="12"/>
      <c r="J471" s="14"/>
      <c r="K471" s="12"/>
      <c r="L471" s="12" t="str">
        <f t="shared" si="1"/>
        <v/>
      </c>
      <c r="M471" s="12"/>
      <c r="N471" s="12"/>
      <c r="O471" s="12"/>
      <c r="P471" s="15"/>
      <c r="Q471" s="7"/>
      <c r="R471" s="7"/>
      <c r="S471" s="7"/>
      <c r="T471" s="8"/>
      <c r="U471" s="8"/>
    </row>
    <row r="472" spans="1:21">
      <c r="A472" s="10"/>
      <c r="B472" s="11"/>
      <c r="C472" s="12"/>
      <c r="D472" s="13"/>
      <c r="E472" s="12"/>
      <c r="F472" s="12"/>
      <c r="G472" s="12"/>
      <c r="H472" s="12"/>
      <c r="I472" s="12"/>
      <c r="J472" s="14"/>
      <c r="K472" s="12"/>
      <c r="L472" s="12" t="str">
        <f t="shared" si="1"/>
        <v/>
      </c>
      <c r="M472" s="12"/>
      <c r="N472" s="12"/>
      <c r="O472" s="12"/>
      <c r="P472" s="15"/>
      <c r="Q472" s="7"/>
      <c r="R472" s="7"/>
      <c r="S472" s="7"/>
      <c r="T472" s="8"/>
      <c r="U472" s="8"/>
    </row>
    <row r="473" spans="1:21">
      <c r="A473" s="10"/>
      <c r="B473" s="11"/>
      <c r="C473" s="12"/>
      <c r="D473" s="13"/>
      <c r="E473" s="12"/>
      <c r="F473" s="12"/>
      <c r="G473" s="12"/>
      <c r="H473" s="12"/>
      <c r="I473" s="12"/>
      <c r="J473" s="14"/>
      <c r="K473" s="12"/>
      <c r="L473" s="12" t="str">
        <f t="shared" si="1"/>
        <v/>
      </c>
      <c r="M473" s="12"/>
      <c r="N473" s="12"/>
      <c r="O473" s="12"/>
      <c r="P473" s="15"/>
      <c r="Q473" s="7"/>
      <c r="R473" s="7"/>
      <c r="S473" s="7"/>
      <c r="T473" s="8"/>
      <c r="U473" s="8"/>
    </row>
    <row r="474" spans="1:21">
      <c r="A474" s="10"/>
      <c r="B474" s="11"/>
      <c r="C474" s="12"/>
      <c r="D474" s="13"/>
      <c r="E474" s="12"/>
      <c r="F474" s="12"/>
      <c r="G474" s="12"/>
      <c r="H474" s="12"/>
      <c r="I474" s="12"/>
      <c r="J474" s="14"/>
      <c r="K474" s="12"/>
      <c r="L474" s="12" t="str">
        <f t="shared" si="1"/>
        <v/>
      </c>
      <c r="M474" s="12"/>
      <c r="N474" s="12"/>
      <c r="O474" s="12"/>
      <c r="P474" s="15"/>
      <c r="Q474" s="7"/>
      <c r="R474" s="7"/>
      <c r="S474" s="7"/>
      <c r="T474" s="8"/>
      <c r="U474" s="8"/>
    </row>
    <row r="475" spans="1:21">
      <c r="A475" s="10"/>
      <c r="B475" s="11"/>
      <c r="C475" s="12"/>
      <c r="D475" s="13"/>
      <c r="E475" s="12"/>
      <c r="F475" s="12"/>
      <c r="G475" s="12"/>
      <c r="H475" s="12"/>
      <c r="I475" s="12"/>
      <c r="J475" s="14"/>
      <c r="K475" s="12"/>
      <c r="L475" s="12" t="str">
        <f t="shared" si="1"/>
        <v/>
      </c>
      <c r="M475" s="12"/>
      <c r="N475" s="12"/>
      <c r="O475" s="12"/>
      <c r="P475" s="15"/>
      <c r="Q475" s="7"/>
      <c r="R475" s="7"/>
      <c r="S475" s="7"/>
      <c r="T475" s="8"/>
      <c r="U475" s="8"/>
    </row>
    <row r="476" spans="1:21">
      <c r="A476" s="10"/>
      <c r="B476" s="11"/>
      <c r="C476" s="12"/>
      <c r="D476" s="13"/>
      <c r="E476" s="12"/>
      <c r="F476" s="12"/>
      <c r="G476" s="12"/>
      <c r="H476" s="12"/>
      <c r="I476" s="12"/>
      <c r="J476" s="14"/>
      <c r="K476" s="12"/>
      <c r="L476" s="12" t="str">
        <f t="shared" si="1"/>
        <v/>
      </c>
      <c r="M476" s="12"/>
      <c r="N476" s="12"/>
      <c r="O476" s="12"/>
      <c r="P476" s="15"/>
      <c r="Q476" s="7"/>
      <c r="R476" s="7"/>
      <c r="S476" s="7"/>
      <c r="T476" s="8"/>
      <c r="U476" s="8"/>
    </row>
    <row r="477" spans="1:21">
      <c r="A477" s="10"/>
      <c r="B477" s="11"/>
      <c r="C477" s="12"/>
      <c r="D477" s="13"/>
      <c r="E477" s="12"/>
      <c r="F477" s="12"/>
      <c r="G477" s="12"/>
      <c r="H477" s="12"/>
      <c r="I477" s="12"/>
      <c r="J477" s="14"/>
      <c r="K477" s="12"/>
      <c r="L477" s="12" t="str">
        <f t="shared" si="1"/>
        <v/>
      </c>
      <c r="M477" s="12"/>
      <c r="N477" s="12"/>
      <c r="O477" s="12"/>
      <c r="P477" s="15"/>
      <c r="Q477" s="7"/>
      <c r="R477" s="7"/>
      <c r="S477" s="7"/>
      <c r="T477" s="8"/>
      <c r="U477" s="8"/>
    </row>
    <row r="478" spans="1:21">
      <c r="A478" s="10"/>
      <c r="B478" s="11"/>
      <c r="C478" s="12"/>
      <c r="D478" s="13"/>
      <c r="E478" s="12"/>
      <c r="F478" s="12"/>
      <c r="G478" s="12"/>
      <c r="H478" s="12"/>
      <c r="I478" s="12"/>
      <c r="J478" s="14"/>
      <c r="K478" s="12"/>
      <c r="L478" s="12" t="str">
        <f t="shared" si="1"/>
        <v/>
      </c>
      <c r="M478" s="12"/>
      <c r="N478" s="12"/>
      <c r="O478" s="12"/>
      <c r="P478" s="15"/>
      <c r="Q478" s="7"/>
      <c r="R478" s="7"/>
      <c r="S478" s="7"/>
      <c r="T478" s="8"/>
      <c r="U478" s="8"/>
    </row>
    <row r="479" spans="1:21">
      <c r="A479" s="10"/>
      <c r="B479" s="11"/>
      <c r="C479" s="12"/>
      <c r="D479" s="13"/>
      <c r="E479" s="12"/>
      <c r="F479" s="12"/>
      <c r="G479" s="12"/>
      <c r="H479" s="12"/>
      <c r="I479" s="12"/>
      <c r="J479" s="14"/>
      <c r="K479" s="12"/>
      <c r="L479" s="12" t="str">
        <f t="shared" si="1"/>
        <v/>
      </c>
      <c r="M479" s="12"/>
      <c r="N479" s="12"/>
      <c r="O479" s="12"/>
      <c r="P479" s="15"/>
      <c r="Q479" s="7"/>
      <c r="R479" s="7"/>
      <c r="S479" s="7"/>
      <c r="T479" s="8"/>
      <c r="U479" s="8"/>
    </row>
    <row r="480" spans="1:21">
      <c r="A480" s="10"/>
      <c r="B480" s="11"/>
      <c r="C480" s="12"/>
      <c r="D480" s="13"/>
      <c r="E480" s="12"/>
      <c r="F480" s="12"/>
      <c r="G480" s="12"/>
      <c r="H480" s="12"/>
      <c r="I480" s="12"/>
      <c r="J480" s="14"/>
      <c r="K480" s="12"/>
      <c r="L480" s="12" t="str">
        <f t="shared" si="1"/>
        <v/>
      </c>
      <c r="M480" s="12"/>
      <c r="N480" s="12"/>
      <c r="O480" s="12"/>
      <c r="P480" s="15"/>
      <c r="Q480" s="7"/>
      <c r="R480" s="7"/>
      <c r="S480" s="7"/>
      <c r="T480" s="8"/>
      <c r="U480" s="8"/>
    </row>
    <row r="481" spans="1:21">
      <c r="A481" s="10"/>
      <c r="B481" s="11"/>
      <c r="C481" s="12"/>
      <c r="D481" s="13"/>
      <c r="E481" s="12"/>
      <c r="F481" s="12"/>
      <c r="G481" s="12"/>
      <c r="H481" s="12"/>
      <c r="I481" s="12"/>
      <c r="J481" s="14"/>
      <c r="K481" s="12"/>
      <c r="L481" s="12" t="str">
        <f t="shared" si="1"/>
        <v/>
      </c>
      <c r="M481" s="12"/>
      <c r="N481" s="12"/>
      <c r="O481" s="12"/>
      <c r="P481" s="15"/>
      <c r="Q481" s="7"/>
      <c r="R481" s="7"/>
      <c r="S481" s="7"/>
      <c r="T481" s="8"/>
      <c r="U481" s="8"/>
    </row>
    <row r="482" spans="1:21">
      <c r="A482" s="10"/>
      <c r="B482" s="11"/>
      <c r="C482" s="12"/>
      <c r="D482" s="13"/>
      <c r="E482" s="12"/>
      <c r="F482" s="12"/>
      <c r="G482" s="12"/>
      <c r="H482" s="12"/>
      <c r="I482" s="12"/>
      <c r="J482" s="14"/>
      <c r="K482" s="12"/>
      <c r="L482" s="12" t="str">
        <f t="shared" si="1"/>
        <v/>
      </c>
      <c r="M482" s="12"/>
      <c r="N482" s="12"/>
      <c r="O482" s="12"/>
      <c r="P482" s="15"/>
      <c r="Q482" s="7"/>
      <c r="R482" s="7"/>
      <c r="S482" s="7"/>
      <c r="T482" s="8"/>
      <c r="U482" s="8"/>
    </row>
    <row r="483" spans="1:21">
      <c r="A483" s="10"/>
      <c r="B483" s="11"/>
      <c r="C483" s="12"/>
      <c r="D483" s="13"/>
      <c r="E483" s="12"/>
      <c r="F483" s="12"/>
      <c r="G483" s="12"/>
      <c r="H483" s="12"/>
      <c r="I483" s="12"/>
      <c r="J483" s="14"/>
      <c r="K483" s="12"/>
      <c r="L483" s="12" t="str">
        <f t="shared" si="1"/>
        <v/>
      </c>
      <c r="M483" s="12"/>
      <c r="N483" s="12"/>
      <c r="O483" s="12"/>
      <c r="P483" s="15"/>
      <c r="Q483" s="7"/>
      <c r="R483" s="7"/>
      <c r="S483" s="7"/>
      <c r="T483" s="8"/>
      <c r="U483" s="8"/>
    </row>
    <row r="484" spans="1:21">
      <c r="A484" s="10"/>
      <c r="B484" s="11"/>
      <c r="C484" s="12"/>
      <c r="D484" s="13"/>
      <c r="E484" s="12"/>
      <c r="F484" s="12"/>
      <c r="G484" s="12"/>
      <c r="H484" s="12"/>
      <c r="I484" s="12"/>
      <c r="J484" s="14"/>
      <c r="K484" s="12"/>
      <c r="L484" s="12" t="str">
        <f t="shared" si="1"/>
        <v/>
      </c>
      <c r="M484" s="12"/>
      <c r="N484" s="12"/>
      <c r="O484" s="12"/>
      <c r="P484" s="15"/>
      <c r="Q484" s="7"/>
      <c r="R484" s="7"/>
      <c r="S484" s="7"/>
      <c r="T484" s="8"/>
      <c r="U484" s="8"/>
    </row>
    <row r="485" spans="1:21">
      <c r="A485" s="10"/>
      <c r="B485" s="11"/>
      <c r="C485" s="12"/>
      <c r="D485" s="13"/>
      <c r="E485" s="12"/>
      <c r="F485" s="12"/>
      <c r="G485" s="12"/>
      <c r="H485" s="12"/>
      <c r="I485" s="12"/>
      <c r="J485" s="14"/>
      <c r="K485" s="12"/>
      <c r="L485" s="12" t="str">
        <f t="shared" si="1"/>
        <v/>
      </c>
      <c r="M485" s="12"/>
      <c r="N485" s="12"/>
      <c r="O485" s="12"/>
      <c r="P485" s="15"/>
      <c r="Q485" s="7"/>
      <c r="R485" s="7"/>
      <c r="S485" s="7"/>
      <c r="T485" s="8"/>
      <c r="U485" s="8"/>
    </row>
    <row r="486" spans="1:21">
      <c r="A486" s="10"/>
      <c r="B486" s="11"/>
      <c r="C486" s="12"/>
      <c r="D486" s="13"/>
      <c r="E486" s="12"/>
      <c r="F486" s="12"/>
      <c r="G486" s="12"/>
      <c r="H486" s="12"/>
      <c r="I486" s="12"/>
      <c r="J486" s="14"/>
      <c r="K486" s="12"/>
      <c r="L486" s="12" t="str">
        <f t="shared" si="1"/>
        <v/>
      </c>
      <c r="M486" s="12"/>
      <c r="N486" s="12"/>
      <c r="O486" s="12"/>
      <c r="P486" s="15"/>
      <c r="Q486" s="7"/>
      <c r="R486" s="7"/>
      <c r="S486" s="7"/>
      <c r="T486" s="8"/>
      <c r="U486" s="8"/>
    </row>
    <row r="487" spans="1:21">
      <c r="A487" s="10"/>
      <c r="B487" s="11"/>
      <c r="C487" s="12"/>
      <c r="D487" s="13"/>
      <c r="E487" s="12"/>
      <c r="F487" s="12"/>
      <c r="G487" s="12"/>
      <c r="H487" s="12"/>
      <c r="I487" s="12"/>
      <c r="J487" s="14"/>
      <c r="K487" s="12"/>
      <c r="L487" s="12" t="str">
        <f t="shared" si="1"/>
        <v/>
      </c>
      <c r="M487" s="12"/>
      <c r="N487" s="12"/>
      <c r="O487" s="12"/>
      <c r="P487" s="15"/>
      <c r="Q487" s="7"/>
      <c r="R487" s="7"/>
      <c r="S487" s="7"/>
      <c r="T487" s="8"/>
      <c r="U487" s="8"/>
    </row>
    <row r="488" spans="1:21">
      <c r="A488" s="10"/>
      <c r="B488" s="11"/>
      <c r="C488" s="12"/>
      <c r="D488" s="13"/>
      <c r="E488" s="12"/>
      <c r="F488" s="12"/>
      <c r="G488" s="12"/>
      <c r="H488" s="12"/>
      <c r="I488" s="12"/>
      <c r="J488" s="14"/>
      <c r="K488" s="12"/>
      <c r="L488" s="12" t="str">
        <f t="shared" si="1"/>
        <v/>
      </c>
      <c r="M488" s="12"/>
      <c r="N488" s="12"/>
      <c r="O488" s="12"/>
      <c r="P488" s="15"/>
      <c r="Q488" s="7"/>
      <c r="R488" s="7"/>
      <c r="S488" s="7"/>
      <c r="T488" s="8"/>
      <c r="U488" s="8"/>
    </row>
    <row r="489" spans="1:21">
      <c r="A489" s="10"/>
      <c r="B489" s="11"/>
      <c r="C489" s="12"/>
      <c r="D489" s="13"/>
      <c r="E489" s="12"/>
      <c r="F489" s="12"/>
      <c r="G489" s="12"/>
      <c r="H489" s="12"/>
      <c r="I489" s="12"/>
      <c r="J489" s="14"/>
      <c r="K489" s="12"/>
      <c r="L489" s="12" t="str">
        <f t="shared" si="1"/>
        <v/>
      </c>
      <c r="M489" s="12"/>
      <c r="N489" s="12"/>
      <c r="O489" s="12"/>
      <c r="P489" s="15"/>
      <c r="Q489" s="7"/>
      <c r="R489" s="7"/>
      <c r="S489" s="7"/>
      <c r="T489" s="8"/>
      <c r="U489" s="8"/>
    </row>
    <row r="490" spans="1:21">
      <c r="A490" s="10"/>
      <c r="B490" s="11"/>
      <c r="C490" s="12"/>
      <c r="D490" s="13"/>
      <c r="E490" s="12"/>
      <c r="F490" s="12"/>
      <c r="G490" s="12"/>
      <c r="H490" s="12"/>
      <c r="I490" s="12"/>
      <c r="J490" s="17"/>
      <c r="K490" s="18"/>
      <c r="L490" s="18" t="str">
        <f t="shared" si="1"/>
        <v/>
      </c>
      <c r="M490" s="12"/>
      <c r="N490" s="12"/>
      <c r="O490" s="12"/>
      <c r="P490" s="15"/>
      <c r="Q490" s="7"/>
      <c r="R490" s="7"/>
      <c r="S490" s="7"/>
      <c r="T490" s="8"/>
      <c r="U490" s="8"/>
    </row>
    <row r="491" spans="1:21">
      <c r="A491" s="10"/>
      <c r="B491" s="11"/>
      <c r="C491" s="12"/>
      <c r="D491" s="13"/>
      <c r="E491" s="12"/>
      <c r="F491" s="12"/>
      <c r="G491" s="12"/>
      <c r="H491" s="12"/>
      <c r="I491" s="12"/>
      <c r="J491" s="14"/>
      <c r="K491" s="12"/>
      <c r="L491" s="12" t="str">
        <f t="shared" si="1"/>
        <v/>
      </c>
      <c r="M491" s="12"/>
      <c r="N491" s="12"/>
      <c r="O491" s="12"/>
      <c r="P491" s="15"/>
      <c r="Q491" s="7"/>
      <c r="R491" s="7"/>
      <c r="S491" s="7"/>
      <c r="T491" s="8"/>
      <c r="U491" s="8"/>
    </row>
    <row r="492" spans="1:21">
      <c r="A492" s="10"/>
      <c r="B492" s="11"/>
      <c r="C492" s="12"/>
      <c r="D492" s="13"/>
      <c r="E492" s="12"/>
      <c r="F492" s="12"/>
      <c r="G492" s="12"/>
      <c r="H492" s="12"/>
      <c r="I492" s="12"/>
      <c r="J492" s="14"/>
      <c r="K492" s="12"/>
      <c r="L492" s="12" t="str">
        <f t="shared" si="1"/>
        <v/>
      </c>
      <c r="M492" s="12"/>
      <c r="N492" s="12"/>
      <c r="O492" s="12"/>
      <c r="P492" s="15"/>
      <c r="Q492" s="7"/>
      <c r="R492" s="7"/>
      <c r="S492" s="7"/>
      <c r="T492" s="8"/>
      <c r="U492" s="8"/>
    </row>
    <row r="493" spans="1:21">
      <c r="A493" s="10"/>
      <c r="B493" s="11"/>
      <c r="C493" s="12"/>
      <c r="D493" s="13"/>
      <c r="E493" s="12"/>
      <c r="F493" s="12"/>
      <c r="G493" s="12"/>
      <c r="H493" s="12"/>
      <c r="I493" s="12"/>
      <c r="J493" s="14"/>
      <c r="K493" s="12"/>
      <c r="L493" s="12" t="str">
        <f t="shared" si="1"/>
        <v/>
      </c>
      <c r="M493" s="12"/>
      <c r="N493" s="12"/>
      <c r="O493" s="12"/>
      <c r="P493" s="15"/>
      <c r="Q493" s="7"/>
      <c r="R493" s="7"/>
      <c r="S493" s="7"/>
      <c r="T493" s="8"/>
      <c r="U493" s="8"/>
    </row>
    <row r="494" spans="1:21">
      <c r="A494" s="10"/>
      <c r="B494" s="11"/>
      <c r="C494" s="12"/>
      <c r="D494" s="13"/>
      <c r="E494" s="12"/>
      <c r="F494" s="12"/>
      <c r="G494" s="12"/>
      <c r="H494" s="12"/>
      <c r="I494" s="12"/>
      <c r="J494" s="14"/>
      <c r="K494" s="12"/>
      <c r="L494" s="12" t="str">
        <f t="shared" si="1"/>
        <v/>
      </c>
      <c r="M494" s="12"/>
      <c r="N494" s="12"/>
      <c r="O494" s="12"/>
      <c r="P494" s="15"/>
      <c r="Q494" s="7"/>
      <c r="R494" s="7"/>
      <c r="S494" s="7"/>
      <c r="T494" s="8"/>
      <c r="U494" s="8"/>
    </row>
    <row r="495" spans="1:21">
      <c r="A495" s="10"/>
      <c r="B495" s="11"/>
      <c r="C495" s="12"/>
      <c r="D495" s="13"/>
      <c r="E495" s="12"/>
      <c r="F495" s="12"/>
      <c r="G495" s="12"/>
      <c r="H495" s="12"/>
      <c r="I495" s="12"/>
      <c r="J495" s="14"/>
      <c r="K495" s="12"/>
      <c r="L495" s="12" t="str">
        <f t="shared" si="1"/>
        <v/>
      </c>
      <c r="M495" s="12"/>
      <c r="N495" s="12"/>
      <c r="O495" s="12"/>
      <c r="P495" s="15"/>
      <c r="Q495" s="7"/>
      <c r="R495" s="7"/>
      <c r="S495" s="7"/>
      <c r="T495" s="8"/>
      <c r="U495" s="8"/>
    </row>
    <row r="496" spans="1:21">
      <c r="A496" s="10"/>
      <c r="B496" s="11"/>
      <c r="C496" s="12"/>
      <c r="D496" s="13"/>
      <c r="E496" s="12"/>
      <c r="F496" s="12"/>
      <c r="G496" s="12"/>
      <c r="H496" s="12"/>
      <c r="I496" s="12"/>
      <c r="J496" s="14"/>
      <c r="K496" s="12"/>
      <c r="L496" s="12" t="str">
        <f t="shared" si="1"/>
        <v/>
      </c>
      <c r="M496" s="12"/>
      <c r="N496" s="12"/>
      <c r="O496" s="12"/>
      <c r="P496" s="15"/>
      <c r="Q496" s="7"/>
      <c r="R496" s="7"/>
      <c r="S496" s="7"/>
      <c r="T496" s="8"/>
      <c r="U496" s="8"/>
    </row>
    <row r="497" spans="1:21">
      <c r="A497" s="10"/>
      <c r="B497" s="11"/>
      <c r="C497" s="12"/>
      <c r="D497" s="13"/>
      <c r="E497" s="12"/>
      <c r="F497" s="12"/>
      <c r="G497" s="12"/>
      <c r="H497" s="12"/>
      <c r="I497" s="12"/>
      <c r="J497" s="14"/>
      <c r="K497" s="12"/>
      <c r="L497" s="12" t="str">
        <f t="shared" si="1"/>
        <v/>
      </c>
      <c r="M497" s="12"/>
      <c r="N497" s="12"/>
      <c r="O497" s="12"/>
      <c r="P497" s="15"/>
      <c r="Q497" s="7"/>
      <c r="R497" s="7"/>
      <c r="S497" s="7"/>
      <c r="T497" s="8"/>
      <c r="U497" s="8"/>
    </row>
    <row r="498" spans="1:21">
      <c r="A498" s="10"/>
      <c r="B498" s="11"/>
      <c r="C498" s="12"/>
      <c r="D498" s="13"/>
      <c r="E498" s="12"/>
      <c r="F498" s="12"/>
      <c r="G498" s="12"/>
      <c r="H498" s="12"/>
      <c r="I498" s="12"/>
      <c r="J498" s="14"/>
      <c r="K498" s="12"/>
      <c r="L498" s="12" t="str">
        <f t="shared" si="1"/>
        <v/>
      </c>
      <c r="M498" s="12"/>
      <c r="N498" s="12"/>
      <c r="O498" s="12"/>
      <c r="P498" s="15"/>
      <c r="Q498" s="7"/>
      <c r="R498" s="7"/>
      <c r="S498" s="7"/>
      <c r="T498" s="8"/>
      <c r="U498" s="8"/>
    </row>
    <row r="499" spans="1:21">
      <c r="A499" s="10"/>
      <c r="B499" s="11"/>
      <c r="C499" s="12"/>
      <c r="D499" s="13"/>
      <c r="E499" s="12"/>
      <c r="F499" s="12"/>
      <c r="G499" s="12"/>
      <c r="H499" s="12"/>
      <c r="I499" s="12"/>
      <c r="J499" s="14"/>
      <c r="K499" s="12"/>
      <c r="L499" s="12" t="str">
        <f t="shared" si="1"/>
        <v/>
      </c>
      <c r="M499" s="12"/>
      <c r="N499" s="12"/>
      <c r="O499" s="12"/>
      <c r="P499" s="15"/>
      <c r="Q499" s="7"/>
      <c r="R499" s="7"/>
      <c r="S499" s="7"/>
      <c r="T499" s="8"/>
      <c r="U499" s="8"/>
    </row>
    <row r="500" spans="1:21">
      <c r="A500" s="10"/>
      <c r="B500" s="11"/>
      <c r="C500" s="12"/>
      <c r="D500" s="13"/>
      <c r="E500" s="12"/>
      <c r="F500" s="12"/>
      <c r="G500" s="12"/>
      <c r="H500" s="12"/>
      <c r="I500" s="12"/>
      <c r="J500" s="14"/>
      <c r="K500" s="12"/>
      <c r="L500" s="12"/>
      <c r="M500" s="12"/>
      <c r="N500" s="12"/>
      <c r="O500" s="12"/>
      <c r="P500" s="15"/>
      <c r="Q500" s="7"/>
      <c r="R500" s="7"/>
      <c r="S500" s="7"/>
      <c r="T500" s="8"/>
      <c r="U500" s="8"/>
    </row>
    <row r="501" spans="1:21">
      <c r="A501" s="10"/>
      <c r="B501" s="11"/>
      <c r="C501" s="12"/>
      <c r="D501" s="13"/>
      <c r="E501" s="12"/>
      <c r="F501" s="12"/>
      <c r="G501" s="12"/>
      <c r="H501" s="12"/>
      <c r="I501" s="12"/>
      <c r="J501" s="14"/>
      <c r="K501" s="12"/>
      <c r="L501" s="12"/>
      <c r="M501" s="12"/>
      <c r="N501" s="12"/>
      <c r="O501" s="12"/>
      <c r="P501" s="15"/>
      <c r="Q501" s="7"/>
      <c r="R501" s="7"/>
      <c r="S501" s="7"/>
      <c r="T501" s="8"/>
      <c r="U501" s="8"/>
    </row>
    <row r="502" spans="1:21">
      <c r="A502" s="10"/>
      <c r="B502" s="11"/>
      <c r="C502" s="12"/>
      <c r="D502" s="13"/>
      <c r="E502" s="12"/>
      <c r="F502" s="12"/>
      <c r="G502" s="12"/>
      <c r="H502" s="12"/>
      <c r="I502" s="12"/>
      <c r="J502" s="14"/>
      <c r="K502" s="12"/>
      <c r="L502" s="12"/>
      <c r="M502" s="12"/>
      <c r="N502" s="12"/>
      <c r="O502" s="12"/>
      <c r="P502" s="15"/>
      <c r="Q502" s="7"/>
      <c r="R502" s="7"/>
      <c r="S502" s="7"/>
      <c r="T502" s="8"/>
      <c r="U502" s="8"/>
    </row>
    <row r="503" spans="1:21">
      <c r="A503" s="10"/>
      <c r="B503" s="11"/>
      <c r="C503" s="12"/>
      <c r="D503" s="13"/>
      <c r="E503" s="12"/>
      <c r="F503" s="12"/>
      <c r="G503" s="12"/>
      <c r="H503" s="12"/>
      <c r="I503" s="12"/>
      <c r="J503" s="14"/>
      <c r="K503" s="12"/>
      <c r="L503" s="12"/>
      <c r="M503" s="12"/>
      <c r="N503" s="12"/>
      <c r="O503" s="12"/>
      <c r="P503" s="15"/>
      <c r="Q503" s="7"/>
      <c r="R503" s="7"/>
      <c r="S503" s="7"/>
      <c r="T503" s="8"/>
      <c r="U503" s="8"/>
    </row>
    <row r="504" spans="1:21">
      <c r="A504" s="10"/>
      <c r="B504" s="11"/>
      <c r="C504" s="12"/>
      <c r="D504" s="13"/>
      <c r="E504" s="12"/>
      <c r="F504" s="12"/>
      <c r="G504" s="12"/>
      <c r="H504" s="12"/>
      <c r="I504" s="12"/>
      <c r="J504" s="14"/>
      <c r="K504" s="12"/>
      <c r="L504" s="12"/>
      <c r="M504" s="12"/>
      <c r="N504" s="12"/>
      <c r="O504" s="12"/>
      <c r="P504" s="15"/>
      <c r="Q504" s="7"/>
      <c r="R504" s="7"/>
      <c r="S504" s="7"/>
      <c r="T504" s="8"/>
      <c r="U504" s="8"/>
    </row>
    <row r="505" spans="1:21">
      <c r="A505" s="10"/>
      <c r="B505" s="11"/>
      <c r="C505" s="12"/>
      <c r="D505" s="13"/>
      <c r="E505" s="12"/>
      <c r="F505" s="12"/>
      <c r="G505" s="12"/>
      <c r="H505" s="12"/>
      <c r="I505" s="12"/>
      <c r="J505" s="14"/>
      <c r="K505" s="12"/>
      <c r="L505" s="12"/>
      <c r="M505" s="12"/>
      <c r="N505" s="12"/>
      <c r="O505" s="12"/>
      <c r="P505" s="15"/>
      <c r="Q505" s="7"/>
      <c r="R505" s="7"/>
      <c r="S505" s="7"/>
      <c r="T505" s="8"/>
      <c r="U505" s="8"/>
    </row>
    <row r="506" spans="1:21">
      <c r="A506" s="10"/>
      <c r="B506" s="11"/>
      <c r="C506" s="12"/>
      <c r="D506" s="13"/>
      <c r="E506" s="12"/>
      <c r="F506" s="12"/>
      <c r="G506" s="12"/>
      <c r="H506" s="12"/>
      <c r="I506" s="12"/>
      <c r="J506" s="14"/>
      <c r="K506" s="12"/>
      <c r="L506" s="12"/>
      <c r="M506" s="12"/>
      <c r="N506" s="12"/>
      <c r="O506" s="12"/>
      <c r="P506" s="15"/>
      <c r="Q506" s="7"/>
      <c r="R506" s="7"/>
      <c r="S506" s="7"/>
      <c r="T506" s="8"/>
      <c r="U506" s="8"/>
    </row>
    <row r="507" spans="1:21">
      <c r="A507" s="10"/>
      <c r="B507" s="11"/>
      <c r="C507" s="12"/>
      <c r="D507" s="13"/>
      <c r="E507" s="12"/>
      <c r="F507" s="12"/>
      <c r="G507" s="12"/>
      <c r="H507" s="12"/>
      <c r="I507" s="12"/>
      <c r="J507" s="14"/>
      <c r="K507" s="12"/>
      <c r="L507" s="12"/>
      <c r="M507" s="12"/>
      <c r="N507" s="12"/>
      <c r="O507" s="12"/>
      <c r="P507" s="15"/>
      <c r="Q507" s="7"/>
      <c r="R507" s="7"/>
      <c r="S507" s="7"/>
      <c r="T507" s="8"/>
      <c r="U507" s="8"/>
    </row>
    <row r="508" spans="1:21">
      <c r="A508" s="10"/>
      <c r="B508" s="11"/>
      <c r="C508" s="12"/>
      <c r="D508" s="13"/>
      <c r="E508" s="12"/>
      <c r="F508" s="12"/>
      <c r="G508" s="12"/>
      <c r="H508" s="12"/>
      <c r="I508" s="12"/>
      <c r="J508" s="14"/>
      <c r="K508" s="12"/>
      <c r="L508" s="12"/>
      <c r="M508" s="12"/>
      <c r="N508" s="12"/>
      <c r="O508" s="12"/>
      <c r="P508" s="15"/>
      <c r="Q508" s="7"/>
      <c r="R508" s="7"/>
      <c r="S508" s="7"/>
      <c r="T508" s="8"/>
      <c r="U508" s="8"/>
    </row>
    <row r="509" spans="1:21">
      <c r="A509" s="10"/>
      <c r="B509" s="11"/>
      <c r="C509" s="12"/>
      <c r="D509" s="13"/>
      <c r="E509" s="12"/>
      <c r="F509" s="12"/>
      <c r="G509" s="12"/>
      <c r="H509" s="12"/>
      <c r="I509" s="12"/>
      <c r="J509" s="14"/>
      <c r="K509" s="12"/>
      <c r="L509" s="12"/>
      <c r="M509" s="12"/>
      <c r="N509" s="12"/>
      <c r="O509" s="12"/>
      <c r="P509" s="15"/>
      <c r="Q509" s="7"/>
      <c r="R509" s="7"/>
      <c r="S509" s="7"/>
      <c r="T509" s="8"/>
      <c r="U509" s="8"/>
    </row>
    <row r="510" spans="1:21">
      <c r="A510" s="10"/>
      <c r="B510" s="11"/>
      <c r="C510" s="12"/>
      <c r="D510" s="13"/>
      <c r="E510" s="12"/>
      <c r="F510" s="12"/>
      <c r="G510" s="12"/>
      <c r="H510" s="12"/>
      <c r="I510" s="12"/>
      <c r="J510" s="14"/>
      <c r="K510" s="12"/>
      <c r="L510" s="12"/>
      <c r="M510" s="12"/>
      <c r="N510" s="12"/>
      <c r="O510" s="12"/>
      <c r="P510" s="15"/>
      <c r="Q510" s="7"/>
      <c r="R510" s="7"/>
      <c r="S510" s="7"/>
      <c r="T510" s="8"/>
      <c r="U510" s="8"/>
    </row>
    <row r="511" spans="1:21">
      <c r="A511" s="10"/>
      <c r="B511" s="11"/>
      <c r="C511" s="12"/>
      <c r="D511" s="13"/>
      <c r="E511" s="12"/>
      <c r="F511" s="12"/>
      <c r="G511" s="12"/>
      <c r="H511" s="12"/>
      <c r="I511" s="12"/>
      <c r="J511" s="14"/>
      <c r="K511" s="12"/>
      <c r="L511" s="12"/>
      <c r="M511" s="12"/>
      <c r="N511" s="12"/>
      <c r="O511" s="12"/>
      <c r="P511" s="15"/>
      <c r="Q511" s="7"/>
      <c r="R511" s="7"/>
      <c r="S511" s="7"/>
      <c r="T511" s="8"/>
      <c r="U511" s="8"/>
    </row>
    <row r="512" spans="1:21">
      <c r="A512" s="10"/>
      <c r="B512" s="11"/>
      <c r="C512" s="12"/>
      <c r="D512" s="13"/>
      <c r="E512" s="12"/>
      <c r="F512" s="12"/>
      <c r="G512" s="12"/>
      <c r="H512" s="12"/>
      <c r="I512" s="12"/>
      <c r="J512" s="14"/>
      <c r="K512" s="12"/>
      <c r="L512" s="12"/>
      <c r="M512" s="12"/>
      <c r="N512" s="12"/>
      <c r="O512" s="12"/>
      <c r="P512" s="15"/>
      <c r="Q512" s="7"/>
      <c r="R512" s="7"/>
      <c r="S512" s="7"/>
      <c r="T512" s="8"/>
      <c r="U512" s="8"/>
    </row>
    <row r="513" spans="1:21">
      <c r="A513" s="10"/>
      <c r="B513" s="11"/>
      <c r="C513" s="12"/>
      <c r="D513" s="13"/>
      <c r="E513" s="12"/>
      <c r="F513" s="12"/>
      <c r="G513" s="12"/>
      <c r="H513" s="12"/>
      <c r="I513" s="12"/>
      <c r="J513" s="14"/>
      <c r="K513" s="12"/>
      <c r="L513" s="12"/>
      <c r="M513" s="12"/>
      <c r="N513" s="12"/>
      <c r="O513" s="12"/>
      <c r="P513" s="15"/>
      <c r="Q513" s="7"/>
      <c r="R513" s="7"/>
      <c r="S513" s="7"/>
      <c r="T513" s="8"/>
      <c r="U513" s="8"/>
    </row>
    <row r="514" spans="1:21">
      <c r="A514" s="10"/>
      <c r="B514" s="11"/>
      <c r="C514" s="12"/>
      <c r="D514" s="13"/>
      <c r="E514" s="12"/>
      <c r="F514" s="12"/>
      <c r="G514" s="12"/>
      <c r="H514" s="12"/>
      <c r="I514" s="12"/>
      <c r="J514" s="14"/>
      <c r="K514" s="12"/>
      <c r="L514" s="12"/>
      <c r="M514" s="12"/>
      <c r="N514" s="12"/>
      <c r="O514" s="12"/>
      <c r="P514" s="15"/>
      <c r="Q514" s="7"/>
      <c r="R514" s="7"/>
      <c r="S514" s="7"/>
      <c r="T514" s="8"/>
      <c r="U514" s="8"/>
    </row>
    <row r="515" spans="1:21">
      <c r="A515" s="10"/>
      <c r="B515" s="11"/>
      <c r="C515" s="12"/>
      <c r="D515" s="13"/>
      <c r="E515" s="12"/>
      <c r="F515" s="12"/>
      <c r="G515" s="12"/>
      <c r="H515" s="12"/>
      <c r="I515" s="12"/>
      <c r="J515" s="14"/>
      <c r="K515" s="12"/>
      <c r="L515" s="12"/>
      <c r="M515" s="12"/>
      <c r="N515" s="12"/>
      <c r="O515" s="12"/>
      <c r="P515" s="15"/>
      <c r="Q515" s="7"/>
      <c r="R515" s="7"/>
      <c r="S515" s="7"/>
      <c r="T515" s="8"/>
      <c r="U515" s="8"/>
    </row>
    <row r="516" spans="1:21">
      <c r="A516" s="10"/>
      <c r="B516" s="11"/>
      <c r="C516" s="12"/>
      <c r="D516" s="13"/>
      <c r="E516" s="12"/>
      <c r="F516" s="12"/>
      <c r="G516" s="12"/>
      <c r="H516" s="12"/>
      <c r="I516" s="12"/>
      <c r="J516" s="14"/>
      <c r="K516" s="12"/>
      <c r="L516" s="12"/>
      <c r="M516" s="12"/>
      <c r="N516" s="12"/>
      <c r="O516" s="12"/>
      <c r="P516" s="15"/>
      <c r="Q516" s="7"/>
      <c r="R516" s="7"/>
      <c r="S516" s="7"/>
      <c r="T516" s="8"/>
      <c r="U516" s="8"/>
    </row>
    <row r="517" spans="1:21">
      <c r="A517" s="10"/>
      <c r="B517" s="11"/>
      <c r="C517" s="12"/>
      <c r="D517" s="13"/>
      <c r="E517" s="12"/>
      <c r="F517" s="12"/>
      <c r="G517" s="12"/>
      <c r="H517" s="12"/>
      <c r="I517" s="12"/>
      <c r="J517" s="14"/>
      <c r="K517" s="12"/>
      <c r="L517" s="12"/>
      <c r="M517" s="12"/>
      <c r="N517" s="12"/>
      <c r="O517" s="12"/>
      <c r="P517" s="15"/>
      <c r="Q517" s="7"/>
      <c r="R517" s="7"/>
      <c r="S517" s="7"/>
      <c r="T517" s="8"/>
      <c r="U517" s="8"/>
    </row>
    <row r="518" spans="1:21">
      <c r="A518" s="10"/>
      <c r="B518" s="11"/>
      <c r="C518" s="12"/>
      <c r="D518" s="13"/>
      <c r="E518" s="12"/>
      <c r="F518" s="12"/>
      <c r="G518" s="12"/>
      <c r="H518" s="12"/>
      <c r="I518" s="12"/>
      <c r="J518" s="14"/>
      <c r="K518" s="12"/>
      <c r="L518" s="12"/>
      <c r="M518" s="12"/>
      <c r="N518" s="12"/>
      <c r="O518" s="12"/>
      <c r="P518" s="15"/>
      <c r="Q518" s="7"/>
      <c r="R518" s="7"/>
      <c r="S518" s="7"/>
      <c r="T518" s="8"/>
      <c r="U518" s="8"/>
    </row>
    <row r="519" spans="1:21">
      <c r="A519" s="10"/>
      <c r="B519" s="11"/>
      <c r="C519" s="12"/>
      <c r="D519" s="13"/>
      <c r="E519" s="12"/>
      <c r="F519" s="12"/>
      <c r="G519" s="12"/>
      <c r="H519" s="12"/>
      <c r="I519" s="12"/>
      <c r="J519" s="14"/>
      <c r="K519" s="12"/>
      <c r="L519" s="12"/>
      <c r="M519" s="12"/>
      <c r="N519" s="12"/>
      <c r="O519" s="12"/>
      <c r="P519" s="15"/>
      <c r="Q519" s="7"/>
      <c r="R519" s="7"/>
      <c r="S519" s="7"/>
      <c r="T519" s="8"/>
      <c r="U519" s="8"/>
    </row>
    <row r="520" spans="1:21">
      <c r="A520" s="10"/>
      <c r="B520" s="11"/>
      <c r="C520" s="12"/>
      <c r="D520" s="13"/>
      <c r="E520" s="12"/>
      <c r="F520" s="12"/>
      <c r="G520" s="12"/>
      <c r="H520" s="12"/>
      <c r="I520" s="12"/>
      <c r="J520" s="14"/>
      <c r="K520" s="12"/>
      <c r="L520" s="12"/>
      <c r="M520" s="12"/>
      <c r="N520" s="12"/>
      <c r="O520" s="12"/>
      <c r="P520" s="15"/>
      <c r="Q520" s="7"/>
      <c r="R520" s="7"/>
      <c r="S520" s="7"/>
      <c r="T520" s="8"/>
      <c r="U520" s="8"/>
    </row>
    <row r="521" spans="1:21">
      <c r="A521" s="10"/>
      <c r="B521" s="11"/>
      <c r="C521" s="12"/>
      <c r="D521" s="13"/>
      <c r="E521" s="12"/>
      <c r="F521" s="12"/>
      <c r="G521" s="12"/>
      <c r="H521" s="12"/>
      <c r="I521" s="12"/>
      <c r="J521" s="14"/>
      <c r="K521" s="12"/>
      <c r="L521" s="12"/>
      <c r="M521" s="12"/>
      <c r="N521" s="12"/>
      <c r="O521" s="12"/>
      <c r="P521" s="15"/>
      <c r="Q521" s="7"/>
      <c r="R521" s="7"/>
      <c r="S521" s="7"/>
      <c r="T521" s="8"/>
      <c r="U521" s="8"/>
    </row>
    <row r="522" spans="1:21">
      <c r="A522" s="10"/>
      <c r="B522" s="11"/>
      <c r="C522" s="12"/>
      <c r="D522" s="13"/>
      <c r="E522" s="12"/>
      <c r="F522" s="12"/>
      <c r="G522" s="12"/>
      <c r="H522" s="12"/>
      <c r="I522" s="12"/>
      <c r="J522" s="14"/>
      <c r="K522" s="12"/>
      <c r="L522" s="12"/>
      <c r="M522" s="12"/>
      <c r="N522" s="12"/>
      <c r="O522" s="12"/>
      <c r="P522" s="15"/>
      <c r="Q522" s="7"/>
      <c r="R522" s="7"/>
      <c r="S522" s="7"/>
      <c r="T522" s="8"/>
      <c r="U522" s="8"/>
    </row>
    <row r="523" spans="1:21">
      <c r="A523" s="10"/>
      <c r="B523" s="11"/>
      <c r="C523" s="12"/>
      <c r="D523" s="13"/>
      <c r="E523" s="12"/>
      <c r="F523" s="12"/>
      <c r="G523" s="12"/>
      <c r="H523" s="12"/>
      <c r="I523" s="12"/>
      <c r="J523" s="14"/>
      <c r="K523" s="12"/>
      <c r="L523" s="12"/>
      <c r="M523" s="12"/>
      <c r="N523" s="12"/>
      <c r="O523" s="12"/>
      <c r="P523" s="15"/>
      <c r="Q523" s="7"/>
      <c r="R523" s="7"/>
      <c r="S523" s="7"/>
      <c r="T523" s="8"/>
      <c r="U523" s="8"/>
    </row>
    <row r="524" spans="1:21">
      <c r="A524" s="10"/>
      <c r="B524" s="11"/>
      <c r="C524" s="12"/>
      <c r="D524" s="13"/>
      <c r="E524" s="12"/>
      <c r="F524" s="12"/>
      <c r="G524" s="12"/>
      <c r="H524" s="12"/>
      <c r="I524" s="12"/>
      <c r="J524" s="14"/>
      <c r="K524" s="12"/>
      <c r="L524" s="12"/>
      <c r="M524" s="12"/>
      <c r="N524" s="12"/>
      <c r="O524" s="12"/>
      <c r="P524" s="15"/>
      <c r="Q524" s="7"/>
      <c r="R524" s="7"/>
      <c r="S524" s="7"/>
      <c r="T524" s="8"/>
      <c r="U524" s="8"/>
    </row>
    <row r="525" spans="1:21">
      <c r="A525" s="10"/>
      <c r="B525" s="11"/>
      <c r="C525" s="12"/>
      <c r="D525" s="13"/>
      <c r="E525" s="12"/>
      <c r="F525" s="12"/>
      <c r="G525" s="12"/>
      <c r="H525" s="12"/>
      <c r="I525" s="12"/>
      <c r="J525" s="14"/>
      <c r="K525" s="12"/>
      <c r="L525" s="12"/>
      <c r="M525" s="12"/>
      <c r="N525" s="12"/>
      <c r="O525" s="12"/>
      <c r="P525" s="15"/>
      <c r="Q525" s="7"/>
      <c r="R525" s="7"/>
      <c r="S525" s="7"/>
      <c r="T525" s="8"/>
      <c r="U525" s="8"/>
    </row>
    <row r="526" spans="1:21">
      <c r="A526" s="10"/>
      <c r="B526" s="11"/>
      <c r="C526" s="12"/>
      <c r="D526" s="13"/>
      <c r="E526" s="12"/>
      <c r="F526" s="12"/>
      <c r="G526" s="12"/>
      <c r="H526" s="12"/>
      <c r="I526" s="12"/>
      <c r="J526" s="14"/>
      <c r="K526" s="12"/>
      <c r="L526" s="12"/>
      <c r="M526" s="12"/>
      <c r="N526" s="12"/>
      <c r="O526" s="12"/>
      <c r="P526" s="15"/>
      <c r="Q526" s="7"/>
      <c r="R526" s="7"/>
      <c r="S526" s="7"/>
      <c r="T526" s="8"/>
      <c r="U526" s="8"/>
    </row>
    <row r="527" spans="1:21">
      <c r="A527" s="10"/>
      <c r="B527" s="11"/>
      <c r="C527" s="12"/>
      <c r="D527" s="13"/>
      <c r="E527" s="12"/>
      <c r="F527" s="12"/>
      <c r="G527" s="12"/>
      <c r="H527" s="12"/>
      <c r="I527" s="12"/>
      <c r="J527" s="14"/>
      <c r="K527" s="12"/>
      <c r="L527" s="12"/>
      <c r="M527" s="12"/>
      <c r="N527" s="12"/>
      <c r="O527" s="12"/>
      <c r="P527" s="15"/>
      <c r="Q527" s="7"/>
      <c r="R527" s="7"/>
      <c r="S527" s="7"/>
      <c r="T527" s="8"/>
      <c r="U527" s="8"/>
    </row>
    <row r="528" spans="1:21">
      <c r="A528" s="10"/>
      <c r="B528" s="11"/>
      <c r="C528" s="12"/>
      <c r="D528" s="13"/>
      <c r="E528" s="12"/>
      <c r="F528" s="12"/>
      <c r="G528" s="12"/>
      <c r="H528" s="12"/>
      <c r="I528" s="12"/>
      <c r="J528" s="14"/>
      <c r="K528" s="12"/>
      <c r="L528" s="12"/>
      <c r="M528" s="12"/>
      <c r="N528" s="12"/>
      <c r="O528" s="12"/>
      <c r="P528" s="15"/>
      <c r="Q528" s="7"/>
      <c r="R528" s="7"/>
      <c r="S528" s="7"/>
      <c r="T528" s="8"/>
      <c r="U528" s="8"/>
    </row>
    <row r="529" spans="1:21">
      <c r="A529" s="10"/>
      <c r="B529" s="11"/>
      <c r="C529" s="12"/>
      <c r="D529" s="13"/>
      <c r="E529" s="12"/>
      <c r="F529" s="12"/>
      <c r="G529" s="12"/>
      <c r="H529" s="12"/>
      <c r="I529" s="12"/>
      <c r="J529" s="14"/>
      <c r="K529" s="12"/>
      <c r="L529" s="12"/>
      <c r="M529" s="12"/>
      <c r="N529" s="12"/>
      <c r="O529" s="12"/>
      <c r="P529" s="15"/>
      <c r="Q529" s="7"/>
      <c r="R529" s="7"/>
      <c r="S529" s="7"/>
      <c r="T529" s="8"/>
      <c r="U529" s="8"/>
    </row>
    <row r="530" spans="1:21">
      <c r="A530" s="10"/>
      <c r="B530" s="11"/>
      <c r="C530" s="12"/>
      <c r="D530" s="13"/>
      <c r="E530" s="12"/>
      <c r="F530" s="12"/>
      <c r="G530" s="12"/>
      <c r="H530" s="12"/>
      <c r="I530" s="12"/>
      <c r="J530" s="14"/>
      <c r="K530" s="12"/>
      <c r="L530" s="12"/>
      <c r="M530" s="12"/>
      <c r="N530" s="12"/>
      <c r="O530" s="12"/>
      <c r="P530" s="15"/>
      <c r="Q530" s="7"/>
      <c r="R530" s="7"/>
      <c r="S530" s="7"/>
      <c r="T530" s="8"/>
      <c r="U530" s="8"/>
    </row>
    <row r="531" spans="1:21">
      <c r="A531" s="10"/>
      <c r="B531" s="11"/>
      <c r="C531" s="12"/>
      <c r="D531" s="13"/>
      <c r="E531" s="12"/>
      <c r="F531" s="12"/>
      <c r="G531" s="12"/>
      <c r="H531" s="12"/>
      <c r="I531" s="12"/>
      <c r="J531" s="14"/>
      <c r="K531" s="12"/>
      <c r="L531" s="12"/>
      <c r="M531" s="12"/>
      <c r="N531" s="12"/>
      <c r="O531" s="12"/>
      <c r="P531" s="15"/>
      <c r="Q531" s="7"/>
      <c r="R531" s="7"/>
      <c r="S531" s="7"/>
      <c r="T531" s="8"/>
      <c r="U531" s="8"/>
    </row>
    <row r="532" spans="1:21">
      <c r="A532" s="10"/>
      <c r="B532" s="11"/>
      <c r="C532" s="12"/>
      <c r="D532" s="13"/>
      <c r="E532" s="12"/>
      <c r="F532" s="12"/>
      <c r="G532" s="12"/>
      <c r="H532" s="12"/>
      <c r="I532" s="12"/>
      <c r="J532" s="14"/>
      <c r="K532" s="12"/>
      <c r="L532" s="12"/>
      <c r="M532" s="12"/>
      <c r="N532" s="12"/>
      <c r="O532" s="12"/>
      <c r="P532" s="15"/>
      <c r="Q532" s="7"/>
      <c r="R532" s="7"/>
      <c r="S532" s="7"/>
      <c r="T532" s="8"/>
      <c r="U532" s="8"/>
    </row>
    <row r="533" spans="1:21">
      <c r="A533" s="10"/>
      <c r="B533" s="11"/>
      <c r="C533" s="12"/>
      <c r="D533" s="13"/>
      <c r="E533" s="12"/>
      <c r="F533" s="12"/>
      <c r="G533" s="12"/>
      <c r="H533" s="12"/>
      <c r="I533" s="12"/>
      <c r="J533" s="14"/>
      <c r="K533" s="12"/>
      <c r="L533" s="12"/>
      <c r="M533" s="12"/>
      <c r="N533" s="12"/>
      <c r="O533" s="12"/>
      <c r="P533" s="15"/>
      <c r="Q533" s="7"/>
      <c r="R533" s="7"/>
      <c r="S533" s="7"/>
      <c r="T533" s="8"/>
      <c r="U533" s="8"/>
    </row>
    <row r="534" spans="1:21">
      <c r="A534" s="10"/>
      <c r="B534" s="11"/>
      <c r="C534" s="12"/>
      <c r="D534" s="13"/>
      <c r="E534" s="12"/>
      <c r="F534" s="12"/>
      <c r="G534" s="12"/>
      <c r="H534" s="12"/>
      <c r="I534" s="12"/>
      <c r="J534" s="14"/>
      <c r="K534" s="12"/>
      <c r="L534" s="12"/>
      <c r="M534" s="12"/>
      <c r="N534" s="12"/>
      <c r="O534" s="12"/>
      <c r="P534" s="15"/>
      <c r="Q534" s="7"/>
      <c r="R534" s="7"/>
      <c r="S534" s="7"/>
      <c r="T534" s="8"/>
      <c r="U534" s="8"/>
    </row>
    <row r="535" spans="1:21">
      <c r="A535" s="10"/>
      <c r="B535" s="11"/>
      <c r="C535" s="12"/>
      <c r="D535" s="13"/>
      <c r="E535" s="12"/>
      <c r="F535" s="12"/>
      <c r="G535" s="12"/>
      <c r="H535" s="12"/>
      <c r="I535" s="12"/>
      <c r="J535" s="14"/>
      <c r="K535" s="12"/>
      <c r="L535" s="12"/>
      <c r="M535" s="12"/>
      <c r="N535" s="12"/>
      <c r="O535" s="12"/>
      <c r="P535" s="15"/>
      <c r="Q535" s="7"/>
      <c r="R535" s="7"/>
      <c r="S535" s="7"/>
      <c r="T535" s="8"/>
      <c r="U535" s="8"/>
    </row>
    <row r="536" spans="1:21">
      <c r="A536" s="10"/>
      <c r="B536" s="11"/>
      <c r="C536" s="12"/>
      <c r="D536" s="13"/>
      <c r="E536" s="12"/>
      <c r="F536" s="12"/>
      <c r="G536" s="12"/>
      <c r="H536" s="12"/>
      <c r="I536" s="12"/>
      <c r="J536" s="14"/>
      <c r="K536" s="12"/>
      <c r="L536" s="12"/>
      <c r="M536" s="12"/>
      <c r="N536" s="12"/>
      <c r="O536" s="12"/>
      <c r="P536" s="15"/>
      <c r="Q536" s="7"/>
      <c r="R536" s="7"/>
      <c r="S536" s="7"/>
      <c r="T536" s="8"/>
      <c r="U536" s="8"/>
    </row>
    <row r="537" spans="1:21">
      <c r="A537" s="10"/>
      <c r="B537" s="11"/>
      <c r="C537" s="12"/>
      <c r="D537" s="13"/>
      <c r="E537" s="12"/>
      <c r="F537" s="12"/>
      <c r="G537" s="12"/>
      <c r="H537" s="12"/>
      <c r="I537" s="12"/>
      <c r="J537" s="14"/>
      <c r="K537" s="12"/>
      <c r="L537" s="12"/>
      <c r="M537" s="12"/>
      <c r="N537" s="12"/>
      <c r="O537" s="12"/>
      <c r="P537" s="15"/>
      <c r="Q537" s="7"/>
      <c r="R537" s="7"/>
      <c r="S537" s="7"/>
      <c r="T537" s="8"/>
      <c r="U537" s="8"/>
    </row>
    <row r="538" spans="1:21">
      <c r="A538" s="10"/>
      <c r="B538" s="11"/>
      <c r="C538" s="12"/>
      <c r="D538" s="13"/>
      <c r="E538" s="12"/>
      <c r="F538" s="12"/>
      <c r="G538" s="12"/>
      <c r="H538" s="12"/>
      <c r="I538" s="12"/>
      <c r="J538" s="14"/>
      <c r="K538" s="12"/>
      <c r="L538" s="12"/>
      <c r="M538" s="12"/>
      <c r="N538" s="12"/>
      <c r="O538" s="12"/>
      <c r="P538" s="15"/>
      <c r="Q538" s="7"/>
      <c r="R538" s="7"/>
      <c r="S538" s="7"/>
      <c r="T538" s="8"/>
      <c r="U538" s="8"/>
    </row>
    <row r="539" spans="1:21">
      <c r="A539" s="10"/>
      <c r="B539" s="11"/>
      <c r="C539" s="12"/>
      <c r="D539" s="13"/>
      <c r="E539" s="12"/>
      <c r="F539" s="12"/>
      <c r="G539" s="12"/>
      <c r="H539" s="12"/>
      <c r="I539" s="12"/>
      <c r="J539" s="14"/>
      <c r="K539" s="12"/>
      <c r="L539" s="12"/>
      <c r="M539" s="12"/>
      <c r="N539" s="12"/>
      <c r="O539" s="12"/>
      <c r="P539" s="15"/>
      <c r="Q539" s="7"/>
      <c r="R539" s="7"/>
      <c r="S539" s="7"/>
      <c r="T539" s="8"/>
      <c r="U539" s="8"/>
    </row>
    <row r="540" spans="1:21">
      <c r="A540" s="10"/>
      <c r="B540" s="11"/>
      <c r="C540" s="12"/>
      <c r="D540" s="13"/>
      <c r="E540" s="12"/>
      <c r="F540" s="12"/>
      <c r="G540" s="12"/>
      <c r="H540" s="12"/>
      <c r="I540" s="12"/>
      <c r="J540" s="14"/>
      <c r="K540" s="12"/>
      <c r="L540" s="12"/>
      <c r="M540" s="12"/>
      <c r="N540" s="12"/>
      <c r="O540" s="12"/>
      <c r="P540" s="15"/>
      <c r="Q540" s="7"/>
      <c r="R540" s="7"/>
      <c r="S540" s="7"/>
      <c r="T540" s="8"/>
      <c r="U540" s="8"/>
    </row>
    <row r="541" spans="1:21">
      <c r="A541" s="10"/>
      <c r="B541" s="11"/>
      <c r="C541" s="12"/>
      <c r="D541" s="13"/>
      <c r="E541" s="12"/>
      <c r="F541" s="12"/>
      <c r="G541" s="12"/>
      <c r="H541" s="12"/>
      <c r="I541" s="12"/>
      <c r="J541" s="14"/>
      <c r="K541" s="12"/>
      <c r="L541" s="12"/>
      <c r="M541" s="12"/>
      <c r="N541" s="12"/>
      <c r="O541" s="12"/>
      <c r="P541" s="15"/>
      <c r="Q541" s="7"/>
      <c r="R541" s="7"/>
      <c r="S541" s="7"/>
      <c r="T541" s="8"/>
      <c r="U541" s="8"/>
    </row>
    <row r="542" spans="1:21">
      <c r="A542" s="10"/>
      <c r="B542" s="11"/>
      <c r="C542" s="12"/>
      <c r="D542" s="13"/>
      <c r="E542" s="12"/>
      <c r="F542" s="12"/>
      <c r="G542" s="12"/>
      <c r="H542" s="12"/>
      <c r="I542" s="12"/>
      <c r="J542" s="14"/>
      <c r="K542" s="12"/>
      <c r="L542" s="12"/>
      <c r="M542" s="12"/>
      <c r="N542" s="12"/>
      <c r="O542" s="12"/>
      <c r="P542" s="15"/>
      <c r="Q542" s="7"/>
      <c r="R542" s="7"/>
      <c r="S542" s="7"/>
      <c r="T542" s="8"/>
      <c r="U542" s="8"/>
    </row>
    <row r="543" spans="1:21">
      <c r="A543" s="10"/>
      <c r="B543" s="11"/>
      <c r="C543" s="12"/>
      <c r="D543" s="13"/>
      <c r="E543" s="12"/>
      <c r="F543" s="12"/>
      <c r="G543" s="12"/>
      <c r="H543" s="12"/>
      <c r="I543" s="12"/>
      <c r="J543" s="14"/>
      <c r="K543" s="12"/>
      <c r="L543" s="12"/>
      <c r="M543" s="12"/>
      <c r="N543" s="12"/>
      <c r="O543" s="12"/>
      <c r="P543" s="15"/>
      <c r="Q543" s="7"/>
      <c r="R543" s="7"/>
      <c r="S543" s="7"/>
      <c r="T543" s="8"/>
      <c r="U543" s="8"/>
    </row>
    <row r="544" spans="1:21">
      <c r="A544" s="10"/>
      <c r="B544" s="11"/>
      <c r="C544" s="12"/>
      <c r="D544" s="13"/>
      <c r="E544" s="12"/>
      <c r="F544" s="12"/>
      <c r="G544" s="12"/>
      <c r="H544" s="12"/>
      <c r="I544" s="12"/>
      <c r="J544" s="14"/>
      <c r="K544" s="12"/>
      <c r="L544" s="12"/>
      <c r="M544" s="12"/>
      <c r="N544" s="12"/>
      <c r="O544" s="12"/>
      <c r="P544" s="15"/>
      <c r="Q544" s="7"/>
      <c r="R544" s="7"/>
      <c r="S544" s="7"/>
      <c r="T544" s="8"/>
      <c r="U544" s="8"/>
    </row>
    <row r="545" spans="1:21">
      <c r="A545" s="10"/>
      <c r="B545" s="11"/>
      <c r="C545" s="12"/>
      <c r="D545" s="13"/>
      <c r="E545" s="12"/>
      <c r="F545" s="12"/>
      <c r="G545" s="12"/>
      <c r="H545" s="12"/>
      <c r="I545" s="12"/>
      <c r="J545" s="14"/>
      <c r="K545" s="12"/>
      <c r="L545" s="12"/>
      <c r="M545" s="12"/>
      <c r="N545" s="12"/>
      <c r="O545" s="12"/>
      <c r="P545" s="15"/>
      <c r="Q545" s="7"/>
      <c r="R545" s="7"/>
      <c r="S545" s="7"/>
      <c r="T545" s="8"/>
      <c r="U545" s="8"/>
    </row>
    <row r="546" spans="1:21">
      <c r="A546" s="10"/>
      <c r="B546" s="11"/>
      <c r="C546" s="12"/>
      <c r="D546" s="13"/>
      <c r="E546" s="12"/>
      <c r="F546" s="12"/>
      <c r="G546" s="12"/>
      <c r="H546" s="12"/>
      <c r="I546" s="12"/>
      <c r="J546" s="14"/>
      <c r="K546" s="12"/>
      <c r="L546" s="12"/>
      <c r="M546" s="12"/>
      <c r="N546" s="12"/>
      <c r="O546" s="12"/>
      <c r="P546" s="15"/>
      <c r="Q546" s="7"/>
      <c r="R546" s="7"/>
      <c r="S546" s="7"/>
      <c r="T546" s="8"/>
      <c r="U546" s="8"/>
    </row>
    <row r="547" spans="1:21">
      <c r="A547" s="10"/>
      <c r="B547" s="11"/>
      <c r="C547" s="12"/>
      <c r="D547" s="13"/>
      <c r="E547" s="12"/>
      <c r="F547" s="12"/>
      <c r="G547" s="12"/>
      <c r="H547" s="12"/>
      <c r="I547" s="12"/>
      <c r="J547" s="14"/>
      <c r="K547" s="12"/>
      <c r="L547" s="12"/>
      <c r="M547" s="12"/>
      <c r="N547" s="12"/>
      <c r="O547" s="12"/>
      <c r="P547" s="15"/>
      <c r="Q547" s="7"/>
      <c r="R547" s="7"/>
      <c r="S547" s="7"/>
      <c r="T547" s="8"/>
      <c r="U547" s="8"/>
    </row>
    <row r="548" spans="1:21">
      <c r="A548" s="10"/>
      <c r="B548" s="11"/>
      <c r="C548" s="12"/>
      <c r="D548" s="13"/>
      <c r="E548" s="12"/>
      <c r="F548" s="12"/>
      <c r="G548" s="12"/>
      <c r="H548" s="12"/>
      <c r="I548" s="12"/>
      <c r="J548" s="14"/>
      <c r="K548" s="12"/>
      <c r="L548" s="12"/>
      <c r="M548" s="12"/>
      <c r="N548" s="12"/>
      <c r="O548" s="12"/>
      <c r="P548" s="15"/>
      <c r="Q548" s="7"/>
      <c r="R548" s="7"/>
      <c r="S548" s="7"/>
      <c r="T548" s="8"/>
      <c r="U548" s="8"/>
    </row>
    <row r="549" spans="1:21">
      <c r="A549" s="10"/>
      <c r="B549" s="11"/>
      <c r="C549" s="12"/>
      <c r="D549" s="13"/>
      <c r="E549" s="12"/>
      <c r="F549" s="12"/>
      <c r="G549" s="12"/>
      <c r="H549" s="12"/>
      <c r="I549" s="12"/>
      <c r="J549" s="14"/>
      <c r="K549" s="12"/>
      <c r="L549" s="12"/>
      <c r="M549" s="12"/>
      <c r="N549" s="12"/>
      <c r="O549" s="12"/>
      <c r="P549" s="15"/>
      <c r="Q549" s="7"/>
      <c r="R549" s="7"/>
      <c r="S549" s="7"/>
      <c r="T549" s="8"/>
      <c r="U549" s="8"/>
    </row>
    <row r="550" spans="1:21">
      <c r="A550" s="10"/>
      <c r="B550" s="11"/>
      <c r="C550" s="12"/>
      <c r="D550" s="13"/>
      <c r="E550" s="12"/>
      <c r="F550" s="12"/>
      <c r="G550" s="12"/>
      <c r="H550" s="12"/>
      <c r="I550" s="12"/>
      <c r="J550" s="14"/>
      <c r="K550" s="12"/>
      <c r="L550" s="12"/>
      <c r="M550" s="12"/>
      <c r="N550" s="12"/>
      <c r="O550" s="12"/>
      <c r="P550" s="15"/>
      <c r="Q550" s="7"/>
      <c r="R550" s="7"/>
      <c r="S550" s="7"/>
      <c r="T550" s="8"/>
      <c r="U550" s="8"/>
    </row>
    <row r="551" spans="1:21">
      <c r="A551" s="10"/>
      <c r="B551" s="11"/>
      <c r="C551" s="12"/>
      <c r="D551" s="13"/>
      <c r="E551" s="12"/>
      <c r="F551" s="12"/>
      <c r="G551" s="12"/>
      <c r="H551" s="12"/>
      <c r="I551" s="12"/>
      <c r="J551" s="14"/>
      <c r="K551" s="12"/>
      <c r="L551" s="12"/>
      <c r="M551" s="12"/>
      <c r="N551" s="12"/>
      <c r="O551" s="12"/>
      <c r="P551" s="15"/>
      <c r="Q551" s="7"/>
      <c r="R551" s="7"/>
      <c r="S551" s="7"/>
      <c r="T551" s="8"/>
      <c r="U551" s="8"/>
    </row>
    <row r="552" spans="1:21">
      <c r="A552" s="10"/>
      <c r="B552" s="11"/>
      <c r="C552" s="12"/>
      <c r="D552" s="13"/>
      <c r="E552" s="12"/>
      <c r="F552" s="12"/>
      <c r="G552" s="12"/>
      <c r="H552" s="12"/>
      <c r="I552" s="12"/>
      <c r="J552" s="14"/>
      <c r="K552" s="12"/>
      <c r="L552" s="12"/>
      <c r="M552" s="12"/>
      <c r="N552" s="12"/>
      <c r="O552" s="12"/>
      <c r="P552" s="15"/>
      <c r="Q552" s="7"/>
      <c r="R552" s="7"/>
      <c r="S552" s="7"/>
      <c r="T552" s="8"/>
      <c r="U552" s="8"/>
    </row>
    <row r="553" spans="1:21">
      <c r="A553" s="10"/>
      <c r="B553" s="11"/>
      <c r="C553" s="12"/>
      <c r="D553" s="13"/>
      <c r="E553" s="12"/>
      <c r="F553" s="12"/>
      <c r="G553" s="12"/>
      <c r="H553" s="12"/>
      <c r="I553" s="12"/>
      <c r="J553" s="14"/>
      <c r="K553" s="12"/>
      <c r="L553" s="12"/>
      <c r="M553" s="12"/>
      <c r="N553" s="12"/>
      <c r="O553" s="12"/>
      <c r="P553" s="15"/>
      <c r="Q553" s="7"/>
      <c r="R553" s="7"/>
      <c r="S553" s="7"/>
      <c r="T553" s="8"/>
      <c r="U553" s="8"/>
    </row>
    <row r="554" spans="1:21">
      <c r="A554" s="10"/>
      <c r="B554" s="11"/>
      <c r="C554" s="12"/>
      <c r="D554" s="13"/>
      <c r="E554" s="12"/>
      <c r="F554" s="12"/>
      <c r="G554" s="12"/>
      <c r="H554" s="12"/>
      <c r="I554" s="12"/>
      <c r="J554" s="14"/>
      <c r="K554" s="12"/>
      <c r="L554" s="12"/>
      <c r="M554" s="12"/>
      <c r="N554" s="12"/>
      <c r="O554" s="12"/>
      <c r="P554" s="15"/>
      <c r="Q554" s="7"/>
      <c r="R554" s="7"/>
      <c r="S554" s="7"/>
      <c r="T554" s="8"/>
      <c r="U554" s="8"/>
    </row>
    <row r="555" spans="1:21">
      <c r="A555" s="10"/>
      <c r="B555" s="11"/>
      <c r="C555" s="12"/>
      <c r="D555" s="13"/>
      <c r="E555" s="12"/>
      <c r="F555" s="12"/>
      <c r="G555" s="12"/>
      <c r="H555" s="12"/>
      <c r="I555" s="12"/>
      <c r="J555" s="14"/>
      <c r="K555" s="12"/>
      <c r="L555" s="12"/>
      <c r="M555" s="12"/>
      <c r="N555" s="12"/>
      <c r="O555" s="12"/>
      <c r="P555" s="15"/>
      <c r="Q555" s="7"/>
      <c r="R555" s="7"/>
      <c r="S555" s="7"/>
      <c r="T555" s="8"/>
      <c r="U555" s="8"/>
    </row>
    <row r="556" spans="1:21">
      <c r="A556" s="10"/>
      <c r="B556" s="11"/>
      <c r="C556" s="12"/>
      <c r="D556" s="13"/>
      <c r="E556" s="12"/>
      <c r="F556" s="12"/>
      <c r="G556" s="12"/>
      <c r="H556" s="12"/>
      <c r="I556" s="12"/>
      <c r="J556" s="14"/>
      <c r="K556" s="12"/>
      <c r="L556" s="12"/>
      <c r="M556" s="12"/>
      <c r="N556" s="12"/>
      <c r="O556" s="12"/>
      <c r="P556" s="15"/>
      <c r="Q556" s="7"/>
      <c r="R556" s="7"/>
      <c r="S556" s="7"/>
      <c r="T556" s="8"/>
      <c r="U556" s="8"/>
    </row>
    <row r="557" spans="1:21">
      <c r="A557" s="10"/>
      <c r="B557" s="11"/>
      <c r="C557" s="12"/>
      <c r="D557" s="13"/>
      <c r="E557" s="12"/>
      <c r="F557" s="12"/>
      <c r="G557" s="12"/>
      <c r="H557" s="12"/>
      <c r="I557" s="12"/>
      <c r="J557" s="14"/>
      <c r="K557" s="12"/>
      <c r="L557" s="12"/>
      <c r="M557" s="12"/>
      <c r="N557" s="12"/>
      <c r="O557" s="12"/>
      <c r="P557" s="15"/>
      <c r="Q557" s="7"/>
      <c r="R557" s="7"/>
      <c r="S557" s="7"/>
      <c r="T557" s="8"/>
      <c r="U557" s="8"/>
    </row>
    <row r="558" spans="1:21">
      <c r="A558" s="10"/>
      <c r="B558" s="11"/>
      <c r="C558" s="12"/>
      <c r="D558" s="13"/>
      <c r="E558" s="12"/>
      <c r="F558" s="12"/>
      <c r="G558" s="12"/>
      <c r="H558" s="12"/>
      <c r="I558" s="12"/>
      <c r="J558" s="14"/>
      <c r="K558" s="12"/>
      <c r="L558" s="12"/>
      <c r="M558" s="12"/>
      <c r="N558" s="12"/>
      <c r="O558" s="12"/>
      <c r="P558" s="15"/>
      <c r="Q558" s="7"/>
      <c r="R558" s="7"/>
      <c r="S558" s="7"/>
      <c r="T558" s="8"/>
      <c r="U558" s="8"/>
    </row>
    <row r="559" spans="1:21">
      <c r="A559" s="10"/>
      <c r="B559" s="11"/>
      <c r="C559" s="12"/>
      <c r="D559" s="13"/>
      <c r="E559" s="12"/>
      <c r="F559" s="12"/>
      <c r="G559" s="12"/>
      <c r="H559" s="12"/>
      <c r="I559" s="12"/>
      <c r="J559" s="14"/>
      <c r="K559" s="12"/>
      <c r="L559" s="12"/>
      <c r="M559" s="12"/>
      <c r="N559" s="12"/>
      <c r="O559" s="12"/>
      <c r="P559" s="15"/>
      <c r="Q559" s="7"/>
      <c r="R559" s="7"/>
      <c r="S559" s="7"/>
      <c r="T559" s="8"/>
      <c r="U559" s="8"/>
    </row>
    <row r="560" spans="1:21">
      <c r="A560" s="10"/>
      <c r="B560" s="11"/>
      <c r="C560" s="12"/>
      <c r="D560" s="13"/>
      <c r="E560" s="12"/>
      <c r="F560" s="12"/>
      <c r="G560" s="12"/>
      <c r="H560" s="12"/>
      <c r="I560" s="12"/>
      <c r="J560" s="14"/>
      <c r="K560" s="12"/>
      <c r="L560" s="12"/>
      <c r="M560" s="12"/>
      <c r="N560" s="12"/>
      <c r="O560" s="12"/>
      <c r="P560" s="15"/>
      <c r="Q560" s="7"/>
      <c r="R560" s="7"/>
      <c r="S560" s="7"/>
      <c r="T560" s="8"/>
      <c r="U560" s="8"/>
    </row>
    <row r="561" spans="1:21">
      <c r="A561" s="10"/>
      <c r="B561" s="11"/>
      <c r="C561" s="12"/>
      <c r="D561" s="13"/>
      <c r="E561" s="12"/>
      <c r="F561" s="12"/>
      <c r="G561" s="12"/>
      <c r="H561" s="12"/>
      <c r="I561" s="12"/>
      <c r="J561" s="14"/>
      <c r="K561" s="12"/>
      <c r="L561" s="12"/>
      <c r="M561" s="12"/>
      <c r="N561" s="12"/>
      <c r="O561" s="12"/>
      <c r="P561" s="15"/>
      <c r="Q561" s="7"/>
      <c r="R561" s="7"/>
      <c r="S561" s="7"/>
      <c r="T561" s="8"/>
      <c r="U561" s="8"/>
    </row>
    <row r="562" spans="1:21">
      <c r="A562" s="10"/>
      <c r="B562" s="11"/>
      <c r="C562" s="12"/>
      <c r="D562" s="13"/>
      <c r="E562" s="12"/>
      <c r="F562" s="12"/>
      <c r="G562" s="12"/>
      <c r="H562" s="12"/>
      <c r="I562" s="12"/>
      <c r="J562" s="14"/>
      <c r="K562" s="12"/>
      <c r="L562" s="12"/>
      <c r="M562" s="12"/>
      <c r="N562" s="12"/>
      <c r="O562" s="12"/>
      <c r="P562" s="15"/>
      <c r="Q562" s="7"/>
      <c r="R562" s="7"/>
      <c r="S562" s="7"/>
      <c r="T562" s="8"/>
      <c r="U562" s="8"/>
    </row>
    <row r="563" spans="1:21">
      <c r="A563" s="10"/>
      <c r="B563" s="11"/>
      <c r="C563" s="12"/>
      <c r="D563" s="13"/>
      <c r="E563" s="12"/>
      <c r="F563" s="12"/>
      <c r="G563" s="12"/>
      <c r="H563" s="12"/>
      <c r="I563" s="12"/>
      <c r="J563" s="14"/>
      <c r="K563" s="12"/>
      <c r="L563" s="12"/>
      <c r="M563" s="12"/>
      <c r="N563" s="12"/>
      <c r="O563" s="12"/>
      <c r="P563" s="15"/>
      <c r="Q563" s="7"/>
      <c r="R563" s="7"/>
      <c r="S563" s="7"/>
      <c r="T563" s="8"/>
      <c r="U563" s="8"/>
    </row>
    <row r="564" spans="1:21">
      <c r="A564" s="10"/>
      <c r="B564" s="11"/>
      <c r="C564" s="12"/>
      <c r="D564" s="13"/>
      <c r="E564" s="12"/>
      <c r="F564" s="12"/>
      <c r="G564" s="12"/>
      <c r="H564" s="12"/>
      <c r="I564" s="12"/>
      <c r="J564" s="14"/>
      <c r="K564" s="12"/>
      <c r="L564" s="12"/>
      <c r="M564" s="12"/>
      <c r="N564" s="12"/>
      <c r="O564" s="12"/>
      <c r="P564" s="15"/>
      <c r="Q564" s="7"/>
      <c r="R564" s="7"/>
      <c r="S564" s="7"/>
      <c r="T564" s="8"/>
      <c r="U564" s="8"/>
    </row>
    <row r="565" spans="1:21">
      <c r="A565" s="10"/>
      <c r="B565" s="19"/>
      <c r="C565" s="12"/>
      <c r="D565" s="13"/>
      <c r="E565" s="12"/>
      <c r="F565" s="12"/>
      <c r="G565" s="12"/>
      <c r="H565" s="12"/>
      <c r="I565" s="12"/>
      <c r="J565" s="14"/>
      <c r="K565" s="12"/>
      <c r="L565" s="12"/>
      <c r="M565" s="12"/>
      <c r="N565" s="12"/>
      <c r="O565" s="12"/>
      <c r="P565" s="15"/>
      <c r="Q565" s="7"/>
      <c r="R565" s="7"/>
      <c r="S565" s="7"/>
      <c r="T565" s="8"/>
      <c r="U565" s="8"/>
    </row>
    <row r="566" spans="1:21">
      <c r="A566" s="10"/>
      <c r="B566" s="19"/>
      <c r="C566" s="12"/>
      <c r="D566" s="13"/>
      <c r="E566" s="12"/>
      <c r="F566" s="12"/>
      <c r="G566" s="12"/>
      <c r="H566" s="12"/>
      <c r="I566" s="12"/>
      <c r="J566" s="14"/>
      <c r="K566" s="12"/>
      <c r="L566" s="12"/>
      <c r="M566" s="12"/>
      <c r="N566" s="12"/>
      <c r="O566" s="12"/>
      <c r="P566" s="15"/>
      <c r="Q566" s="7"/>
      <c r="R566" s="7"/>
      <c r="S566" s="7"/>
      <c r="T566" s="8"/>
      <c r="U566" s="8"/>
    </row>
    <row r="567" spans="1:21">
      <c r="A567" s="10"/>
      <c r="B567" s="19"/>
      <c r="C567" s="12"/>
      <c r="D567" s="13"/>
      <c r="E567" s="12"/>
      <c r="F567" s="12"/>
      <c r="G567" s="12"/>
      <c r="H567" s="12"/>
      <c r="I567" s="12"/>
      <c r="J567" s="14"/>
      <c r="K567" s="12"/>
      <c r="L567" s="12"/>
      <c r="M567" s="12"/>
      <c r="N567" s="12"/>
      <c r="O567" s="12"/>
      <c r="P567" s="15"/>
      <c r="Q567" s="7"/>
      <c r="R567" s="7"/>
      <c r="S567" s="7"/>
      <c r="T567" s="8"/>
      <c r="U567" s="8"/>
    </row>
    <row r="568" spans="1:21">
      <c r="A568" s="10"/>
      <c r="B568" s="19"/>
      <c r="C568" s="12"/>
      <c r="D568" s="13"/>
      <c r="E568" s="12"/>
      <c r="F568" s="12"/>
      <c r="G568" s="12"/>
      <c r="H568" s="12"/>
      <c r="I568" s="12"/>
      <c r="J568" s="14"/>
      <c r="K568" s="12"/>
      <c r="L568" s="12"/>
      <c r="M568" s="12"/>
      <c r="N568" s="12"/>
      <c r="O568" s="12"/>
      <c r="P568" s="15"/>
      <c r="Q568" s="7"/>
      <c r="R568" s="7"/>
      <c r="S568" s="7"/>
      <c r="T568" s="8"/>
      <c r="U568" s="8"/>
    </row>
    <row r="569" spans="1:21">
      <c r="A569" s="10"/>
      <c r="B569" s="19"/>
      <c r="C569" s="12"/>
      <c r="D569" s="13"/>
      <c r="E569" s="12"/>
      <c r="F569" s="12"/>
      <c r="G569" s="12"/>
      <c r="H569" s="12"/>
      <c r="I569" s="12"/>
      <c r="J569" s="14"/>
      <c r="K569" s="12"/>
      <c r="L569" s="12"/>
      <c r="M569" s="12"/>
      <c r="N569" s="12"/>
      <c r="O569" s="12"/>
      <c r="P569" s="15"/>
      <c r="Q569" s="7"/>
      <c r="R569" s="7"/>
      <c r="S569" s="7"/>
      <c r="T569" s="8"/>
      <c r="U569" s="8"/>
    </row>
    <row r="570" spans="1:21">
      <c r="A570" s="10"/>
      <c r="B570" s="19"/>
      <c r="C570" s="12"/>
      <c r="D570" s="13"/>
      <c r="E570" s="12"/>
      <c r="F570" s="12"/>
      <c r="G570" s="12"/>
      <c r="H570" s="12"/>
      <c r="I570" s="12"/>
      <c r="J570" s="14"/>
      <c r="K570" s="12"/>
      <c r="L570" s="12"/>
      <c r="M570" s="12"/>
      <c r="N570" s="12"/>
      <c r="O570" s="12"/>
      <c r="P570" s="15"/>
      <c r="Q570" s="7"/>
      <c r="R570" s="7"/>
      <c r="S570" s="7"/>
      <c r="T570" s="8"/>
      <c r="U570" s="8"/>
    </row>
    <row r="571" spans="1:21">
      <c r="A571" s="10"/>
      <c r="B571" s="19"/>
      <c r="C571" s="12"/>
      <c r="D571" s="13"/>
      <c r="E571" s="12"/>
      <c r="F571" s="12"/>
      <c r="G571" s="12"/>
      <c r="H571" s="12"/>
      <c r="I571" s="12"/>
      <c r="J571" s="14"/>
      <c r="K571" s="12"/>
      <c r="L571" s="12"/>
      <c r="M571" s="12"/>
      <c r="N571" s="12"/>
      <c r="O571" s="12"/>
      <c r="P571" s="15"/>
      <c r="Q571" s="7"/>
      <c r="R571" s="7"/>
      <c r="S571" s="7"/>
      <c r="T571" s="8"/>
      <c r="U571" s="8"/>
    </row>
    <row r="572" spans="1:21">
      <c r="A572" s="10"/>
      <c r="B572" s="19"/>
      <c r="C572" s="12"/>
      <c r="D572" s="13"/>
      <c r="E572" s="12"/>
      <c r="F572" s="12"/>
      <c r="G572" s="12"/>
      <c r="H572" s="12"/>
      <c r="I572" s="12"/>
      <c r="J572" s="14"/>
      <c r="K572" s="12"/>
      <c r="L572" s="12"/>
      <c r="M572" s="12"/>
      <c r="N572" s="12"/>
      <c r="O572" s="12"/>
      <c r="P572" s="15"/>
      <c r="Q572" s="7"/>
      <c r="R572" s="7"/>
      <c r="S572" s="7"/>
      <c r="T572" s="8"/>
      <c r="U572" s="8"/>
    </row>
    <row r="573" spans="1:21">
      <c r="A573" s="10"/>
      <c r="B573" s="19"/>
      <c r="C573" s="12"/>
      <c r="D573" s="13"/>
      <c r="E573" s="12"/>
      <c r="F573" s="12"/>
      <c r="G573" s="12"/>
      <c r="H573" s="12"/>
      <c r="I573" s="12"/>
      <c r="J573" s="14"/>
      <c r="K573" s="12"/>
      <c r="L573" s="12"/>
      <c r="M573" s="12"/>
      <c r="N573" s="12"/>
      <c r="O573" s="12"/>
      <c r="P573" s="15"/>
      <c r="Q573" s="7"/>
      <c r="R573" s="7"/>
      <c r="S573" s="7"/>
      <c r="T573" s="8"/>
      <c r="U573" s="8"/>
    </row>
    <row r="574" spans="1:21">
      <c r="A574" s="10"/>
      <c r="B574" s="19"/>
      <c r="C574" s="12"/>
      <c r="D574" s="13"/>
      <c r="E574" s="12"/>
      <c r="F574" s="12"/>
      <c r="G574" s="12"/>
      <c r="H574" s="12"/>
      <c r="I574" s="12"/>
      <c r="J574" s="14"/>
      <c r="K574" s="12"/>
      <c r="L574" s="12"/>
      <c r="M574" s="12"/>
      <c r="N574" s="12"/>
      <c r="O574" s="12"/>
      <c r="P574" s="15"/>
      <c r="Q574" s="7"/>
      <c r="R574" s="7"/>
      <c r="S574" s="7"/>
      <c r="T574" s="8"/>
      <c r="U574" s="8"/>
    </row>
    <row r="575" spans="1:21">
      <c r="A575" s="10"/>
      <c r="B575" s="19"/>
      <c r="C575" s="12"/>
      <c r="D575" s="13"/>
      <c r="E575" s="12"/>
      <c r="F575" s="12"/>
      <c r="G575" s="12"/>
      <c r="H575" s="12"/>
      <c r="I575" s="12"/>
      <c r="J575" s="14"/>
      <c r="K575" s="12"/>
      <c r="L575" s="12"/>
      <c r="M575" s="12"/>
      <c r="N575" s="12"/>
      <c r="O575" s="12"/>
      <c r="P575" s="15"/>
      <c r="Q575" s="7"/>
      <c r="R575" s="7"/>
      <c r="S575" s="7"/>
      <c r="T575" s="8"/>
      <c r="U575" s="8"/>
    </row>
    <row r="576" spans="1:21">
      <c r="A576" s="10"/>
      <c r="B576" s="19"/>
      <c r="C576" s="12"/>
      <c r="D576" s="13"/>
      <c r="E576" s="12"/>
      <c r="F576" s="12"/>
      <c r="G576" s="12"/>
      <c r="H576" s="12"/>
      <c r="I576" s="12"/>
      <c r="J576" s="14"/>
      <c r="K576" s="12"/>
      <c r="L576" s="12"/>
      <c r="M576" s="12"/>
      <c r="N576" s="12"/>
      <c r="O576" s="12"/>
      <c r="P576" s="15"/>
      <c r="Q576" s="7"/>
      <c r="R576" s="7"/>
      <c r="S576" s="7"/>
      <c r="T576" s="8"/>
      <c r="U576" s="8"/>
    </row>
    <row r="577" spans="1:21">
      <c r="A577" s="10"/>
      <c r="B577" s="19"/>
      <c r="C577" s="12"/>
      <c r="D577" s="13"/>
      <c r="E577" s="12"/>
      <c r="F577" s="12"/>
      <c r="G577" s="12"/>
      <c r="H577" s="12"/>
      <c r="I577" s="12"/>
      <c r="J577" s="14"/>
      <c r="K577" s="12"/>
      <c r="L577" s="12"/>
      <c r="M577" s="12"/>
      <c r="N577" s="12"/>
      <c r="O577" s="12"/>
      <c r="P577" s="15"/>
      <c r="Q577" s="7"/>
      <c r="R577" s="7"/>
      <c r="S577" s="7"/>
      <c r="T577" s="8"/>
      <c r="U577" s="8"/>
    </row>
    <row r="578" spans="1:21">
      <c r="A578" s="10"/>
      <c r="B578" s="19"/>
      <c r="C578" s="12"/>
      <c r="D578" s="13"/>
      <c r="E578" s="12"/>
      <c r="F578" s="12"/>
      <c r="G578" s="12"/>
      <c r="H578" s="12"/>
      <c r="I578" s="12"/>
      <c r="J578" s="14"/>
      <c r="K578" s="12"/>
      <c r="L578" s="12"/>
      <c r="M578" s="12"/>
      <c r="N578" s="12"/>
      <c r="O578" s="12"/>
      <c r="P578" s="15"/>
      <c r="Q578" s="7"/>
      <c r="R578" s="7"/>
      <c r="S578" s="7"/>
      <c r="T578" s="8"/>
      <c r="U578" s="8"/>
    </row>
    <row r="579" spans="1:21">
      <c r="A579" s="10"/>
      <c r="B579" s="19"/>
      <c r="C579" s="12"/>
      <c r="D579" s="13"/>
      <c r="E579" s="12"/>
      <c r="F579" s="12"/>
      <c r="G579" s="12"/>
      <c r="H579" s="12"/>
      <c r="I579" s="12"/>
      <c r="J579" s="14"/>
      <c r="K579" s="12"/>
      <c r="L579" s="12"/>
      <c r="M579" s="12"/>
      <c r="N579" s="12"/>
      <c r="O579" s="12"/>
      <c r="P579" s="15"/>
      <c r="Q579" s="7"/>
      <c r="R579" s="7"/>
      <c r="S579" s="7"/>
      <c r="T579" s="8"/>
      <c r="U579" s="8"/>
    </row>
    <row r="580" spans="1:21">
      <c r="A580" s="10"/>
      <c r="B580" s="19"/>
      <c r="C580" s="12"/>
      <c r="D580" s="13"/>
      <c r="E580" s="12"/>
      <c r="F580" s="12"/>
      <c r="G580" s="12"/>
      <c r="H580" s="12"/>
      <c r="I580" s="12"/>
      <c r="J580" s="14"/>
      <c r="K580" s="12"/>
      <c r="L580" s="12"/>
      <c r="M580" s="12"/>
      <c r="N580" s="12"/>
      <c r="O580" s="12"/>
      <c r="P580" s="15"/>
      <c r="Q580" s="7"/>
      <c r="R580" s="7"/>
      <c r="S580" s="7"/>
      <c r="T580" s="8"/>
      <c r="U580" s="8"/>
    </row>
    <row r="581" spans="1:21">
      <c r="A581" s="10"/>
      <c r="B581" s="19"/>
      <c r="C581" s="12"/>
      <c r="D581" s="13"/>
      <c r="E581" s="12"/>
      <c r="F581" s="12"/>
      <c r="G581" s="12"/>
      <c r="H581" s="12"/>
      <c r="I581" s="12"/>
      <c r="J581" s="14"/>
      <c r="K581" s="12"/>
      <c r="L581" s="12"/>
      <c r="M581" s="12"/>
      <c r="N581" s="12"/>
      <c r="O581" s="12"/>
      <c r="P581" s="15"/>
      <c r="Q581" s="7"/>
      <c r="R581" s="7"/>
      <c r="S581" s="7"/>
      <c r="T581" s="8"/>
      <c r="U581" s="8"/>
    </row>
    <row r="582" spans="1:21">
      <c r="A582" s="10"/>
      <c r="B582" s="19"/>
      <c r="C582" s="12"/>
      <c r="D582" s="13"/>
      <c r="E582" s="12"/>
      <c r="F582" s="12"/>
      <c r="G582" s="12"/>
      <c r="H582" s="12"/>
      <c r="I582" s="12"/>
      <c r="J582" s="14"/>
      <c r="K582" s="12"/>
      <c r="L582" s="12"/>
      <c r="M582" s="12"/>
      <c r="N582" s="12"/>
      <c r="O582" s="12"/>
      <c r="P582" s="15"/>
      <c r="Q582" s="7"/>
      <c r="R582" s="7"/>
      <c r="S582" s="7"/>
      <c r="T582" s="8"/>
      <c r="U582" s="8"/>
    </row>
    <row r="583" spans="1:21">
      <c r="A583" s="10"/>
      <c r="B583" s="19"/>
      <c r="C583" s="12"/>
      <c r="D583" s="13"/>
      <c r="E583" s="12"/>
      <c r="F583" s="12"/>
      <c r="G583" s="12"/>
      <c r="H583" s="12"/>
      <c r="I583" s="12"/>
      <c r="J583" s="14"/>
      <c r="K583" s="12"/>
      <c r="L583" s="12"/>
      <c r="M583" s="12"/>
      <c r="N583" s="12"/>
      <c r="O583" s="12"/>
      <c r="P583" s="15"/>
      <c r="Q583" s="7"/>
      <c r="R583" s="7"/>
      <c r="S583" s="7"/>
      <c r="T583" s="8"/>
      <c r="U583" s="8"/>
    </row>
    <row r="584" spans="1:21">
      <c r="A584" s="10"/>
      <c r="B584" s="19"/>
      <c r="C584" s="12"/>
      <c r="D584" s="13"/>
      <c r="E584" s="12"/>
      <c r="F584" s="12"/>
      <c r="G584" s="12"/>
      <c r="H584" s="12"/>
      <c r="I584" s="12"/>
      <c r="J584" s="14"/>
      <c r="K584" s="12"/>
      <c r="L584" s="12"/>
      <c r="M584" s="12"/>
      <c r="N584" s="12"/>
      <c r="O584" s="12"/>
      <c r="P584" s="15"/>
      <c r="Q584" s="7"/>
      <c r="R584" s="7"/>
      <c r="S584" s="7"/>
      <c r="T584" s="8"/>
      <c r="U584" s="8"/>
    </row>
    <row r="585" spans="1:21">
      <c r="A585" s="10"/>
      <c r="B585" s="19"/>
      <c r="C585" s="12"/>
      <c r="D585" s="13"/>
      <c r="E585" s="12"/>
      <c r="F585" s="12"/>
      <c r="G585" s="12"/>
      <c r="H585" s="12"/>
      <c r="I585" s="12"/>
      <c r="J585" s="14"/>
      <c r="K585" s="12"/>
      <c r="L585" s="12"/>
      <c r="M585" s="12"/>
      <c r="N585" s="12"/>
      <c r="O585" s="12"/>
      <c r="P585" s="15"/>
      <c r="Q585" s="7"/>
      <c r="R585" s="7"/>
      <c r="S585" s="7"/>
      <c r="T585" s="8"/>
      <c r="U585" s="8"/>
    </row>
    <row r="586" spans="1:21">
      <c r="A586" s="10"/>
      <c r="B586" s="19"/>
      <c r="C586" s="12"/>
      <c r="D586" s="13"/>
      <c r="E586" s="12"/>
      <c r="F586" s="12"/>
      <c r="G586" s="12"/>
      <c r="H586" s="12"/>
      <c r="I586" s="12"/>
      <c r="J586" s="14"/>
      <c r="K586" s="12"/>
      <c r="L586" s="12"/>
      <c r="M586" s="12"/>
      <c r="N586" s="12"/>
      <c r="O586" s="12"/>
      <c r="P586" s="15"/>
      <c r="Q586" s="7"/>
      <c r="R586" s="7"/>
      <c r="S586" s="7"/>
      <c r="T586" s="8"/>
      <c r="U586" s="8"/>
    </row>
    <row r="587" spans="1:21">
      <c r="A587" s="10"/>
      <c r="B587" s="19"/>
      <c r="C587" s="12"/>
      <c r="D587" s="13"/>
      <c r="E587" s="12"/>
      <c r="F587" s="12"/>
      <c r="G587" s="12"/>
      <c r="H587" s="12"/>
      <c r="I587" s="12"/>
      <c r="J587" s="14"/>
      <c r="K587" s="12"/>
      <c r="L587" s="12"/>
      <c r="M587" s="12"/>
      <c r="N587" s="12"/>
      <c r="O587" s="12"/>
      <c r="P587" s="15"/>
      <c r="Q587" s="7"/>
      <c r="R587" s="7"/>
      <c r="S587" s="7"/>
      <c r="T587" s="8"/>
      <c r="U587" s="8"/>
    </row>
    <row r="588" spans="1:21">
      <c r="A588" s="10"/>
      <c r="B588" s="19"/>
      <c r="C588" s="12"/>
      <c r="D588" s="13"/>
      <c r="E588" s="12"/>
      <c r="F588" s="12"/>
      <c r="G588" s="12"/>
      <c r="H588" s="12"/>
      <c r="I588" s="12"/>
      <c r="J588" s="14"/>
      <c r="K588" s="12"/>
      <c r="L588" s="12"/>
      <c r="M588" s="12"/>
      <c r="N588" s="12"/>
      <c r="O588" s="12"/>
      <c r="P588" s="15"/>
      <c r="Q588" s="7"/>
      <c r="R588" s="7"/>
      <c r="S588" s="7"/>
      <c r="T588" s="8"/>
      <c r="U588" s="8"/>
    </row>
    <row r="589" spans="1:21">
      <c r="A589" s="10"/>
      <c r="B589" s="19"/>
      <c r="C589" s="12"/>
      <c r="D589" s="13"/>
      <c r="E589" s="12"/>
      <c r="F589" s="12"/>
      <c r="G589" s="12"/>
      <c r="H589" s="12"/>
      <c r="I589" s="12"/>
      <c r="J589" s="14"/>
      <c r="K589" s="12"/>
      <c r="L589" s="12"/>
      <c r="M589" s="12"/>
      <c r="N589" s="12"/>
      <c r="O589" s="12"/>
      <c r="P589" s="15"/>
      <c r="Q589" s="7"/>
      <c r="R589" s="7"/>
      <c r="S589" s="7"/>
      <c r="T589" s="8"/>
      <c r="U589" s="8"/>
    </row>
    <row r="590" spans="1:21">
      <c r="A590" s="10"/>
      <c r="B590" s="19"/>
      <c r="C590" s="12"/>
      <c r="D590" s="13"/>
      <c r="E590" s="12"/>
      <c r="F590" s="12"/>
      <c r="G590" s="12"/>
      <c r="H590" s="12"/>
      <c r="I590" s="12"/>
      <c r="J590" s="14"/>
      <c r="K590" s="12"/>
      <c r="L590" s="12"/>
      <c r="M590" s="12"/>
      <c r="N590" s="12"/>
      <c r="O590" s="12"/>
      <c r="P590" s="15"/>
      <c r="Q590" s="7"/>
      <c r="R590" s="7"/>
      <c r="S590" s="7"/>
      <c r="T590" s="8"/>
      <c r="U590" s="8"/>
    </row>
    <row r="591" spans="1:21">
      <c r="A591" s="10"/>
      <c r="B591" s="19"/>
      <c r="C591" s="12"/>
      <c r="D591" s="13"/>
      <c r="E591" s="12"/>
      <c r="F591" s="12"/>
      <c r="G591" s="12"/>
      <c r="H591" s="12"/>
      <c r="I591" s="12"/>
      <c r="J591" s="14"/>
      <c r="K591" s="12"/>
      <c r="L591" s="12"/>
      <c r="M591" s="12"/>
      <c r="N591" s="12"/>
      <c r="O591" s="12"/>
      <c r="P591" s="15"/>
      <c r="Q591" s="7"/>
      <c r="R591" s="7"/>
      <c r="S591" s="7"/>
      <c r="T591" s="8"/>
      <c r="U591" s="8"/>
    </row>
    <row r="592" spans="1:21">
      <c r="A592" s="10"/>
      <c r="B592" s="19"/>
      <c r="C592" s="12"/>
      <c r="D592" s="13"/>
      <c r="E592" s="12"/>
      <c r="F592" s="12"/>
      <c r="G592" s="12"/>
      <c r="H592" s="12"/>
      <c r="I592" s="12"/>
      <c r="J592" s="14"/>
      <c r="K592" s="12"/>
      <c r="L592" s="12"/>
      <c r="M592" s="12"/>
      <c r="N592" s="12"/>
      <c r="O592" s="12"/>
      <c r="P592" s="15"/>
      <c r="Q592" s="7"/>
      <c r="R592" s="7"/>
      <c r="S592" s="7"/>
      <c r="T592" s="8"/>
      <c r="U592" s="8"/>
    </row>
    <row r="593" spans="1:21">
      <c r="A593" s="10"/>
      <c r="B593" s="19"/>
      <c r="C593" s="12"/>
      <c r="D593" s="13"/>
      <c r="E593" s="12"/>
      <c r="F593" s="12"/>
      <c r="G593" s="12"/>
      <c r="H593" s="12"/>
      <c r="I593" s="12"/>
      <c r="J593" s="14"/>
      <c r="K593" s="12"/>
      <c r="L593" s="12"/>
      <c r="M593" s="12"/>
      <c r="N593" s="12"/>
      <c r="O593" s="12"/>
      <c r="P593" s="15"/>
      <c r="Q593" s="7"/>
      <c r="R593" s="7"/>
      <c r="S593" s="7"/>
      <c r="T593" s="8"/>
      <c r="U593" s="8"/>
    </row>
    <row r="594" spans="1:21">
      <c r="A594" s="10"/>
      <c r="B594" s="19"/>
      <c r="C594" s="12"/>
      <c r="D594" s="13"/>
      <c r="E594" s="12"/>
      <c r="F594" s="12"/>
      <c r="G594" s="12"/>
      <c r="H594" s="12"/>
      <c r="I594" s="12"/>
      <c r="J594" s="14"/>
      <c r="K594" s="12"/>
      <c r="L594" s="12"/>
      <c r="M594" s="12"/>
      <c r="N594" s="12"/>
      <c r="O594" s="12"/>
      <c r="P594" s="15"/>
      <c r="Q594" s="7"/>
      <c r="R594" s="7"/>
      <c r="S594" s="7"/>
      <c r="T594" s="8"/>
      <c r="U594" s="8"/>
    </row>
    <row r="595" spans="1:21">
      <c r="A595" s="10"/>
      <c r="B595" s="19"/>
      <c r="C595" s="12"/>
      <c r="D595" s="13"/>
      <c r="E595" s="12"/>
      <c r="F595" s="12"/>
      <c r="G595" s="12"/>
      <c r="H595" s="12"/>
      <c r="I595" s="12"/>
      <c r="J595" s="14"/>
      <c r="K595" s="12"/>
      <c r="L595" s="12"/>
      <c r="M595" s="12"/>
      <c r="N595" s="12"/>
      <c r="O595" s="12"/>
      <c r="P595" s="15"/>
      <c r="Q595" s="7"/>
      <c r="R595" s="7"/>
      <c r="S595" s="7"/>
      <c r="T595" s="8"/>
      <c r="U595" s="8"/>
    </row>
    <row r="596" spans="1:21">
      <c r="A596" s="10"/>
      <c r="B596" s="19"/>
      <c r="C596" s="12"/>
      <c r="D596" s="13"/>
      <c r="E596" s="12"/>
      <c r="F596" s="12"/>
      <c r="G596" s="12"/>
      <c r="H596" s="12"/>
      <c r="I596" s="12"/>
      <c r="J596" s="14"/>
      <c r="K596" s="12"/>
      <c r="L596" s="12"/>
      <c r="M596" s="12"/>
      <c r="N596" s="12"/>
      <c r="O596" s="12"/>
      <c r="P596" s="15"/>
      <c r="Q596" s="7"/>
      <c r="R596" s="7"/>
      <c r="S596" s="7"/>
      <c r="T596" s="8"/>
      <c r="U596" s="8"/>
    </row>
    <row r="597" spans="1:21">
      <c r="A597" s="10"/>
      <c r="B597" s="19"/>
      <c r="C597" s="12"/>
      <c r="D597" s="13"/>
      <c r="E597" s="12"/>
      <c r="F597" s="12"/>
      <c r="G597" s="12"/>
      <c r="H597" s="12"/>
      <c r="I597" s="12"/>
      <c r="J597" s="14"/>
      <c r="K597" s="12"/>
      <c r="L597" s="12"/>
      <c r="M597" s="12"/>
      <c r="N597" s="12"/>
      <c r="O597" s="12"/>
      <c r="P597" s="15"/>
      <c r="Q597" s="7"/>
      <c r="R597" s="7"/>
      <c r="S597" s="7"/>
      <c r="T597" s="8"/>
      <c r="U597" s="8"/>
    </row>
    <row r="598" spans="1:21">
      <c r="A598" s="10"/>
      <c r="B598" s="19"/>
      <c r="C598" s="12"/>
      <c r="D598" s="13"/>
      <c r="E598" s="12"/>
      <c r="F598" s="12"/>
      <c r="G598" s="12"/>
      <c r="H598" s="12"/>
      <c r="I598" s="12"/>
      <c r="J598" s="14"/>
      <c r="K598" s="12"/>
      <c r="L598" s="12"/>
      <c r="M598" s="12"/>
      <c r="N598" s="12"/>
      <c r="O598" s="12"/>
      <c r="P598" s="15"/>
      <c r="Q598" s="7"/>
      <c r="R598" s="7"/>
      <c r="S598" s="7"/>
      <c r="T598" s="8"/>
      <c r="U598" s="8"/>
    </row>
    <row r="599" spans="1:21">
      <c r="A599" s="10"/>
      <c r="B599" s="19"/>
      <c r="C599" s="12"/>
      <c r="D599" s="13"/>
      <c r="E599" s="12"/>
      <c r="F599" s="12"/>
      <c r="G599" s="12"/>
      <c r="H599" s="12"/>
      <c r="I599" s="12"/>
      <c r="J599" s="14"/>
      <c r="K599" s="12"/>
      <c r="L599" s="12"/>
      <c r="M599" s="12"/>
      <c r="N599" s="12"/>
      <c r="O599" s="12"/>
      <c r="P599" s="15"/>
      <c r="Q599" s="7"/>
      <c r="R599" s="7"/>
      <c r="S599" s="7"/>
      <c r="T599" s="8"/>
      <c r="U599" s="8"/>
    </row>
    <row r="600" spans="1:21">
      <c r="A600" s="10"/>
      <c r="B600" s="19"/>
      <c r="C600" s="12"/>
      <c r="D600" s="13"/>
      <c r="E600" s="12"/>
      <c r="F600" s="12"/>
      <c r="G600" s="12"/>
      <c r="H600" s="12"/>
      <c r="I600" s="12"/>
      <c r="J600" s="14"/>
      <c r="K600" s="12"/>
      <c r="L600" s="12"/>
      <c r="M600" s="12"/>
      <c r="N600" s="12"/>
      <c r="O600" s="12"/>
      <c r="P600" s="15"/>
      <c r="Q600" s="7"/>
      <c r="R600" s="7"/>
      <c r="S600" s="7"/>
      <c r="T600" s="8"/>
      <c r="U600" s="8"/>
    </row>
    <row r="601" spans="1:21">
      <c r="A601" s="10"/>
      <c r="B601" s="19"/>
      <c r="C601" s="12"/>
      <c r="D601" s="13"/>
      <c r="E601" s="12"/>
      <c r="F601" s="12"/>
      <c r="G601" s="12"/>
      <c r="H601" s="12"/>
      <c r="I601" s="12"/>
      <c r="J601" s="14"/>
      <c r="K601" s="12"/>
      <c r="L601" s="12"/>
      <c r="M601" s="12"/>
      <c r="N601" s="12"/>
      <c r="O601" s="12"/>
      <c r="P601" s="15"/>
      <c r="Q601" s="7"/>
      <c r="R601" s="7"/>
      <c r="S601" s="7"/>
      <c r="T601" s="8"/>
      <c r="U601" s="8"/>
    </row>
    <row r="602" spans="1:21">
      <c r="A602" s="10"/>
      <c r="B602" s="19"/>
      <c r="C602" s="12"/>
      <c r="D602" s="13"/>
      <c r="E602" s="12"/>
      <c r="F602" s="12"/>
      <c r="G602" s="12"/>
      <c r="H602" s="12"/>
      <c r="I602" s="12"/>
      <c r="J602" s="14"/>
      <c r="K602" s="12"/>
      <c r="L602" s="12"/>
      <c r="M602" s="12"/>
      <c r="N602" s="12"/>
      <c r="O602" s="12"/>
      <c r="P602" s="15"/>
      <c r="Q602" s="7"/>
      <c r="R602" s="7"/>
      <c r="S602" s="7"/>
      <c r="T602" s="8"/>
      <c r="U602" s="8"/>
    </row>
    <row r="603" spans="1:21">
      <c r="A603" s="10"/>
      <c r="B603" s="19"/>
      <c r="C603" s="12"/>
      <c r="D603" s="13"/>
      <c r="E603" s="12"/>
      <c r="F603" s="12"/>
      <c r="G603" s="12"/>
      <c r="H603" s="12"/>
      <c r="I603" s="12"/>
      <c r="J603" s="14"/>
      <c r="K603" s="12"/>
      <c r="L603" s="12"/>
      <c r="M603" s="12"/>
      <c r="N603" s="12"/>
      <c r="O603" s="12"/>
      <c r="P603" s="15"/>
      <c r="Q603" s="7"/>
      <c r="R603" s="7"/>
      <c r="S603" s="7"/>
      <c r="T603" s="8"/>
      <c r="U603" s="8"/>
    </row>
    <row r="604" spans="1:21">
      <c r="A604" s="10"/>
      <c r="B604" s="19"/>
      <c r="C604" s="12"/>
      <c r="D604" s="13"/>
      <c r="E604" s="12"/>
      <c r="F604" s="12"/>
      <c r="G604" s="12"/>
      <c r="H604" s="12"/>
      <c r="I604" s="12"/>
      <c r="J604" s="14"/>
      <c r="K604" s="12"/>
      <c r="L604" s="12"/>
      <c r="M604" s="12"/>
      <c r="N604" s="12"/>
      <c r="O604" s="12"/>
      <c r="P604" s="15"/>
      <c r="Q604" s="7"/>
      <c r="R604" s="7"/>
      <c r="S604" s="7"/>
      <c r="T604" s="8"/>
      <c r="U604" s="8"/>
    </row>
    <row r="605" spans="1:21">
      <c r="A605" s="10"/>
      <c r="B605" s="19"/>
      <c r="C605" s="12"/>
      <c r="D605" s="13"/>
      <c r="E605" s="12"/>
      <c r="F605" s="12"/>
      <c r="G605" s="12"/>
      <c r="H605" s="12"/>
      <c r="I605" s="12"/>
      <c r="J605" s="14"/>
      <c r="K605" s="12"/>
      <c r="L605" s="12"/>
      <c r="M605" s="12"/>
      <c r="N605" s="12"/>
      <c r="O605" s="12"/>
      <c r="P605" s="15"/>
      <c r="Q605" s="7"/>
      <c r="R605" s="7"/>
      <c r="S605" s="7"/>
      <c r="T605" s="8"/>
      <c r="U605" s="8"/>
    </row>
    <row r="606" spans="1:21">
      <c r="A606" s="10"/>
      <c r="B606" s="19"/>
      <c r="C606" s="12"/>
      <c r="D606" s="13"/>
      <c r="E606" s="12"/>
      <c r="F606" s="12"/>
      <c r="G606" s="12"/>
      <c r="H606" s="12"/>
      <c r="I606" s="12"/>
      <c r="J606" s="14"/>
      <c r="K606" s="12"/>
      <c r="L606" s="12"/>
      <c r="M606" s="12"/>
      <c r="N606" s="12"/>
      <c r="O606" s="12"/>
      <c r="P606" s="15"/>
      <c r="Q606" s="7"/>
      <c r="R606" s="7"/>
      <c r="S606" s="7"/>
      <c r="T606" s="8"/>
      <c r="U606" s="8"/>
    </row>
    <row r="607" spans="1:21">
      <c r="A607" s="10"/>
      <c r="B607" s="19"/>
      <c r="C607" s="12"/>
      <c r="D607" s="13"/>
      <c r="E607" s="12"/>
      <c r="F607" s="12"/>
      <c r="G607" s="12"/>
      <c r="H607" s="12"/>
      <c r="I607" s="12"/>
      <c r="J607" s="14"/>
      <c r="K607" s="12"/>
      <c r="L607" s="12"/>
      <c r="M607" s="12"/>
      <c r="N607" s="12"/>
      <c r="O607" s="12"/>
      <c r="P607" s="15"/>
      <c r="Q607" s="7"/>
      <c r="R607" s="7"/>
      <c r="S607" s="7"/>
      <c r="T607" s="8"/>
      <c r="U607" s="8"/>
    </row>
    <row r="608" spans="1:21">
      <c r="A608" s="10"/>
      <c r="B608" s="19"/>
      <c r="C608" s="12"/>
      <c r="D608" s="13"/>
      <c r="E608" s="12"/>
      <c r="F608" s="12"/>
      <c r="G608" s="12"/>
      <c r="H608" s="12"/>
      <c r="I608" s="12"/>
      <c r="J608" s="14"/>
      <c r="K608" s="12"/>
      <c r="L608" s="12"/>
      <c r="M608" s="12"/>
      <c r="N608" s="12"/>
      <c r="O608" s="12"/>
      <c r="P608" s="15"/>
      <c r="Q608" s="7"/>
      <c r="R608" s="7"/>
      <c r="S608" s="7"/>
      <c r="T608" s="8"/>
      <c r="U608" s="8"/>
    </row>
    <row r="609" spans="1:21">
      <c r="A609" s="10"/>
      <c r="B609" s="19"/>
      <c r="C609" s="12"/>
      <c r="D609" s="13"/>
      <c r="E609" s="12"/>
      <c r="F609" s="12"/>
      <c r="G609" s="12"/>
      <c r="H609" s="12"/>
      <c r="I609" s="12"/>
      <c r="J609" s="14"/>
      <c r="K609" s="12"/>
      <c r="L609" s="12"/>
      <c r="M609" s="12"/>
      <c r="N609" s="12"/>
      <c r="O609" s="12"/>
      <c r="P609" s="15"/>
      <c r="Q609" s="7"/>
      <c r="R609" s="7"/>
      <c r="S609" s="7"/>
      <c r="T609" s="8"/>
      <c r="U609" s="8"/>
    </row>
    <row r="610" spans="1:21">
      <c r="A610" s="10"/>
      <c r="B610" s="19"/>
      <c r="C610" s="12"/>
      <c r="D610" s="13"/>
      <c r="E610" s="12"/>
      <c r="F610" s="12"/>
      <c r="G610" s="12"/>
      <c r="H610" s="12"/>
      <c r="I610" s="12"/>
      <c r="J610" s="14"/>
      <c r="K610" s="12"/>
      <c r="L610" s="12"/>
      <c r="M610" s="12"/>
      <c r="N610" s="12"/>
      <c r="O610" s="12"/>
      <c r="P610" s="15"/>
      <c r="Q610" s="7"/>
      <c r="R610" s="7"/>
      <c r="S610" s="7"/>
      <c r="T610" s="8"/>
      <c r="U610" s="8"/>
    </row>
    <row r="611" spans="1:21">
      <c r="A611" s="10"/>
      <c r="B611" s="19"/>
      <c r="C611" s="12"/>
      <c r="D611" s="13"/>
      <c r="E611" s="12"/>
      <c r="F611" s="12"/>
      <c r="G611" s="12"/>
      <c r="H611" s="12"/>
      <c r="I611" s="12"/>
      <c r="J611" s="14"/>
      <c r="K611" s="12"/>
      <c r="L611" s="12"/>
      <c r="M611" s="12"/>
      <c r="N611" s="12"/>
      <c r="O611" s="12"/>
      <c r="P611" s="15"/>
      <c r="Q611" s="7"/>
      <c r="R611" s="7"/>
      <c r="S611" s="7"/>
      <c r="T611" s="8"/>
      <c r="U611" s="8"/>
    </row>
    <row r="612" spans="1:21">
      <c r="A612" s="10"/>
      <c r="B612" s="19"/>
      <c r="C612" s="12"/>
      <c r="D612" s="13"/>
      <c r="E612" s="12"/>
      <c r="F612" s="12"/>
      <c r="G612" s="12"/>
      <c r="H612" s="12"/>
      <c r="I612" s="12"/>
      <c r="J612" s="14"/>
      <c r="K612" s="12"/>
      <c r="L612" s="12"/>
      <c r="M612" s="12"/>
      <c r="N612" s="12"/>
      <c r="O612" s="12"/>
      <c r="P612" s="15"/>
      <c r="Q612" s="7"/>
      <c r="R612" s="7"/>
      <c r="S612" s="7"/>
      <c r="T612" s="8"/>
      <c r="U612" s="8"/>
    </row>
    <row r="613" spans="1:21">
      <c r="A613" s="10"/>
      <c r="B613" s="19"/>
      <c r="C613" s="12"/>
      <c r="D613" s="13"/>
      <c r="E613" s="12"/>
      <c r="F613" s="12"/>
      <c r="G613" s="12"/>
      <c r="H613" s="12"/>
      <c r="I613" s="12"/>
      <c r="J613" s="14"/>
      <c r="K613" s="12"/>
      <c r="L613" s="12"/>
      <c r="M613" s="12"/>
      <c r="N613" s="12"/>
      <c r="O613" s="12"/>
      <c r="P613" s="15"/>
      <c r="Q613" s="7"/>
      <c r="R613" s="7"/>
      <c r="S613" s="7"/>
      <c r="T613" s="8"/>
      <c r="U613" s="8"/>
    </row>
    <row r="614" spans="1:21">
      <c r="A614" s="10"/>
      <c r="B614" s="19"/>
      <c r="C614" s="12"/>
      <c r="D614" s="13"/>
      <c r="E614" s="12"/>
      <c r="F614" s="12"/>
      <c r="G614" s="12"/>
      <c r="H614" s="12"/>
      <c r="I614" s="12"/>
      <c r="J614" s="14"/>
      <c r="K614" s="12"/>
      <c r="L614" s="12"/>
      <c r="M614" s="12"/>
      <c r="N614" s="12"/>
      <c r="O614" s="12"/>
      <c r="P614" s="15"/>
      <c r="Q614" s="7"/>
      <c r="R614" s="7"/>
      <c r="S614" s="7"/>
      <c r="T614" s="8"/>
      <c r="U614" s="8"/>
    </row>
    <row r="615" spans="1:21">
      <c r="A615" s="10"/>
      <c r="B615" s="19"/>
      <c r="C615" s="12"/>
      <c r="D615" s="13"/>
      <c r="E615" s="12"/>
      <c r="F615" s="12"/>
      <c r="G615" s="12"/>
      <c r="H615" s="12"/>
      <c r="I615" s="12"/>
      <c r="J615" s="14"/>
      <c r="K615" s="12"/>
      <c r="L615" s="12"/>
      <c r="M615" s="12"/>
      <c r="N615" s="12"/>
      <c r="O615" s="12"/>
      <c r="P615" s="15"/>
      <c r="Q615" s="7"/>
      <c r="R615" s="7"/>
      <c r="S615" s="7"/>
      <c r="T615" s="8"/>
      <c r="U615" s="8"/>
    </row>
    <row r="616" spans="1:21">
      <c r="A616" s="10"/>
      <c r="B616" s="19"/>
      <c r="C616" s="12"/>
      <c r="D616" s="13"/>
      <c r="E616" s="12"/>
      <c r="F616" s="12"/>
      <c r="G616" s="12"/>
      <c r="H616" s="12"/>
      <c r="I616" s="12"/>
      <c r="J616" s="14"/>
      <c r="K616" s="12"/>
      <c r="L616" s="12"/>
      <c r="M616" s="12"/>
      <c r="N616" s="12"/>
      <c r="O616" s="12"/>
      <c r="P616" s="15"/>
      <c r="Q616" s="7"/>
      <c r="R616" s="7"/>
      <c r="S616" s="7"/>
      <c r="T616" s="8"/>
      <c r="U616" s="8"/>
    </row>
    <row r="617" spans="1:21">
      <c r="A617" s="10"/>
      <c r="B617" s="19"/>
      <c r="C617" s="12"/>
      <c r="D617" s="13"/>
      <c r="E617" s="12"/>
      <c r="F617" s="12"/>
      <c r="G617" s="12"/>
      <c r="H617" s="12"/>
      <c r="I617" s="12"/>
      <c r="J617" s="14"/>
      <c r="K617" s="12"/>
      <c r="L617" s="12"/>
      <c r="M617" s="12"/>
      <c r="N617" s="12"/>
      <c r="O617" s="12"/>
      <c r="P617" s="15"/>
      <c r="Q617" s="7"/>
      <c r="R617" s="7"/>
      <c r="S617" s="7"/>
      <c r="T617" s="8"/>
      <c r="U617" s="8"/>
    </row>
    <row r="618" spans="1:21">
      <c r="A618" s="10"/>
      <c r="B618" s="19"/>
      <c r="C618" s="12"/>
      <c r="D618" s="13"/>
      <c r="E618" s="12"/>
      <c r="F618" s="12"/>
      <c r="G618" s="12"/>
      <c r="H618" s="12"/>
      <c r="I618" s="12"/>
      <c r="J618" s="14"/>
      <c r="K618" s="12"/>
      <c r="L618" s="12"/>
      <c r="M618" s="12"/>
      <c r="N618" s="12"/>
      <c r="O618" s="12"/>
      <c r="P618" s="15"/>
      <c r="Q618" s="7"/>
      <c r="R618" s="7"/>
      <c r="S618" s="7"/>
      <c r="T618" s="8"/>
      <c r="U618" s="8"/>
    </row>
    <row r="619" spans="1:21">
      <c r="A619" s="10"/>
      <c r="B619" s="19"/>
      <c r="C619" s="12"/>
      <c r="D619" s="13"/>
      <c r="E619" s="12"/>
      <c r="F619" s="12"/>
      <c r="G619" s="12"/>
      <c r="H619" s="12"/>
      <c r="I619" s="12"/>
      <c r="J619" s="14"/>
      <c r="K619" s="12"/>
      <c r="L619" s="12"/>
      <c r="M619" s="12"/>
      <c r="N619" s="12"/>
      <c r="O619" s="12"/>
      <c r="P619" s="15"/>
      <c r="Q619" s="7"/>
      <c r="R619" s="7"/>
      <c r="S619" s="7"/>
      <c r="T619" s="8"/>
      <c r="U619" s="8"/>
    </row>
    <row r="620" spans="1:21">
      <c r="A620" s="10"/>
      <c r="B620" s="19"/>
      <c r="C620" s="12"/>
      <c r="D620" s="13"/>
      <c r="E620" s="12"/>
      <c r="F620" s="12"/>
      <c r="G620" s="12"/>
      <c r="H620" s="12"/>
      <c r="I620" s="12"/>
      <c r="J620" s="14"/>
      <c r="K620" s="12"/>
      <c r="L620" s="12"/>
      <c r="M620" s="12"/>
      <c r="N620" s="12"/>
      <c r="O620" s="12"/>
      <c r="P620" s="15"/>
      <c r="Q620" s="7"/>
      <c r="R620" s="7"/>
      <c r="S620" s="7"/>
      <c r="T620" s="8"/>
      <c r="U620" s="8"/>
    </row>
    <row r="621" spans="1:21">
      <c r="A621" s="10"/>
      <c r="B621" s="19"/>
      <c r="C621" s="12"/>
      <c r="D621" s="13"/>
      <c r="E621" s="12"/>
      <c r="F621" s="12"/>
      <c r="G621" s="12"/>
      <c r="H621" s="12"/>
      <c r="I621" s="12"/>
      <c r="J621" s="14"/>
      <c r="K621" s="12"/>
      <c r="L621" s="12"/>
      <c r="M621" s="12"/>
      <c r="N621" s="12"/>
      <c r="O621" s="12"/>
      <c r="P621" s="15"/>
      <c r="Q621" s="7"/>
      <c r="R621" s="7"/>
      <c r="S621" s="7"/>
      <c r="T621" s="8"/>
      <c r="U621" s="8"/>
    </row>
    <row r="622" spans="1:21">
      <c r="A622" s="10"/>
      <c r="B622" s="19"/>
      <c r="C622" s="12"/>
      <c r="D622" s="13"/>
      <c r="E622" s="12"/>
      <c r="F622" s="12"/>
      <c r="G622" s="12"/>
      <c r="H622" s="12"/>
      <c r="I622" s="12"/>
      <c r="J622" s="14"/>
      <c r="K622" s="12"/>
      <c r="L622" s="12"/>
      <c r="M622" s="12"/>
      <c r="N622" s="12"/>
      <c r="O622" s="12"/>
      <c r="P622" s="15"/>
      <c r="Q622" s="7"/>
      <c r="R622" s="7"/>
      <c r="S622" s="7"/>
      <c r="T622" s="8"/>
      <c r="U622" s="8"/>
    </row>
    <row r="623" spans="1:21">
      <c r="A623" s="10"/>
      <c r="B623" s="19"/>
      <c r="C623" s="12"/>
      <c r="D623" s="13"/>
      <c r="E623" s="12"/>
      <c r="F623" s="12"/>
      <c r="G623" s="12"/>
      <c r="H623" s="12"/>
      <c r="I623" s="12"/>
      <c r="J623" s="14"/>
      <c r="K623" s="12"/>
      <c r="L623" s="12"/>
      <c r="M623" s="12"/>
      <c r="N623" s="12"/>
      <c r="O623" s="12"/>
      <c r="P623" s="15"/>
      <c r="Q623" s="7"/>
      <c r="R623" s="7"/>
      <c r="S623" s="7"/>
      <c r="T623" s="8"/>
      <c r="U623" s="8"/>
    </row>
    <row r="624" spans="1:21">
      <c r="A624" s="10"/>
      <c r="B624" s="19"/>
      <c r="C624" s="12"/>
      <c r="D624" s="13"/>
      <c r="E624" s="12"/>
      <c r="F624" s="12"/>
      <c r="G624" s="12"/>
      <c r="H624" s="12"/>
      <c r="I624" s="12"/>
      <c r="J624" s="14"/>
      <c r="K624" s="12"/>
      <c r="L624" s="12"/>
      <c r="M624" s="12"/>
      <c r="N624" s="12"/>
      <c r="O624" s="12"/>
      <c r="P624" s="15"/>
      <c r="Q624" s="7"/>
      <c r="R624" s="7"/>
      <c r="S624" s="7"/>
      <c r="T624" s="8"/>
      <c r="U624" s="8"/>
    </row>
    <row r="625" spans="1:21">
      <c r="A625" s="10"/>
      <c r="B625" s="19"/>
      <c r="C625" s="12"/>
      <c r="D625" s="13"/>
      <c r="E625" s="12"/>
      <c r="F625" s="12"/>
      <c r="G625" s="12"/>
      <c r="H625" s="12"/>
      <c r="I625" s="12"/>
      <c r="J625" s="14"/>
      <c r="K625" s="12"/>
      <c r="L625" s="12"/>
      <c r="M625" s="12"/>
      <c r="N625" s="12"/>
      <c r="O625" s="12"/>
      <c r="P625" s="15"/>
      <c r="Q625" s="7"/>
      <c r="R625" s="7"/>
      <c r="S625" s="7"/>
      <c r="T625" s="8"/>
      <c r="U625" s="8"/>
    </row>
    <row r="626" spans="1:21">
      <c r="A626" s="10"/>
      <c r="B626" s="19"/>
      <c r="C626" s="12"/>
      <c r="D626" s="13"/>
      <c r="E626" s="12"/>
      <c r="F626" s="12"/>
      <c r="G626" s="12"/>
      <c r="H626" s="12"/>
      <c r="I626" s="12"/>
      <c r="J626" s="14"/>
      <c r="K626" s="12"/>
      <c r="L626" s="12"/>
      <c r="M626" s="12"/>
      <c r="N626" s="12"/>
      <c r="O626" s="12"/>
      <c r="P626" s="15"/>
      <c r="Q626" s="7"/>
      <c r="R626" s="7"/>
      <c r="S626" s="7"/>
      <c r="T626" s="8"/>
      <c r="U626" s="8"/>
    </row>
    <row r="627" spans="1:21">
      <c r="A627" s="10"/>
      <c r="B627" s="19"/>
      <c r="C627" s="12"/>
      <c r="D627" s="13"/>
      <c r="E627" s="12"/>
      <c r="F627" s="12"/>
      <c r="G627" s="12"/>
      <c r="H627" s="12"/>
      <c r="I627" s="12"/>
      <c r="J627" s="14"/>
      <c r="K627" s="12"/>
      <c r="L627" s="12"/>
      <c r="M627" s="12"/>
      <c r="N627" s="12"/>
      <c r="O627" s="12"/>
      <c r="P627" s="15"/>
      <c r="Q627" s="7"/>
      <c r="R627" s="7"/>
      <c r="S627" s="7"/>
      <c r="T627" s="8"/>
      <c r="U627" s="8"/>
    </row>
    <row r="628" spans="1:21">
      <c r="A628" s="10"/>
      <c r="B628" s="19"/>
      <c r="C628" s="12"/>
      <c r="D628" s="13"/>
      <c r="E628" s="12"/>
      <c r="F628" s="12"/>
      <c r="G628" s="12"/>
      <c r="H628" s="12"/>
      <c r="I628" s="12"/>
      <c r="J628" s="14"/>
      <c r="K628" s="12"/>
      <c r="L628" s="12"/>
      <c r="M628" s="12"/>
      <c r="N628" s="12"/>
      <c r="O628" s="12"/>
      <c r="P628" s="15"/>
      <c r="Q628" s="7"/>
      <c r="R628" s="7"/>
      <c r="S628" s="7"/>
      <c r="T628" s="8"/>
      <c r="U628" s="8"/>
    </row>
    <row r="629" spans="1:21">
      <c r="A629" s="10"/>
      <c r="B629" s="19"/>
      <c r="C629" s="12"/>
      <c r="D629" s="13"/>
      <c r="E629" s="12"/>
      <c r="F629" s="12"/>
      <c r="G629" s="12"/>
      <c r="H629" s="12"/>
      <c r="I629" s="12"/>
      <c r="J629" s="14"/>
      <c r="K629" s="12"/>
      <c r="L629" s="12"/>
      <c r="M629" s="12"/>
      <c r="N629" s="12"/>
      <c r="O629" s="12"/>
      <c r="P629" s="15"/>
      <c r="Q629" s="7"/>
      <c r="R629" s="7"/>
      <c r="S629" s="7"/>
      <c r="T629" s="8"/>
      <c r="U629" s="8"/>
    </row>
    <row r="630" spans="1:21">
      <c r="A630" s="10"/>
      <c r="B630" s="19"/>
      <c r="C630" s="12"/>
      <c r="D630" s="13"/>
      <c r="E630" s="12"/>
      <c r="F630" s="12"/>
      <c r="G630" s="12"/>
      <c r="H630" s="12"/>
      <c r="I630" s="12"/>
      <c r="J630" s="14"/>
      <c r="K630" s="12"/>
      <c r="L630" s="12"/>
      <c r="M630" s="12"/>
      <c r="N630" s="12"/>
      <c r="O630" s="12"/>
      <c r="P630" s="15"/>
      <c r="Q630" s="7"/>
      <c r="R630" s="7"/>
      <c r="S630" s="7"/>
      <c r="T630" s="8"/>
      <c r="U630" s="8"/>
    </row>
    <row r="631" spans="1:21">
      <c r="A631" s="10"/>
      <c r="B631" s="19"/>
      <c r="C631" s="12"/>
      <c r="D631" s="13"/>
      <c r="E631" s="12"/>
      <c r="F631" s="12"/>
      <c r="G631" s="12"/>
      <c r="H631" s="12"/>
      <c r="I631" s="12"/>
      <c r="J631" s="14"/>
      <c r="K631" s="12"/>
      <c r="L631" s="12"/>
      <c r="M631" s="12"/>
      <c r="N631" s="12"/>
      <c r="O631" s="12"/>
      <c r="P631" s="15"/>
      <c r="Q631" s="7"/>
      <c r="R631" s="7"/>
      <c r="S631" s="7"/>
      <c r="T631" s="8"/>
      <c r="U631" s="8"/>
    </row>
    <row r="632" spans="1:21">
      <c r="A632" s="10"/>
      <c r="B632" s="19"/>
      <c r="C632" s="12"/>
      <c r="D632" s="13"/>
      <c r="E632" s="12"/>
      <c r="F632" s="12"/>
      <c r="G632" s="12"/>
      <c r="H632" s="12"/>
      <c r="I632" s="12"/>
      <c r="J632" s="14"/>
      <c r="K632" s="12"/>
      <c r="L632" s="12"/>
      <c r="M632" s="12"/>
      <c r="N632" s="12"/>
      <c r="O632" s="12"/>
      <c r="P632" s="15"/>
      <c r="Q632" s="7"/>
      <c r="R632" s="7"/>
      <c r="S632" s="7"/>
      <c r="T632" s="8"/>
      <c r="U632" s="8"/>
    </row>
    <row r="633" spans="1:21">
      <c r="A633" s="10"/>
      <c r="B633" s="19"/>
      <c r="C633" s="12"/>
      <c r="D633" s="13"/>
      <c r="E633" s="12"/>
      <c r="F633" s="12"/>
      <c r="G633" s="12"/>
      <c r="H633" s="12"/>
      <c r="I633" s="12"/>
      <c r="J633" s="14"/>
      <c r="K633" s="12"/>
      <c r="L633" s="12"/>
      <c r="M633" s="12"/>
      <c r="N633" s="12"/>
      <c r="O633" s="12"/>
      <c r="P633" s="15"/>
      <c r="Q633" s="7"/>
      <c r="R633" s="7"/>
      <c r="S633" s="7"/>
      <c r="T633" s="8"/>
      <c r="U633" s="8"/>
    </row>
    <row r="634" spans="1:21">
      <c r="A634" s="10"/>
      <c r="B634" s="19"/>
      <c r="C634" s="12"/>
      <c r="D634" s="13"/>
      <c r="E634" s="12"/>
      <c r="F634" s="12"/>
      <c r="G634" s="12"/>
      <c r="H634" s="12"/>
      <c r="I634" s="12"/>
      <c r="J634" s="14"/>
      <c r="K634" s="12"/>
      <c r="L634" s="12"/>
      <c r="M634" s="12"/>
      <c r="N634" s="12"/>
      <c r="O634" s="12"/>
      <c r="P634" s="15"/>
      <c r="Q634" s="7"/>
      <c r="R634" s="7"/>
      <c r="S634" s="7"/>
      <c r="T634" s="8"/>
      <c r="U634" s="8"/>
    </row>
    <row r="635" spans="1:21">
      <c r="A635" s="10"/>
      <c r="B635" s="19"/>
      <c r="C635" s="12"/>
      <c r="D635" s="13"/>
      <c r="E635" s="12"/>
      <c r="F635" s="12"/>
      <c r="G635" s="12"/>
      <c r="H635" s="12"/>
      <c r="I635" s="12"/>
      <c r="J635" s="14"/>
      <c r="K635" s="12"/>
      <c r="L635" s="12"/>
      <c r="M635" s="12"/>
      <c r="N635" s="12"/>
      <c r="O635" s="12"/>
      <c r="P635" s="15"/>
      <c r="Q635" s="7"/>
      <c r="R635" s="7"/>
      <c r="S635" s="7"/>
      <c r="T635" s="8"/>
      <c r="U635" s="8"/>
    </row>
    <row r="636" spans="1:21">
      <c r="A636" s="10"/>
      <c r="B636" s="19"/>
      <c r="C636" s="12"/>
      <c r="D636" s="13"/>
      <c r="E636" s="12"/>
      <c r="F636" s="12"/>
      <c r="G636" s="12"/>
      <c r="H636" s="12"/>
      <c r="I636" s="12"/>
      <c r="J636" s="14"/>
      <c r="K636" s="12"/>
      <c r="L636" s="12"/>
      <c r="M636" s="12"/>
      <c r="N636" s="12"/>
      <c r="O636" s="12"/>
      <c r="P636" s="15"/>
      <c r="Q636" s="7"/>
      <c r="R636" s="7"/>
      <c r="S636" s="7"/>
      <c r="T636" s="8"/>
      <c r="U636" s="8"/>
    </row>
    <row r="637" spans="1:21">
      <c r="A637" s="10"/>
      <c r="B637" s="19"/>
      <c r="C637" s="12"/>
      <c r="D637" s="13"/>
      <c r="E637" s="12"/>
      <c r="F637" s="12"/>
      <c r="G637" s="12"/>
      <c r="H637" s="12"/>
      <c r="I637" s="12"/>
      <c r="J637" s="14"/>
      <c r="K637" s="12"/>
      <c r="L637" s="12"/>
      <c r="M637" s="12"/>
      <c r="N637" s="12"/>
      <c r="O637" s="12"/>
      <c r="P637" s="15"/>
      <c r="Q637" s="7"/>
      <c r="R637" s="7"/>
      <c r="S637" s="7"/>
      <c r="T637" s="8"/>
      <c r="U637" s="8"/>
    </row>
    <row r="638" spans="1:21">
      <c r="A638" s="10"/>
      <c r="B638" s="19"/>
      <c r="C638" s="12"/>
      <c r="D638" s="13"/>
      <c r="E638" s="12"/>
      <c r="F638" s="12"/>
      <c r="G638" s="12"/>
      <c r="H638" s="12"/>
      <c r="I638" s="12"/>
      <c r="J638" s="14"/>
      <c r="K638" s="12"/>
      <c r="L638" s="12"/>
      <c r="M638" s="12"/>
      <c r="N638" s="12"/>
      <c r="O638" s="12"/>
      <c r="P638" s="15"/>
      <c r="Q638" s="7"/>
      <c r="R638" s="7"/>
      <c r="S638" s="7"/>
      <c r="T638" s="8"/>
      <c r="U638" s="8"/>
    </row>
    <row r="639" spans="1:21">
      <c r="A639" s="10"/>
      <c r="B639" s="19"/>
      <c r="C639" s="12"/>
      <c r="D639" s="13"/>
      <c r="E639" s="12"/>
      <c r="F639" s="12"/>
      <c r="G639" s="12"/>
      <c r="H639" s="12"/>
      <c r="I639" s="12"/>
      <c r="J639" s="14"/>
      <c r="K639" s="12"/>
      <c r="L639" s="12"/>
      <c r="M639" s="12"/>
      <c r="N639" s="12"/>
      <c r="O639" s="12"/>
      <c r="P639" s="15"/>
      <c r="Q639" s="7"/>
      <c r="R639" s="7"/>
      <c r="S639" s="7"/>
      <c r="T639" s="8"/>
      <c r="U639" s="8"/>
    </row>
    <row r="640" spans="1:21">
      <c r="A640" s="10"/>
      <c r="B640" s="19"/>
      <c r="C640" s="12"/>
      <c r="D640" s="13"/>
      <c r="E640" s="12"/>
      <c r="F640" s="12"/>
      <c r="G640" s="12"/>
      <c r="H640" s="12"/>
      <c r="I640" s="12"/>
      <c r="J640" s="14"/>
      <c r="K640" s="12"/>
      <c r="L640" s="12"/>
      <c r="M640" s="12"/>
      <c r="N640" s="12"/>
      <c r="O640" s="12"/>
      <c r="P640" s="15"/>
      <c r="Q640" s="7"/>
      <c r="R640" s="7"/>
      <c r="S640" s="7"/>
      <c r="T640" s="8"/>
      <c r="U640" s="8"/>
    </row>
    <row r="641" spans="1:21">
      <c r="A641" s="10"/>
      <c r="B641" s="19"/>
      <c r="C641" s="12"/>
      <c r="D641" s="13"/>
      <c r="E641" s="12"/>
      <c r="F641" s="12"/>
      <c r="G641" s="12"/>
      <c r="H641" s="12"/>
      <c r="I641" s="12"/>
      <c r="J641" s="14"/>
      <c r="K641" s="12"/>
      <c r="L641" s="12"/>
      <c r="M641" s="12"/>
      <c r="N641" s="12"/>
      <c r="O641" s="12"/>
      <c r="P641" s="15"/>
      <c r="Q641" s="7"/>
      <c r="R641" s="7"/>
      <c r="S641" s="7"/>
      <c r="T641" s="8"/>
      <c r="U641" s="8"/>
    </row>
    <row r="642" spans="1:21">
      <c r="A642" s="10"/>
      <c r="B642" s="19"/>
      <c r="C642" s="12"/>
      <c r="D642" s="13"/>
      <c r="E642" s="12"/>
      <c r="F642" s="12"/>
      <c r="G642" s="12"/>
      <c r="H642" s="12"/>
      <c r="I642" s="12"/>
      <c r="J642" s="14"/>
      <c r="K642" s="12"/>
      <c r="L642" s="12"/>
      <c r="M642" s="12"/>
      <c r="N642" s="12"/>
      <c r="O642" s="12"/>
      <c r="P642" s="15"/>
      <c r="Q642" s="7"/>
      <c r="R642" s="7"/>
      <c r="S642" s="7"/>
      <c r="T642" s="8"/>
      <c r="U642" s="8"/>
    </row>
    <row r="643" spans="1:21">
      <c r="A643" s="10"/>
      <c r="B643" s="19"/>
      <c r="C643" s="12"/>
      <c r="D643" s="13"/>
      <c r="E643" s="12"/>
      <c r="F643" s="12"/>
      <c r="G643" s="12"/>
      <c r="H643" s="12"/>
      <c r="I643" s="12"/>
      <c r="J643" s="14"/>
      <c r="K643" s="12"/>
      <c r="L643" s="12"/>
      <c r="M643" s="12"/>
      <c r="N643" s="12"/>
      <c r="O643" s="12"/>
      <c r="P643" s="15"/>
      <c r="Q643" s="7"/>
      <c r="R643" s="7"/>
      <c r="S643" s="7"/>
      <c r="T643" s="8"/>
      <c r="U643" s="8"/>
    </row>
    <row r="644" spans="1:21">
      <c r="A644" s="10"/>
      <c r="B644" s="19"/>
      <c r="C644" s="12"/>
      <c r="D644" s="13"/>
      <c r="E644" s="12"/>
      <c r="F644" s="12"/>
      <c r="G644" s="12"/>
      <c r="H644" s="12"/>
      <c r="I644" s="12"/>
      <c r="J644" s="14"/>
      <c r="K644" s="12"/>
      <c r="L644" s="12"/>
      <c r="M644" s="12"/>
      <c r="N644" s="12"/>
      <c r="O644" s="12"/>
      <c r="P644" s="15"/>
      <c r="Q644" s="7"/>
      <c r="R644" s="7"/>
      <c r="S644" s="7"/>
      <c r="T644" s="8"/>
      <c r="U644" s="8"/>
    </row>
    <row r="645" spans="1:21">
      <c r="A645" s="10"/>
      <c r="B645" s="19"/>
      <c r="C645" s="12"/>
      <c r="D645" s="13"/>
      <c r="E645" s="12"/>
      <c r="F645" s="12"/>
      <c r="G645" s="12"/>
      <c r="H645" s="12"/>
      <c r="I645" s="12"/>
      <c r="J645" s="14"/>
      <c r="K645" s="12"/>
      <c r="L645" s="12"/>
      <c r="M645" s="12"/>
      <c r="N645" s="12"/>
      <c r="O645" s="12"/>
      <c r="P645" s="15"/>
      <c r="Q645" s="7"/>
      <c r="R645" s="7"/>
      <c r="S645" s="7"/>
      <c r="T645" s="8"/>
      <c r="U645" s="8"/>
    </row>
    <row r="646" spans="1:21">
      <c r="A646" s="10"/>
      <c r="B646" s="19"/>
      <c r="C646" s="12"/>
      <c r="D646" s="13"/>
      <c r="E646" s="12"/>
      <c r="F646" s="12"/>
      <c r="G646" s="12"/>
      <c r="H646" s="12"/>
      <c r="I646" s="12"/>
      <c r="J646" s="14"/>
      <c r="K646" s="12"/>
      <c r="L646" s="12"/>
      <c r="M646" s="12"/>
      <c r="N646" s="12"/>
      <c r="O646" s="12"/>
      <c r="P646" s="15"/>
      <c r="Q646" s="7"/>
      <c r="R646" s="7"/>
      <c r="S646" s="7"/>
      <c r="T646" s="8"/>
      <c r="U646" s="8"/>
    </row>
    <row r="647" spans="1:21">
      <c r="A647" s="10"/>
      <c r="B647" s="19"/>
      <c r="C647" s="12"/>
      <c r="D647" s="13"/>
      <c r="E647" s="12"/>
      <c r="F647" s="12"/>
      <c r="G647" s="12"/>
      <c r="H647" s="12"/>
      <c r="I647" s="12"/>
      <c r="J647" s="14"/>
      <c r="K647" s="12"/>
      <c r="L647" s="12"/>
      <c r="M647" s="12"/>
      <c r="N647" s="12"/>
      <c r="O647" s="12"/>
      <c r="P647" s="15"/>
      <c r="Q647" s="7"/>
      <c r="R647" s="7"/>
      <c r="S647" s="7"/>
      <c r="T647" s="8"/>
      <c r="U647" s="8"/>
    </row>
    <row r="648" spans="1:21">
      <c r="A648" s="10"/>
      <c r="B648" s="19"/>
      <c r="C648" s="12"/>
      <c r="D648" s="13"/>
      <c r="E648" s="12"/>
      <c r="F648" s="12"/>
      <c r="G648" s="12"/>
      <c r="H648" s="12"/>
      <c r="I648" s="12"/>
      <c r="J648" s="14"/>
      <c r="K648" s="12"/>
      <c r="L648" s="12"/>
      <c r="M648" s="12"/>
      <c r="N648" s="12"/>
      <c r="O648" s="12"/>
      <c r="P648" s="15"/>
      <c r="Q648" s="7"/>
      <c r="R648" s="7"/>
      <c r="S648" s="7"/>
      <c r="T648" s="8"/>
      <c r="U648" s="8"/>
    </row>
    <row r="649" spans="1:21">
      <c r="A649" s="10"/>
      <c r="B649" s="19"/>
      <c r="C649" s="12"/>
      <c r="D649" s="13"/>
      <c r="E649" s="12"/>
      <c r="F649" s="12"/>
      <c r="G649" s="12"/>
      <c r="H649" s="12"/>
      <c r="I649" s="12"/>
      <c r="J649" s="14"/>
      <c r="K649" s="12"/>
      <c r="L649" s="12"/>
      <c r="M649" s="12"/>
      <c r="N649" s="12"/>
      <c r="O649" s="12"/>
      <c r="P649" s="15"/>
      <c r="Q649" s="7"/>
      <c r="R649" s="7"/>
      <c r="S649" s="7"/>
      <c r="T649" s="8"/>
      <c r="U649" s="8"/>
    </row>
    <row r="650" spans="1:21">
      <c r="A650" s="10"/>
      <c r="B650" s="19"/>
      <c r="C650" s="12"/>
      <c r="D650" s="13"/>
      <c r="E650" s="12"/>
      <c r="F650" s="12"/>
      <c r="G650" s="12"/>
      <c r="H650" s="12"/>
      <c r="I650" s="12"/>
      <c r="J650" s="14"/>
      <c r="K650" s="12"/>
      <c r="L650" s="12"/>
      <c r="M650" s="12"/>
      <c r="N650" s="12"/>
      <c r="O650" s="12"/>
      <c r="P650" s="15"/>
      <c r="Q650" s="7"/>
      <c r="R650" s="7"/>
      <c r="S650" s="7"/>
      <c r="T650" s="8"/>
      <c r="U650" s="8"/>
    </row>
    <row r="651" spans="1:21">
      <c r="A651" s="10"/>
      <c r="B651" s="19"/>
      <c r="C651" s="12"/>
      <c r="D651" s="13"/>
      <c r="E651" s="12"/>
      <c r="F651" s="12"/>
      <c r="G651" s="12"/>
      <c r="H651" s="12"/>
      <c r="I651" s="12"/>
      <c r="J651" s="14"/>
      <c r="K651" s="12"/>
      <c r="L651" s="12"/>
      <c r="M651" s="12"/>
      <c r="N651" s="12"/>
      <c r="O651" s="12"/>
      <c r="P651" s="15"/>
      <c r="Q651" s="7"/>
      <c r="R651" s="7"/>
      <c r="S651" s="7"/>
      <c r="T651" s="8"/>
      <c r="U651" s="8"/>
    </row>
    <row r="652" spans="1:21">
      <c r="A652" s="10"/>
      <c r="B652" s="19"/>
      <c r="C652" s="12"/>
      <c r="D652" s="13"/>
      <c r="E652" s="12"/>
      <c r="F652" s="12"/>
      <c r="G652" s="12"/>
      <c r="H652" s="12"/>
      <c r="I652" s="12"/>
      <c r="J652" s="14"/>
      <c r="K652" s="12"/>
      <c r="L652" s="12"/>
      <c r="M652" s="12"/>
      <c r="N652" s="12"/>
      <c r="O652" s="12"/>
      <c r="P652" s="15"/>
      <c r="Q652" s="7"/>
      <c r="R652" s="7"/>
      <c r="S652" s="7"/>
      <c r="T652" s="8"/>
      <c r="U652" s="8"/>
    </row>
    <row r="653" spans="1:21">
      <c r="A653" s="10"/>
      <c r="B653" s="19"/>
      <c r="C653" s="12"/>
      <c r="D653" s="13"/>
      <c r="E653" s="12"/>
      <c r="F653" s="12"/>
      <c r="G653" s="12"/>
      <c r="H653" s="12"/>
      <c r="I653" s="12"/>
      <c r="J653" s="14"/>
      <c r="K653" s="12"/>
      <c r="L653" s="12"/>
      <c r="M653" s="12"/>
      <c r="N653" s="12"/>
      <c r="O653" s="12"/>
      <c r="P653" s="15"/>
      <c r="Q653" s="7"/>
      <c r="R653" s="7"/>
      <c r="S653" s="7"/>
      <c r="T653" s="8"/>
      <c r="U653" s="8"/>
    </row>
    <row r="654" spans="1:21">
      <c r="A654" s="10"/>
      <c r="B654" s="19"/>
      <c r="C654" s="12"/>
      <c r="D654" s="13"/>
      <c r="E654" s="12"/>
      <c r="F654" s="12"/>
      <c r="G654" s="12"/>
      <c r="H654" s="12"/>
      <c r="I654" s="12"/>
      <c r="J654" s="14"/>
      <c r="K654" s="12"/>
      <c r="L654" s="12"/>
      <c r="M654" s="12"/>
      <c r="N654" s="12"/>
      <c r="O654" s="12"/>
      <c r="P654" s="15"/>
      <c r="Q654" s="7"/>
      <c r="R654" s="7"/>
      <c r="S654" s="7"/>
      <c r="T654" s="8"/>
      <c r="U654" s="8"/>
    </row>
    <row r="655" spans="1:21">
      <c r="A655" s="10"/>
      <c r="B655" s="19"/>
      <c r="C655" s="12"/>
      <c r="D655" s="13"/>
      <c r="E655" s="12"/>
      <c r="F655" s="12"/>
      <c r="G655" s="12"/>
      <c r="H655" s="12"/>
      <c r="I655" s="12"/>
      <c r="J655" s="14"/>
      <c r="K655" s="12"/>
      <c r="L655" s="12"/>
      <c r="M655" s="12"/>
      <c r="N655" s="12"/>
      <c r="O655" s="12"/>
      <c r="P655" s="15"/>
      <c r="Q655" s="7"/>
      <c r="R655" s="7"/>
      <c r="S655" s="7"/>
      <c r="T655" s="8"/>
      <c r="U655" s="8"/>
    </row>
    <row r="656" spans="1:21">
      <c r="A656" s="10"/>
      <c r="B656" s="19"/>
      <c r="C656" s="12"/>
      <c r="D656" s="13"/>
      <c r="E656" s="12"/>
      <c r="F656" s="12"/>
      <c r="G656" s="12"/>
      <c r="H656" s="12"/>
      <c r="I656" s="12"/>
      <c r="J656" s="14"/>
      <c r="K656" s="12"/>
      <c r="L656" s="12"/>
      <c r="M656" s="12"/>
      <c r="N656" s="12"/>
      <c r="O656" s="12"/>
      <c r="P656" s="15"/>
      <c r="Q656" s="7"/>
      <c r="R656" s="7"/>
      <c r="S656" s="7"/>
      <c r="T656" s="8"/>
      <c r="U656" s="8"/>
    </row>
    <row r="657" spans="1:21">
      <c r="A657" s="10"/>
      <c r="B657" s="19"/>
      <c r="C657" s="12"/>
      <c r="D657" s="13"/>
      <c r="E657" s="12"/>
      <c r="F657" s="12"/>
      <c r="G657" s="12"/>
      <c r="H657" s="12"/>
      <c r="I657" s="12"/>
      <c r="J657" s="14"/>
      <c r="K657" s="12"/>
      <c r="L657" s="12"/>
      <c r="M657" s="12"/>
      <c r="N657" s="12"/>
      <c r="O657" s="12"/>
      <c r="P657" s="15"/>
      <c r="Q657" s="7"/>
      <c r="R657" s="7"/>
      <c r="S657" s="7"/>
      <c r="T657" s="8"/>
      <c r="U657" s="8"/>
    </row>
    <row r="658" spans="1:21">
      <c r="A658" s="10"/>
      <c r="B658" s="19"/>
      <c r="C658" s="12"/>
      <c r="D658" s="13"/>
      <c r="E658" s="12"/>
      <c r="F658" s="12"/>
      <c r="G658" s="12"/>
      <c r="H658" s="12"/>
      <c r="I658" s="12"/>
      <c r="J658" s="14"/>
      <c r="K658" s="12"/>
      <c r="L658" s="12"/>
      <c r="M658" s="12"/>
      <c r="N658" s="12"/>
      <c r="O658" s="12"/>
      <c r="P658" s="15"/>
      <c r="Q658" s="7"/>
      <c r="R658" s="7"/>
      <c r="S658" s="7"/>
      <c r="T658" s="8"/>
      <c r="U658" s="8"/>
    </row>
    <row r="659" spans="1:21">
      <c r="A659" s="10"/>
      <c r="B659" s="19"/>
      <c r="C659" s="12"/>
      <c r="D659" s="13"/>
      <c r="E659" s="12"/>
      <c r="F659" s="12"/>
      <c r="G659" s="12"/>
      <c r="H659" s="12"/>
      <c r="I659" s="12"/>
      <c r="J659" s="14"/>
      <c r="K659" s="12"/>
      <c r="L659" s="12"/>
      <c r="M659" s="12"/>
      <c r="N659" s="12"/>
      <c r="O659" s="12"/>
      <c r="P659" s="15"/>
      <c r="Q659" s="7"/>
      <c r="R659" s="7"/>
      <c r="S659" s="7"/>
      <c r="T659" s="8"/>
      <c r="U659" s="8"/>
    </row>
    <row r="660" spans="1:21">
      <c r="A660" s="10"/>
      <c r="B660" s="19"/>
      <c r="C660" s="12"/>
      <c r="D660" s="13"/>
      <c r="E660" s="12"/>
      <c r="F660" s="12"/>
      <c r="G660" s="12"/>
      <c r="H660" s="12"/>
      <c r="I660" s="12"/>
      <c r="J660" s="14"/>
      <c r="K660" s="12"/>
      <c r="L660" s="12"/>
      <c r="M660" s="12"/>
      <c r="N660" s="12"/>
      <c r="O660" s="12"/>
      <c r="P660" s="15"/>
      <c r="Q660" s="7"/>
      <c r="R660" s="7"/>
      <c r="S660" s="7"/>
      <c r="T660" s="8"/>
      <c r="U660" s="8"/>
    </row>
    <row r="661" spans="1:21">
      <c r="A661" s="10"/>
      <c r="B661" s="19"/>
      <c r="C661" s="12"/>
      <c r="D661" s="13"/>
      <c r="E661" s="12"/>
      <c r="F661" s="12"/>
      <c r="G661" s="12"/>
      <c r="H661" s="12"/>
      <c r="I661" s="12"/>
      <c r="J661" s="14"/>
      <c r="K661" s="12"/>
      <c r="L661" s="12"/>
      <c r="M661" s="12"/>
      <c r="N661" s="12"/>
      <c r="O661" s="12"/>
      <c r="P661" s="15"/>
      <c r="Q661" s="7"/>
      <c r="R661" s="7"/>
      <c r="S661" s="7"/>
      <c r="T661" s="8"/>
      <c r="U661" s="8"/>
    </row>
    <row r="662" spans="1:21">
      <c r="A662" s="10"/>
      <c r="B662" s="19"/>
      <c r="C662" s="12"/>
      <c r="D662" s="13"/>
      <c r="E662" s="12"/>
      <c r="F662" s="12"/>
      <c r="G662" s="12"/>
      <c r="H662" s="12"/>
      <c r="I662" s="12"/>
      <c r="J662" s="14"/>
      <c r="K662" s="12"/>
      <c r="L662" s="12"/>
      <c r="M662" s="12"/>
      <c r="N662" s="12"/>
      <c r="O662" s="12"/>
      <c r="P662" s="15"/>
      <c r="Q662" s="7"/>
      <c r="R662" s="7"/>
      <c r="S662" s="7"/>
      <c r="T662" s="8"/>
      <c r="U662" s="8"/>
    </row>
    <row r="663" spans="1:21">
      <c r="A663" s="10"/>
      <c r="B663" s="19"/>
      <c r="C663" s="12"/>
      <c r="D663" s="13"/>
      <c r="E663" s="12"/>
      <c r="F663" s="12"/>
      <c r="G663" s="12"/>
      <c r="H663" s="12"/>
      <c r="I663" s="12"/>
      <c r="J663" s="14"/>
      <c r="K663" s="12"/>
      <c r="L663" s="12"/>
      <c r="M663" s="12"/>
      <c r="N663" s="12"/>
      <c r="O663" s="12"/>
      <c r="P663" s="15"/>
      <c r="Q663" s="7"/>
      <c r="R663" s="7"/>
      <c r="S663" s="7"/>
      <c r="T663" s="8"/>
      <c r="U663" s="8"/>
    </row>
    <row r="664" spans="1:21">
      <c r="A664" s="10"/>
      <c r="B664" s="19"/>
      <c r="C664" s="12"/>
      <c r="D664" s="13"/>
      <c r="E664" s="12"/>
      <c r="F664" s="12"/>
      <c r="G664" s="12"/>
      <c r="H664" s="12"/>
      <c r="I664" s="12"/>
      <c r="J664" s="14"/>
      <c r="K664" s="12"/>
      <c r="L664" s="12"/>
      <c r="M664" s="12"/>
      <c r="N664" s="12"/>
      <c r="O664" s="12"/>
      <c r="P664" s="15"/>
      <c r="Q664" s="7"/>
      <c r="R664" s="7"/>
      <c r="S664" s="7"/>
      <c r="T664" s="8"/>
      <c r="U664" s="8"/>
    </row>
    <row r="665" spans="1:21">
      <c r="A665" s="10"/>
      <c r="B665" s="19"/>
      <c r="C665" s="12"/>
      <c r="D665" s="13"/>
      <c r="E665" s="12"/>
      <c r="F665" s="12"/>
      <c r="G665" s="12"/>
      <c r="H665" s="12"/>
      <c r="I665" s="12"/>
      <c r="J665" s="14"/>
      <c r="K665" s="12"/>
      <c r="L665" s="12"/>
      <c r="M665" s="12"/>
      <c r="N665" s="12"/>
      <c r="O665" s="12"/>
      <c r="P665" s="15"/>
      <c r="Q665" s="7"/>
      <c r="R665" s="7"/>
      <c r="S665" s="7"/>
      <c r="T665" s="8"/>
      <c r="U665" s="8"/>
    </row>
    <row r="666" spans="1:21">
      <c r="A666" s="10"/>
      <c r="B666" s="19"/>
      <c r="C666" s="12"/>
      <c r="D666" s="13"/>
      <c r="E666" s="12"/>
      <c r="F666" s="12"/>
      <c r="G666" s="12"/>
      <c r="H666" s="12"/>
      <c r="I666" s="12"/>
      <c r="J666" s="14"/>
      <c r="K666" s="12"/>
      <c r="L666" s="12"/>
      <c r="M666" s="12"/>
      <c r="N666" s="12"/>
      <c r="O666" s="12"/>
      <c r="P666" s="15"/>
      <c r="Q666" s="7"/>
      <c r="R666" s="7"/>
      <c r="S666" s="7"/>
      <c r="T666" s="8"/>
      <c r="U666" s="8"/>
    </row>
    <row r="667" spans="1:21">
      <c r="A667" s="10"/>
      <c r="B667" s="19"/>
      <c r="C667" s="12"/>
      <c r="D667" s="13"/>
      <c r="E667" s="12"/>
      <c r="F667" s="12"/>
      <c r="G667" s="12"/>
      <c r="H667" s="12"/>
      <c r="I667" s="12"/>
      <c r="J667" s="14"/>
      <c r="K667" s="12"/>
      <c r="L667" s="12"/>
      <c r="M667" s="12"/>
      <c r="N667" s="12"/>
      <c r="O667" s="12"/>
      <c r="P667" s="15"/>
      <c r="Q667" s="7"/>
      <c r="R667" s="7"/>
      <c r="S667" s="7"/>
      <c r="T667" s="8"/>
      <c r="U667" s="8"/>
    </row>
    <row r="668" spans="1:21">
      <c r="A668" s="10"/>
      <c r="B668" s="19"/>
      <c r="C668" s="12"/>
      <c r="D668" s="13"/>
      <c r="E668" s="12"/>
      <c r="F668" s="12"/>
      <c r="G668" s="12"/>
      <c r="H668" s="12"/>
      <c r="I668" s="12"/>
      <c r="J668" s="14"/>
      <c r="K668" s="12"/>
      <c r="L668" s="12"/>
      <c r="M668" s="12"/>
      <c r="N668" s="12"/>
      <c r="O668" s="12"/>
      <c r="P668" s="15"/>
      <c r="Q668" s="7"/>
      <c r="R668" s="7"/>
      <c r="S668" s="7"/>
      <c r="T668" s="8"/>
      <c r="U668" s="8"/>
    </row>
    <row r="669" spans="1:21">
      <c r="A669" s="10"/>
      <c r="B669" s="19"/>
      <c r="C669" s="12"/>
      <c r="D669" s="13"/>
      <c r="E669" s="12"/>
      <c r="F669" s="12"/>
      <c r="G669" s="12"/>
      <c r="H669" s="12"/>
      <c r="I669" s="12"/>
      <c r="J669" s="14"/>
      <c r="K669" s="12"/>
      <c r="L669" s="12"/>
      <c r="M669" s="12"/>
      <c r="N669" s="12"/>
      <c r="O669" s="12"/>
      <c r="P669" s="15"/>
      <c r="Q669" s="7"/>
      <c r="R669" s="7"/>
      <c r="S669" s="7"/>
      <c r="T669" s="8"/>
      <c r="U669" s="8"/>
    </row>
    <row r="670" spans="1:21">
      <c r="A670" s="10"/>
      <c r="B670" s="19"/>
      <c r="C670" s="12"/>
      <c r="D670" s="13"/>
      <c r="E670" s="12"/>
      <c r="F670" s="12"/>
      <c r="G670" s="12"/>
      <c r="H670" s="12"/>
      <c r="I670" s="12"/>
      <c r="J670" s="14"/>
      <c r="K670" s="12"/>
      <c r="L670" s="12"/>
      <c r="M670" s="12"/>
      <c r="N670" s="12"/>
      <c r="O670" s="12"/>
      <c r="P670" s="15"/>
      <c r="Q670" s="7"/>
      <c r="R670" s="7"/>
      <c r="S670" s="7"/>
      <c r="T670" s="8"/>
      <c r="U670" s="8"/>
    </row>
    <row r="671" spans="1:21">
      <c r="A671" s="10"/>
      <c r="B671" s="19"/>
      <c r="C671" s="12"/>
      <c r="D671" s="13"/>
      <c r="E671" s="12"/>
      <c r="F671" s="12"/>
      <c r="G671" s="12"/>
      <c r="H671" s="12"/>
      <c r="I671" s="12"/>
      <c r="J671" s="14"/>
      <c r="K671" s="12"/>
      <c r="L671" s="12"/>
      <c r="M671" s="12"/>
      <c r="N671" s="12"/>
      <c r="O671" s="12"/>
      <c r="P671" s="15"/>
      <c r="Q671" s="7"/>
      <c r="R671" s="7"/>
      <c r="S671" s="7"/>
      <c r="T671" s="8"/>
      <c r="U671" s="8"/>
    </row>
    <row r="672" spans="1:21">
      <c r="A672" s="10"/>
      <c r="B672" s="19"/>
      <c r="C672" s="12"/>
      <c r="D672" s="13"/>
      <c r="E672" s="12"/>
      <c r="F672" s="12"/>
      <c r="G672" s="12"/>
      <c r="H672" s="12"/>
      <c r="I672" s="12"/>
      <c r="J672" s="14"/>
      <c r="K672" s="12"/>
      <c r="L672" s="12"/>
      <c r="M672" s="12"/>
      <c r="N672" s="12"/>
      <c r="O672" s="12"/>
      <c r="P672" s="15"/>
      <c r="Q672" s="7"/>
      <c r="R672" s="7"/>
      <c r="S672" s="7"/>
      <c r="T672" s="8"/>
      <c r="U672" s="8"/>
    </row>
    <row r="673" spans="1:21">
      <c r="A673" s="10"/>
      <c r="B673" s="19"/>
      <c r="C673" s="12"/>
      <c r="D673" s="13"/>
      <c r="E673" s="12"/>
      <c r="F673" s="12"/>
      <c r="G673" s="12"/>
      <c r="H673" s="12"/>
      <c r="I673" s="12"/>
      <c r="J673" s="14"/>
      <c r="K673" s="12"/>
      <c r="L673" s="12"/>
      <c r="M673" s="12"/>
      <c r="N673" s="12"/>
      <c r="O673" s="12"/>
      <c r="P673" s="15"/>
      <c r="Q673" s="7"/>
      <c r="R673" s="7"/>
      <c r="S673" s="7"/>
      <c r="T673" s="8"/>
      <c r="U673" s="8"/>
    </row>
    <row r="674" spans="1:21">
      <c r="A674" s="10"/>
      <c r="B674" s="19"/>
      <c r="C674" s="12"/>
      <c r="D674" s="13"/>
      <c r="E674" s="12"/>
      <c r="F674" s="12"/>
      <c r="G674" s="12"/>
      <c r="H674" s="12"/>
      <c r="I674" s="12"/>
      <c r="J674" s="14"/>
      <c r="K674" s="12"/>
      <c r="L674" s="12"/>
      <c r="M674" s="12"/>
      <c r="N674" s="12"/>
      <c r="O674" s="12"/>
      <c r="P674" s="15"/>
      <c r="Q674" s="7"/>
      <c r="R674" s="7"/>
      <c r="S674" s="7"/>
      <c r="T674" s="8"/>
      <c r="U674" s="8"/>
    </row>
    <row r="675" spans="1:21">
      <c r="A675" s="10"/>
      <c r="B675" s="19"/>
      <c r="C675" s="12"/>
      <c r="D675" s="13"/>
      <c r="E675" s="12"/>
      <c r="F675" s="12"/>
      <c r="G675" s="12"/>
      <c r="H675" s="12"/>
      <c r="I675" s="12"/>
      <c r="J675" s="14"/>
      <c r="K675" s="12"/>
      <c r="L675" s="12"/>
      <c r="M675" s="12"/>
      <c r="N675" s="12"/>
      <c r="O675" s="12"/>
      <c r="P675" s="15"/>
      <c r="Q675" s="7"/>
      <c r="R675" s="7"/>
      <c r="S675" s="7"/>
      <c r="T675" s="8"/>
      <c r="U675" s="8"/>
    </row>
    <row r="676" spans="1:21">
      <c r="A676" s="10"/>
      <c r="B676" s="19"/>
      <c r="C676" s="12"/>
      <c r="D676" s="13"/>
      <c r="E676" s="12"/>
      <c r="F676" s="12"/>
      <c r="G676" s="12"/>
      <c r="H676" s="12"/>
      <c r="I676" s="12"/>
      <c r="J676" s="14"/>
      <c r="K676" s="12"/>
      <c r="L676" s="12"/>
      <c r="M676" s="12"/>
      <c r="N676" s="12"/>
      <c r="O676" s="12"/>
      <c r="P676" s="15"/>
      <c r="Q676" s="7"/>
      <c r="R676" s="7"/>
      <c r="S676" s="7"/>
      <c r="T676" s="8"/>
      <c r="U676" s="8"/>
    </row>
    <row r="677" spans="1:21">
      <c r="A677" s="10"/>
      <c r="B677" s="19"/>
      <c r="C677" s="12"/>
      <c r="D677" s="13"/>
      <c r="E677" s="12"/>
      <c r="F677" s="12"/>
      <c r="G677" s="12"/>
      <c r="H677" s="12"/>
      <c r="I677" s="12"/>
      <c r="J677" s="14"/>
      <c r="K677" s="12"/>
      <c r="L677" s="12"/>
      <c r="M677" s="12"/>
      <c r="N677" s="12"/>
      <c r="O677" s="12"/>
      <c r="P677" s="15"/>
      <c r="Q677" s="7"/>
      <c r="R677" s="7"/>
      <c r="S677" s="7"/>
      <c r="T677" s="8"/>
      <c r="U677" s="8"/>
    </row>
    <row r="678" spans="1:21">
      <c r="A678" s="10"/>
      <c r="B678" s="19"/>
      <c r="C678" s="12"/>
      <c r="D678" s="13"/>
      <c r="E678" s="12"/>
      <c r="F678" s="12"/>
      <c r="G678" s="12"/>
      <c r="H678" s="12"/>
      <c r="I678" s="12"/>
      <c r="J678" s="14"/>
      <c r="K678" s="12"/>
      <c r="L678" s="12"/>
      <c r="M678" s="12"/>
      <c r="N678" s="12"/>
      <c r="O678" s="12"/>
      <c r="P678" s="15"/>
      <c r="Q678" s="7"/>
      <c r="R678" s="7"/>
      <c r="S678" s="7"/>
      <c r="T678" s="8"/>
      <c r="U678" s="8"/>
    </row>
    <row r="679" spans="1:21">
      <c r="A679" s="10"/>
      <c r="B679" s="19"/>
      <c r="C679" s="12"/>
      <c r="D679" s="13"/>
      <c r="E679" s="12"/>
      <c r="F679" s="12"/>
      <c r="G679" s="12"/>
      <c r="H679" s="12"/>
      <c r="I679" s="12"/>
      <c r="J679" s="14"/>
      <c r="K679" s="12"/>
      <c r="L679" s="12"/>
      <c r="M679" s="12"/>
      <c r="N679" s="12"/>
      <c r="O679" s="12"/>
      <c r="P679" s="15"/>
      <c r="Q679" s="7"/>
      <c r="R679" s="7"/>
      <c r="S679" s="7"/>
      <c r="T679" s="8"/>
      <c r="U679" s="8"/>
    </row>
    <row r="680" spans="1:21">
      <c r="A680" s="10"/>
      <c r="B680" s="19"/>
      <c r="C680" s="12"/>
      <c r="D680" s="13"/>
      <c r="E680" s="12"/>
      <c r="F680" s="12"/>
      <c r="G680" s="12"/>
      <c r="H680" s="12"/>
      <c r="I680" s="12"/>
      <c r="J680" s="14"/>
      <c r="K680" s="12"/>
      <c r="L680" s="12"/>
      <c r="M680" s="12"/>
      <c r="N680" s="12"/>
      <c r="O680" s="12"/>
      <c r="P680" s="15"/>
      <c r="Q680" s="7"/>
      <c r="R680" s="7"/>
      <c r="S680" s="7"/>
      <c r="T680" s="8"/>
      <c r="U680" s="8"/>
    </row>
    <row r="681" spans="1:21">
      <c r="A681" s="10"/>
      <c r="B681" s="19"/>
      <c r="C681" s="12"/>
      <c r="D681" s="13"/>
      <c r="E681" s="12"/>
      <c r="F681" s="12"/>
      <c r="G681" s="12"/>
      <c r="H681" s="12"/>
      <c r="I681" s="12"/>
      <c r="J681" s="14"/>
      <c r="K681" s="12"/>
      <c r="L681" s="12"/>
      <c r="M681" s="12"/>
      <c r="N681" s="12"/>
      <c r="O681" s="12"/>
      <c r="P681" s="15"/>
      <c r="Q681" s="7"/>
      <c r="R681" s="7"/>
      <c r="S681" s="7"/>
      <c r="T681" s="8"/>
      <c r="U681" s="8"/>
    </row>
    <row r="682" spans="1:21">
      <c r="A682" s="10"/>
      <c r="B682" s="19"/>
      <c r="C682" s="12"/>
      <c r="D682" s="13"/>
      <c r="E682" s="12"/>
      <c r="F682" s="12"/>
      <c r="G682" s="12"/>
      <c r="H682" s="12"/>
      <c r="I682" s="12"/>
      <c r="J682" s="14"/>
      <c r="K682" s="12"/>
      <c r="L682" s="12"/>
      <c r="M682" s="12"/>
      <c r="N682" s="12"/>
      <c r="O682" s="12"/>
      <c r="P682" s="15"/>
      <c r="Q682" s="7"/>
      <c r="R682" s="7"/>
      <c r="S682" s="7"/>
      <c r="T682" s="8"/>
      <c r="U682" s="8"/>
    </row>
    <row r="683" spans="1:21">
      <c r="A683" s="10"/>
      <c r="B683" s="19"/>
      <c r="C683" s="12"/>
      <c r="D683" s="13"/>
      <c r="E683" s="12"/>
      <c r="F683" s="12"/>
      <c r="G683" s="12"/>
      <c r="H683" s="12"/>
      <c r="I683" s="12"/>
      <c r="J683" s="14"/>
      <c r="K683" s="12"/>
      <c r="L683" s="12"/>
      <c r="M683" s="12"/>
      <c r="N683" s="12"/>
      <c r="O683" s="12"/>
      <c r="P683" s="15"/>
      <c r="Q683" s="7"/>
      <c r="R683" s="7"/>
      <c r="S683" s="7"/>
      <c r="T683" s="8"/>
      <c r="U683" s="8"/>
    </row>
    <row r="684" spans="1:21">
      <c r="A684" s="10"/>
      <c r="B684" s="19"/>
      <c r="C684" s="12"/>
      <c r="D684" s="13"/>
      <c r="E684" s="12"/>
      <c r="F684" s="12"/>
      <c r="G684" s="12"/>
      <c r="H684" s="12"/>
      <c r="I684" s="12"/>
      <c r="J684" s="14"/>
      <c r="K684" s="12"/>
      <c r="L684" s="12"/>
      <c r="M684" s="12"/>
      <c r="N684" s="12"/>
      <c r="O684" s="12"/>
      <c r="P684" s="15"/>
      <c r="Q684" s="7"/>
      <c r="R684" s="7"/>
      <c r="S684" s="7"/>
      <c r="T684" s="8"/>
      <c r="U684" s="8"/>
    </row>
    <row r="685" spans="1:21">
      <c r="A685" s="10"/>
      <c r="B685" s="19"/>
      <c r="C685" s="12"/>
      <c r="D685" s="13"/>
      <c r="E685" s="12"/>
      <c r="F685" s="12"/>
      <c r="G685" s="12"/>
      <c r="H685" s="12"/>
      <c r="I685" s="12"/>
      <c r="J685" s="14"/>
      <c r="K685" s="12"/>
      <c r="L685" s="12"/>
      <c r="M685" s="12"/>
      <c r="N685" s="12"/>
      <c r="O685" s="12"/>
      <c r="P685" s="15"/>
      <c r="Q685" s="7"/>
      <c r="R685" s="7"/>
      <c r="S685" s="7"/>
      <c r="T685" s="8"/>
      <c r="U685" s="8"/>
    </row>
    <row r="686" spans="1:21">
      <c r="A686" s="10"/>
      <c r="B686" s="19"/>
      <c r="C686" s="12"/>
      <c r="D686" s="13"/>
      <c r="E686" s="12"/>
      <c r="F686" s="12"/>
      <c r="G686" s="12"/>
      <c r="H686" s="12"/>
      <c r="I686" s="12"/>
      <c r="J686" s="14"/>
      <c r="K686" s="12"/>
      <c r="L686" s="12"/>
      <c r="M686" s="12"/>
      <c r="N686" s="12"/>
      <c r="O686" s="12"/>
      <c r="P686" s="15"/>
      <c r="Q686" s="7"/>
      <c r="R686" s="7"/>
      <c r="S686" s="7"/>
      <c r="T686" s="8"/>
      <c r="U686" s="8"/>
    </row>
    <row r="687" spans="1:21">
      <c r="A687" s="10"/>
      <c r="B687" s="19"/>
      <c r="C687" s="12"/>
      <c r="D687" s="13"/>
      <c r="E687" s="12"/>
      <c r="F687" s="12"/>
      <c r="G687" s="12"/>
      <c r="H687" s="12"/>
      <c r="I687" s="12"/>
      <c r="J687" s="14"/>
      <c r="K687" s="12"/>
      <c r="L687" s="12"/>
      <c r="M687" s="12"/>
      <c r="N687" s="12"/>
      <c r="O687" s="12"/>
      <c r="P687" s="15"/>
      <c r="Q687" s="7"/>
      <c r="R687" s="7"/>
      <c r="S687" s="7"/>
      <c r="T687" s="8"/>
      <c r="U687" s="8"/>
    </row>
    <row r="688" spans="1:21">
      <c r="A688" s="10"/>
      <c r="B688" s="19"/>
      <c r="C688" s="12"/>
      <c r="D688" s="13"/>
      <c r="E688" s="12"/>
      <c r="F688" s="12"/>
      <c r="G688" s="12"/>
      <c r="H688" s="12"/>
      <c r="I688" s="12"/>
      <c r="J688" s="14"/>
      <c r="K688" s="12"/>
      <c r="L688" s="12"/>
      <c r="M688" s="12"/>
      <c r="N688" s="12"/>
      <c r="O688" s="12"/>
      <c r="P688" s="15"/>
      <c r="Q688" s="7"/>
      <c r="R688" s="7"/>
      <c r="S688" s="7"/>
      <c r="T688" s="8"/>
      <c r="U688" s="8"/>
    </row>
    <row r="689" spans="1:21">
      <c r="A689" s="10"/>
      <c r="B689" s="19"/>
      <c r="C689" s="12"/>
      <c r="D689" s="13"/>
      <c r="E689" s="12"/>
      <c r="F689" s="12"/>
      <c r="G689" s="12"/>
      <c r="H689" s="12"/>
      <c r="I689" s="12"/>
      <c r="J689" s="14"/>
      <c r="K689" s="12"/>
      <c r="L689" s="12"/>
      <c r="M689" s="12"/>
      <c r="N689" s="12"/>
      <c r="O689" s="12"/>
      <c r="P689" s="15"/>
      <c r="Q689" s="7"/>
      <c r="R689" s="7"/>
      <c r="S689" s="7"/>
      <c r="T689" s="8"/>
      <c r="U689" s="8"/>
    </row>
    <row r="690" spans="1:21">
      <c r="A690" s="10"/>
      <c r="B690" s="19"/>
      <c r="C690" s="12"/>
      <c r="D690" s="13"/>
      <c r="E690" s="12"/>
      <c r="F690" s="12"/>
      <c r="G690" s="12"/>
      <c r="H690" s="12"/>
      <c r="I690" s="12"/>
      <c r="J690" s="14"/>
      <c r="K690" s="12"/>
      <c r="L690" s="12"/>
      <c r="M690" s="12"/>
      <c r="N690" s="12"/>
      <c r="O690" s="12"/>
      <c r="P690" s="15"/>
      <c r="Q690" s="7"/>
      <c r="R690" s="7"/>
      <c r="S690" s="7"/>
      <c r="T690" s="8"/>
      <c r="U690" s="8"/>
    </row>
    <row r="691" spans="1:21">
      <c r="A691" s="10"/>
      <c r="B691" s="19"/>
      <c r="C691" s="12"/>
      <c r="D691" s="13"/>
      <c r="E691" s="12"/>
      <c r="F691" s="12"/>
      <c r="G691" s="12"/>
      <c r="H691" s="12"/>
      <c r="I691" s="12"/>
      <c r="J691" s="14"/>
      <c r="K691" s="12"/>
      <c r="L691" s="12"/>
      <c r="M691" s="12"/>
      <c r="N691" s="12"/>
      <c r="O691" s="12"/>
      <c r="P691" s="15"/>
      <c r="Q691" s="7"/>
      <c r="R691" s="7"/>
      <c r="S691" s="7"/>
      <c r="T691" s="8"/>
      <c r="U691" s="8"/>
    </row>
    <row r="692" spans="1:21">
      <c r="A692" s="10"/>
      <c r="B692" s="19"/>
      <c r="C692" s="12"/>
      <c r="D692" s="13"/>
      <c r="E692" s="12"/>
      <c r="F692" s="12"/>
      <c r="G692" s="12"/>
      <c r="H692" s="12"/>
      <c r="I692" s="12"/>
      <c r="J692" s="14"/>
      <c r="K692" s="12"/>
      <c r="L692" s="12"/>
      <c r="M692" s="12"/>
      <c r="N692" s="12"/>
      <c r="O692" s="12"/>
      <c r="P692" s="15"/>
      <c r="Q692" s="7"/>
      <c r="R692" s="7"/>
      <c r="S692" s="7"/>
      <c r="T692" s="8"/>
      <c r="U692" s="8"/>
    </row>
    <row r="693" spans="1:21">
      <c r="A693" s="10"/>
      <c r="B693" s="19"/>
      <c r="C693" s="12"/>
      <c r="D693" s="13"/>
      <c r="E693" s="12"/>
      <c r="F693" s="12"/>
      <c r="G693" s="12"/>
      <c r="H693" s="12"/>
      <c r="I693" s="12"/>
      <c r="J693" s="14"/>
      <c r="K693" s="12"/>
      <c r="L693" s="12"/>
      <c r="M693" s="12"/>
      <c r="N693" s="12"/>
      <c r="O693" s="12"/>
      <c r="P693" s="15"/>
      <c r="Q693" s="7"/>
      <c r="R693" s="7"/>
      <c r="S693" s="7"/>
      <c r="T693" s="8"/>
      <c r="U693" s="8"/>
    </row>
    <row r="694" spans="1:21">
      <c r="A694" s="10"/>
      <c r="B694" s="19"/>
      <c r="C694" s="12"/>
      <c r="D694" s="13"/>
      <c r="E694" s="12"/>
      <c r="F694" s="12"/>
      <c r="G694" s="12"/>
      <c r="H694" s="12"/>
      <c r="I694" s="12"/>
      <c r="J694" s="14"/>
      <c r="K694" s="12"/>
      <c r="L694" s="12"/>
      <c r="M694" s="12"/>
      <c r="N694" s="12"/>
      <c r="O694" s="12"/>
      <c r="P694" s="15"/>
      <c r="Q694" s="7"/>
      <c r="R694" s="7"/>
      <c r="S694" s="7"/>
      <c r="T694" s="8"/>
      <c r="U694" s="8"/>
    </row>
    <row r="695" spans="1:21">
      <c r="A695" s="10"/>
      <c r="B695" s="19"/>
      <c r="C695" s="12"/>
      <c r="D695" s="13"/>
      <c r="E695" s="12"/>
      <c r="F695" s="12"/>
      <c r="G695" s="12"/>
      <c r="H695" s="12"/>
      <c r="I695" s="12"/>
      <c r="J695" s="14"/>
      <c r="K695" s="12"/>
      <c r="L695" s="12"/>
      <c r="M695" s="12"/>
      <c r="N695" s="12"/>
      <c r="O695" s="12"/>
      <c r="P695" s="15"/>
      <c r="Q695" s="7"/>
      <c r="R695" s="7"/>
      <c r="S695" s="7"/>
      <c r="T695" s="8"/>
      <c r="U695" s="8"/>
    </row>
    <row r="696" spans="1:21">
      <c r="A696" s="10"/>
      <c r="B696" s="19"/>
      <c r="C696" s="12"/>
      <c r="D696" s="13"/>
      <c r="E696" s="12"/>
      <c r="F696" s="12"/>
      <c r="G696" s="12"/>
      <c r="H696" s="12"/>
      <c r="I696" s="12"/>
      <c r="J696" s="14"/>
      <c r="K696" s="12"/>
      <c r="L696" s="12"/>
      <c r="M696" s="12"/>
      <c r="N696" s="12"/>
      <c r="O696" s="12"/>
      <c r="P696" s="15"/>
      <c r="Q696" s="7"/>
      <c r="R696" s="7"/>
      <c r="S696" s="7"/>
      <c r="T696" s="8"/>
      <c r="U696" s="8"/>
    </row>
    <row r="697" spans="1:21">
      <c r="A697" s="10"/>
      <c r="B697" s="19"/>
      <c r="C697" s="12"/>
      <c r="D697" s="13"/>
      <c r="E697" s="12"/>
      <c r="F697" s="12"/>
      <c r="G697" s="12"/>
      <c r="H697" s="12"/>
      <c r="I697" s="12"/>
      <c r="J697" s="14"/>
      <c r="K697" s="12"/>
      <c r="L697" s="12"/>
      <c r="M697" s="12"/>
      <c r="N697" s="12"/>
      <c r="O697" s="12"/>
      <c r="P697" s="15"/>
      <c r="Q697" s="7"/>
      <c r="R697" s="7"/>
      <c r="S697" s="7"/>
      <c r="T697" s="8"/>
      <c r="U697" s="8"/>
    </row>
    <row r="698" spans="1:21">
      <c r="A698" s="10"/>
      <c r="B698" s="19"/>
      <c r="C698" s="12"/>
      <c r="D698" s="13"/>
      <c r="E698" s="12"/>
      <c r="F698" s="12"/>
      <c r="G698" s="12"/>
      <c r="H698" s="12"/>
      <c r="I698" s="12"/>
      <c r="J698" s="14"/>
      <c r="K698" s="12"/>
      <c r="L698" s="12"/>
      <c r="M698" s="12"/>
      <c r="N698" s="12"/>
      <c r="O698" s="12"/>
      <c r="P698" s="15"/>
      <c r="Q698" s="7"/>
      <c r="R698" s="7"/>
      <c r="S698" s="7"/>
      <c r="T698" s="8"/>
      <c r="U698" s="8"/>
    </row>
    <row r="699" spans="1:21">
      <c r="A699" s="10"/>
      <c r="B699" s="19"/>
      <c r="C699" s="12"/>
      <c r="D699" s="13"/>
      <c r="E699" s="12"/>
      <c r="F699" s="12"/>
      <c r="G699" s="12"/>
      <c r="H699" s="12"/>
      <c r="I699" s="12"/>
      <c r="J699" s="14"/>
      <c r="K699" s="12"/>
      <c r="L699" s="12"/>
      <c r="M699" s="12"/>
      <c r="N699" s="12"/>
      <c r="O699" s="12"/>
      <c r="P699" s="15"/>
      <c r="Q699" s="7"/>
      <c r="R699" s="7"/>
      <c r="S699" s="7"/>
      <c r="T699" s="8"/>
      <c r="U699" s="8"/>
    </row>
    <row r="700" spans="1:21">
      <c r="A700" s="10"/>
      <c r="B700" s="19"/>
      <c r="C700" s="12"/>
      <c r="D700" s="13"/>
      <c r="E700" s="12"/>
      <c r="F700" s="12"/>
      <c r="G700" s="12"/>
      <c r="H700" s="12"/>
      <c r="I700" s="12"/>
      <c r="J700" s="14"/>
      <c r="K700" s="12"/>
      <c r="L700" s="12"/>
      <c r="M700" s="12"/>
      <c r="N700" s="12"/>
      <c r="O700" s="12"/>
      <c r="P700" s="15"/>
      <c r="Q700" s="7"/>
      <c r="R700" s="7"/>
      <c r="S700" s="7"/>
      <c r="T700" s="8"/>
      <c r="U700" s="8"/>
    </row>
    <row r="701" spans="1:21">
      <c r="A701" s="10"/>
      <c r="B701" s="19"/>
      <c r="C701" s="12"/>
      <c r="D701" s="13"/>
      <c r="E701" s="12"/>
      <c r="F701" s="12"/>
      <c r="G701" s="12"/>
      <c r="H701" s="12"/>
      <c r="I701" s="12"/>
      <c r="J701" s="14"/>
      <c r="K701" s="12"/>
      <c r="L701" s="12"/>
      <c r="M701" s="12"/>
      <c r="N701" s="12"/>
      <c r="O701" s="12"/>
      <c r="P701" s="15"/>
      <c r="Q701" s="7"/>
      <c r="R701" s="7"/>
      <c r="S701" s="7"/>
      <c r="T701" s="8"/>
      <c r="U701" s="8"/>
    </row>
    <row r="702" spans="1:21">
      <c r="A702" s="10"/>
      <c r="B702" s="19"/>
      <c r="C702" s="12"/>
      <c r="D702" s="13"/>
      <c r="E702" s="12"/>
      <c r="F702" s="12"/>
      <c r="G702" s="12"/>
      <c r="H702" s="12"/>
      <c r="I702" s="12"/>
      <c r="J702" s="14"/>
      <c r="K702" s="12"/>
      <c r="L702" s="12"/>
      <c r="M702" s="12"/>
      <c r="N702" s="12"/>
      <c r="O702" s="12"/>
      <c r="P702" s="15"/>
      <c r="Q702" s="7"/>
      <c r="R702" s="7"/>
      <c r="S702" s="7"/>
      <c r="T702" s="8"/>
      <c r="U702" s="8"/>
    </row>
    <row r="703" spans="1:21">
      <c r="A703" s="10"/>
      <c r="B703" s="19"/>
      <c r="C703" s="12"/>
      <c r="D703" s="13"/>
      <c r="E703" s="12"/>
      <c r="F703" s="12"/>
      <c r="G703" s="12"/>
      <c r="H703" s="12"/>
      <c r="I703" s="12"/>
      <c r="J703" s="14"/>
      <c r="K703" s="12"/>
      <c r="L703" s="12"/>
      <c r="M703" s="12"/>
      <c r="N703" s="12"/>
      <c r="O703" s="12"/>
      <c r="P703" s="15"/>
      <c r="Q703" s="7"/>
      <c r="R703" s="7"/>
      <c r="S703" s="7"/>
      <c r="T703" s="8"/>
      <c r="U703" s="8"/>
    </row>
    <row r="704" spans="1:21">
      <c r="A704" s="10"/>
      <c r="B704" s="19"/>
      <c r="C704" s="12"/>
      <c r="D704" s="13"/>
      <c r="E704" s="12"/>
      <c r="F704" s="12"/>
      <c r="G704" s="12"/>
      <c r="H704" s="12"/>
      <c r="I704" s="12"/>
      <c r="J704" s="14"/>
      <c r="K704" s="12"/>
      <c r="L704" s="12"/>
      <c r="M704" s="12"/>
      <c r="N704" s="12"/>
      <c r="O704" s="12"/>
      <c r="P704" s="15"/>
      <c r="Q704" s="7"/>
      <c r="R704" s="7"/>
      <c r="S704" s="7"/>
      <c r="T704" s="8"/>
      <c r="U704" s="8"/>
    </row>
    <row r="705" spans="1:21">
      <c r="A705" s="10"/>
      <c r="B705" s="19"/>
      <c r="C705" s="12"/>
      <c r="D705" s="13"/>
      <c r="E705" s="12"/>
      <c r="F705" s="12"/>
      <c r="G705" s="12"/>
      <c r="H705" s="12"/>
      <c r="I705" s="12"/>
      <c r="J705" s="14"/>
      <c r="K705" s="12"/>
      <c r="L705" s="12"/>
      <c r="M705" s="12"/>
      <c r="N705" s="12"/>
      <c r="O705" s="12"/>
      <c r="P705" s="15"/>
      <c r="Q705" s="7"/>
      <c r="R705" s="7"/>
      <c r="S705" s="7"/>
      <c r="T705" s="8"/>
      <c r="U705" s="8"/>
    </row>
    <row r="706" spans="1:21">
      <c r="A706" s="10"/>
      <c r="B706" s="19"/>
      <c r="C706" s="12"/>
      <c r="D706" s="13"/>
      <c r="E706" s="12"/>
      <c r="F706" s="12"/>
      <c r="G706" s="12"/>
      <c r="H706" s="12"/>
      <c r="I706" s="12"/>
      <c r="J706" s="14"/>
      <c r="K706" s="12"/>
      <c r="L706" s="12"/>
      <c r="M706" s="12"/>
      <c r="N706" s="12"/>
      <c r="O706" s="12"/>
      <c r="P706" s="15"/>
      <c r="Q706" s="7"/>
      <c r="R706" s="7"/>
      <c r="S706" s="7"/>
      <c r="T706" s="8"/>
      <c r="U706" s="8"/>
    </row>
    <row r="707" spans="1:21">
      <c r="A707" s="10"/>
      <c r="B707" s="19"/>
      <c r="C707" s="12"/>
      <c r="D707" s="13"/>
      <c r="E707" s="12"/>
      <c r="F707" s="12"/>
      <c r="G707" s="12"/>
      <c r="H707" s="12"/>
      <c r="I707" s="12"/>
      <c r="J707" s="14"/>
      <c r="K707" s="12"/>
      <c r="L707" s="12"/>
      <c r="M707" s="12"/>
      <c r="N707" s="12"/>
      <c r="O707" s="12"/>
      <c r="P707" s="15"/>
      <c r="Q707" s="7"/>
      <c r="R707" s="7"/>
      <c r="S707" s="7"/>
      <c r="T707" s="8"/>
      <c r="U707" s="8"/>
    </row>
    <row r="708" spans="1:21">
      <c r="A708" s="10"/>
      <c r="B708" s="19"/>
      <c r="C708" s="12"/>
      <c r="D708" s="13"/>
      <c r="E708" s="12"/>
      <c r="F708" s="12"/>
      <c r="G708" s="12"/>
      <c r="H708" s="12"/>
      <c r="I708" s="12"/>
      <c r="J708" s="14"/>
      <c r="K708" s="12"/>
      <c r="L708" s="12"/>
      <c r="M708" s="12"/>
      <c r="N708" s="12"/>
      <c r="O708" s="12"/>
      <c r="P708" s="15"/>
      <c r="Q708" s="7"/>
      <c r="R708" s="7"/>
      <c r="S708" s="7"/>
      <c r="T708" s="8"/>
      <c r="U708" s="8"/>
    </row>
    <row r="709" spans="1:21">
      <c r="A709" s="10"/>
      <c r="B709" s="19"/>
      <c r="C709" s="12"/>
      <c r="D709" s="13"/>
      <c r="E709" s="12"/>
      <c r="F709" s="12"/>
      <c r="G709" s="12"/>
      <c r="H709" s="12"/>
      <c r="I709" s="12"/>
      <c r="J709" s="14"/>
      <c r="K709" s="12"/>
      <c r="L709" s="12"/>
      <c r="M709" s="12"/>
      <c r="N709" s="12"/>
      <c r="O709" s="12"/>
      <c r="P709" s="15"/>
      <c r="Q709" s="7"/>
      <c r="R709" s="7"/>
      <c r="S709" s="7"/>
      <c r="T709" s="8"/>
      <c r="U709" s="8"/>
    </row>
    <row r="710" spans="1:21">
      <c r="A710" s="10"/>
      <c r="B710" s="19"/>
      <c r="C710" s="12"/>
      <c r="D710" s="13"/>
      <c r="E710" s="12"/>
      <c r="F710" s="12"/>
      <c r="G710" s="12"/>
      <c r="H710" s="12"/>
      <c r="I710" s="12"/>
      <c r="J710" s="14"/>
      <c r="K710" s="12"/>
      <c r="L710" s="12"/>
      <c r="M710" s="12"/>
      <c r="N710" s="12"/>
      <c r="O710" s="12"/>
      <c r="P710" s="15"/>
      <c r="Q710" s="7"/>
      <c r="R710" s="7"/>
      <c r="S710" s="7"/>
      <c r="T710" s="8"/>
      <c r="U710" s="8"/>
    </row>
    <row r="711" spans="1:21">
      <c r="A711" s="10"/>
      <c r="B711" s="19"/>
      <c r="C711" s="12"/>
      <c r="D711" s="13"/>
      <c r="E711" s="12"/>
      <c r="F711" s="12"/>
      <c r="G711" s="12"/>
      <c r="H711" s="12"/>
      <c r="I711" s="12"/>
      <c r="J711" s="14"/>
      <c r="K711" s="12"/>
      <c r="L711" s="12"/>
      <c r="M711" s="12"/>
      <c r="N711" s="12"/>
      <c r="O711" s="12"/>
      <c r="P711" s="15"/>
      <c r="Q711" s="7"/>
      <c r="R711" s="7"/>
      <c r="S711" s="7"/>
      <c r="T711" s="8"/>
      <c r="U711" s="8"/>
    </row>
    <row r="712" spans="1:21">
      <c r="A712" s="10"/>
      <c r="B712" s="19"/>
      <c r="C712" s="12"/>
      <c r="D712" s="13"/>
      <c r="E712" s="12"/>
      <c r="F712" s="12"/>
      <c r="G712" s="12"/>
      <c r="H712" s="12"/>
      <c r="I712" s="12"/>
      <c r="J712" s="14"/>
      <c r="K712" s="12"/>
      <c r="L712" s="12"/>
      <c r="M712" s="12"/>
      <c r="N712" s="12"/>
      <c r="O712" s="12"/>
      <c r="P712" s="15"/>
      <c r="Q712" s="7"/>
      <c r="R712" s="7"/>
      <c r="S712" s="7"/>
      <c r="T712" s="8"/>
      <c r="U712" s="8"/>
    </row>
    <row r="713" spans="1:21">
      <c r="A713" s="10"/>
      <c r="B713" s="19"/>
      <c r="C713" s="12"/>
      <c r="D713" s="13"/>
      <c r="E713" s="12"/>
      <c r="F713" s="12"/>
      <c r="G713" s="12"/>
      <c r="H713" s="12"/>
      <c r="I713" s="12"/>
      <c r="J713" s="14"/>
      <c r="K713" s="12"/>
      <c r="L713" s="12"/>
      <c r="M713" s="12"/>
      <c r="N713" s="12"/>
      <c r="O713" s="12"/>
      <c r="P713" s="15"/>
      <c r="Q713" s="7"/>
      <c r="R713" s="7"/>
      <c r="S713" s="7"/>
      <c r="T713" s="8"/>
      <c r="U713" s="8"/>
    </row>
    <row r="714" spans="1:21">
      <c r="A714" s="10"/>
      <c r="B714" s="19"/>
      <c r="C714" s="12"/>
      <c r="D714" s="13"/>
      <c r="E714" s="12"/>
      <c r="F714" s="12"/>
      <c r="G714" s="12"/>
      <c r="H714" s="12"/>
      <c r="I714" s="12"/>
      <c r="J714" s="14"/>
      <c r="K714" s="12"/>
      <c r="L714" s="12"/>
      <c r="M714" s="12"/>
      <c r="N714" s="12"/>
      <c r="O714" s="12"/>
      <c r="P714" s="15"/>
      <c r="Q714" s="7"/>
      <c r="R714" s="7"/>
      <c r="S714" s="7"/>
      <c r="T714" s="8"/>
      <c r="U714" s="8"/>
    </row>
    <row r="715" spans="1:21">
      <c r="A715" s="10"/>
      <c r="B715" s="19"/>
      <c r="C715" s="12"/>
      <c r="D715" s="13"/>
      <c r="E715" s="12"/>
      <c r="F715" s="12"/>
      <c r="G715" s="12"/>
      <c r="H715" s="12"/>
      <c r="I715" s="12"/>
      <c r="J715" s="14"/>
      <c r="K715" s="12"/>
      <c r="L715" s="12"/>
      <c r="M715" s="12"/>
      <c r="N715" s="12"/>
      <c r="O715" s="12"/>
      <c r="P715" s="15"/>
      <c r="Q715" s="7"/>
      <c r="R715" s="7"/>
      <c r="S715" s="7"/>
      <c r="T715" s="8"/>
      <c r="U715" s="8"/>
    </row>
    <row r="716" spans="1:21">
      <c r="A716" s="10"/>
      <c r="B716" s="19"/>
      <c r="C716" s="12"/>
      <c r="D716" s="13"/>
      <c r="E716" s="12"/>
      <c r="F716" s="12"/>
      <c r="G716" s="12"/>
      <c r="H716" s="12"/>
      <c r="I716" s="12"/>
      <c r="J716" s="14"/>
      <c r="K716" s="12"/>
      <c r="L716" s="12"/>
      <c r="M716" s="12"/>
      <c r="N716" s="12"/>
      <c r="O716" s="12"/>
      <c r="P716" s="15"/>
      <c r="Q716" s="7"/>
      <c r="R716" s="7"/>
      <c r="S716" s="7"/>
      <c r="T716" s="8"/>
      <c r="U716" s="8"/>
    </row>
    <row r="717" spans="1:21">
      <c r="A717" s="10"/>
      <c r="B717" s="19"/>
      <c r="C717" s="12"/>
      <c r="D717" s="13"/>
      <c r="E717" s="12"/>
      <c r="F717" s="12"/>
      <c r="G717" s="12"/>
      <c r="H717" s="12"/>
      <c r="I717" s="12"/>
      <c r="J717" s="14"/>
      <c r="K717" s="12"/>
      <c r="L717" s="12"/>
      <c r="M717" s="12"/>
      <c r="N717" s="12"/>
      <c r="O717" s="12"/>
      <c r="P717" s="15"/>
      <c r="Q717" s="7"/>
      <c r="R717" s="7"/>
      <c r="S717" s="7"/>
      <c r="T717" s="8"/>
      <c r="U717" s="8"/>
    </row>
    <row r="718" spans="1:21">
      <c r="A718" s="10"/>
      <c r="B718" s="19"/>
      <c r="C718" s="12"/>
      <c r="D718" s="13"/>
      <c r="E718" s="12"/>
      <c r="F718" s="12"/>
      <c r="G718" s="12"/>
      <c r="H718" s="12"/>
      <c r="I718" s="12"/>
      <c r="J718" s="14"/>
      <c r="K718" s="12"/>
      <c r="L718" s="12"/>
      <c r="M718" s="12"/>
      <c r="N718" s="12"/>
      <c r="O718" s="12"/>
      <c r="P718" s="15"/>
      <c r="Q718" s="7"/>
      <c r="R718" s="7"/>
      <c r="S718" s="7"/>
      <c r="T718" s="8"/>
      <c r="U718" s="8"/>
    </row>
    <row r="719" spans="1:21">
      <c r="A719" s="10"/>
      <c r="B719" s="19"/>
      <c r="C719" s="12"/>
      <c r="D719" s="13"/>
      <c r="E719" s="12"/>
      <c r="F719" s="12"/>
      <c r="G719" s="12"/>
      <c r="H719" s="12"/>
      <c r="I719" s="12"/>
      <c r="J719" s="14"/>
      <c r="K719" s="12"/>
      <c r="L719" s="12"/>
      <c r="M719" s="12"/>
      <c r="N719" s="12"/>
      <c r="O719" s="12"/>
      <c r="P719" s="15"/>
      <c r="Q719" s="7"/>
      <c r="R719" s="7"/>
      <c r="S719" s="7"/>
      <c r="T719" s="8"/>
      <c r="U719" s="8"/>
    </row>
    <row r="720" spans="1:21">
      <c r="A720" s="10"/>
      <c r="B720" s="19"/>
      <c r="C720" s="12"/>
      <c r="D720" s="13"/>
      <c r="E720" s="12"/>
      <c r="F720" s="12"/>
      <c r="G720" s="12"/>
      <c r="H720" s="12"/>
      <c r="I720" s="12"/>
      <c r="J720" s="14"/>
      <c r="K720" s="12"/>
      <c r="L720" s="12"/>
      <c r="M720" s="12"/>
      <c r="N720" s="12"/>
      <c r="O720" s="12"/>
      <c r="P720" s="15"/>
      <c r="Q720" s="7"/>
      <c r="R720" s="7"/>
      <c r="S720" s="7"/>
      <c r="T720" s="8"/>
      <c r="U720" s="8"/>
    </row>
    <row r="721" spans="1:21">
      <c r="A721" s="10"/>
      <c r="B721" s="19"/>
      <c r="C721" s="12"/>
      <c r="D721" s="13"/>
      <c r="E721" s="12"/>
      <c r="F721" s="12"/>
      <c r="G721" s="12"/>
      <c r="H721" s="12"/>
      <c r="I721" s="12"/>
      <c r="J721" s="14"/>
      <c r="K721" s="12"/>
      <c r="L721" s="12"/>
      <c r="M721" s="12"/>
      <c r="N721" s="12"/>
      <c r="O721" s="12"/>
      <c r="P721" s="15"/>
      <c r="Q721" s="7"/>
      <c r="R721" s="7"/>
      <c r="S721" s="7"/>
      <c r="T721" s="8"/>
      <c r="U721" s="8"/>
    </row>
    <row r="722" spans="1:21">
      <c r="A722" s="10"/>
      <c r="B722" s="19"/>
      <c r="C722" s="12"/>
      <c r="D722" s="13"/>
      <c r="E722" s="12"/>
      <c r="F722" s="12"/>
      <c r="G722" s="12"/>
      <c r="H722" s="12"/>
      <c r="I722" s="12"/>
      <c r="J722" s="14"/>
      <c r="K722" s="12"/>
      <c r="L722" s="12"/>
      <c r="M722" s="12"/>
      <c r="N722" s="12"/>
      <c r="O722" s="12"/>
      <c r="P722" s="15"/>
      <c r="Q722" s="7"/>
      <c r="R722" s="7"/>
      <c r="S722" s="7"/>
      <c r="T722" s="8"/>
      <c r="U722" s="8"/>
    </row>
    <row r="723" spans="1:21">
      <c r="A723" s="10"/>
      <c r="B723" s="19"/>
      <c r="C723" s="12"/>
      <c r="D723" s="13"/>
      <c r="E723" s="12"/>
      <c r="F723" s="12"/>
      <c r="G723" s="12"/>
      <c r="H723" s="12"/>
      <c r="I723" s="12"/>
      <c r="J723" s="14"/>
      <c r="K723" s="12"/>
      <c r="L723" s="12"/>
      <c r="M723" s="12"/>
      <c r="N723" s="12"/>
      <c r="O723" s="12"/>
      <c r="P723" s="15"/>
      <c r="Q723" s="7"/>
      <c r="R723" s="7"/>
      <c r="S723" s="7"/>
      <c r="T723" s="8"/>
      <c r="U723" s="8"/>
    </row>
    <row r="724" spans="1:21">
      <c r="A724" s="10"/>
      <c r="B724" s="19"/>
      <c r="C724" s="12"/>
      <c r="D724" s="13"/>
      <c r="E724" s="12"/>
      <c r="F724" s="12"/>
      <c r="G724" s="12"/>
      <c r="H724" s="12"/>
      <c r="I724" s="12"/>
      <c r="J724" s="14"/>
      <c r="K724" s="12"/>
      <c r="L724" s="12"/>
      <c r="M724" s="12"/>
      <c r="N724" s="12"/>
      <c r="O724" s="12"/>
      <c r="P724" s="15"/>
      <c r="Q724" s="7"/>
      <c r="R724" s="7"/>
      <c r="S724" s="7"/>
      <c r="T724" s="8"/>
      <c r="U724" s="8"/>
    </row>
    <row r="725" spans="1:21">
      <c r="A725" s="10"/>
      <c r="B725" s="19"/>
      <c r="C725" s="12"/>
      <c r="D725" s="13"/>
      <c r="E725" s="12"/>
      <c r="F725" s="12"/>
      <c r="G725" s="12"/>
      <c r="H725" s="12"/>
      <c r="I725" s="12"/>
      <c r="J725" s="14"/>
      <c r="K725" s="12"/>
      <c r="L725" s="12"/>
      <c r="M725" s="12"/>
      <c r="N725" s="12"/>
      <c r="O725" s="12"/>
      <c r="P725" s="15"/>
      <c r="Q725" s="7"/>
      <c r="R725" s="7"/>
      <c r="S725" s="7"/>
      <c r="T725" s="8"/>
      <c r="U725" s="8"/>
    </row>
    <row r="726" spans="1:21">
      <c r="A726" s="10"/>
      <c r="B726" s="19"/>
      <c r="C726" s="12"/>
      <c r="D726" s="13"/>
      <c r="E726" s="12"/>
      <c r="F726" s="12"/>
      <c r="G726" s="12"/>
      <c r="H726" s="12"/>
      <c r="I726" s="12"/>
      <c r="J726" s="14"/>
      <c r="K726" s="12"/>
      <c r="L726" s="12"/>
      <c r="M726" s="12"/>
      <c r="N726" s="12"/>
      <c r="O726" s="12"/>
      <c r="P726" s="15"/>
      <c r="Q726" s="7"/>
      <c r="R726" s="7"/>
      <c r="S726" s="7"/>
      <c r="T726" s="8"/>
      <c r="U726" s="8"/>
    </row>
    <row r="727" spans="1:21">
      <c r="A727" s="10"/>
      <c r="B727" s="19"/>
      <c r="C727" s="12"/>
      <c r="D727" s="13"/>
      <c r="E727" s="12"/>
      <c r="F727" s="12"/>
      <c r="G727" s="12"/>
      <c r="H727" s="12"/>
      <c r="I727" s="12"/>
      <c r="J727" s="14"/>
      <c r="K727" s="12"/>
      <c r="L727" s="12"/>
      <c r="M727" s="12"/>
      <c r="N727" s="12"/>
      <c r="O727" s="12"/>
      <c r="P727" s="15"/>
      <c r="Q727" s="7"/>
      <c r="R727" s="7"/>
      <c r="S727" s="7"/>
      <c r="T727" s="8"/>
      <c r="U727" s="8"/>
    </row>
    <row r="728" spans="1:21">
      <c r="A728" s="10"/>
      <c r="B728" s="19"/>
      <c r="C728" s="12"/>
      <c r="D728" s="13"/>
      <c r="E728" s="12"/>
      <c r="F728" s="12"/>
      <c r="G728" s="12"/>
      <c r="H728" s="12"/>
      <c r="I728" s="12"/>
      <c r="J728" s="14"/>
      <c r="K728" s="12"/>
      <c r="L728" s="12"/>
      <c r="M728" s="12"/>
      <c r="N728" s="12"/>
      <c r="O728" s="12"/>
      <c r="P728" s="15"/>
      <c r="Q728" s="7"/>
      <c r="R728" s="7"/>
      <c r="S728" s="7"/>
      <c r="T728" s="8"/>
      <c r="U728" s="8"/>
    </row>
    <row r="729" spans="1:21">
      <c r="A729" s="10"/>
      <c r="B729" s="19"/>
      <c r="C729" s="12"/>
      <c r="D729" s="13"/>
      <c r="E729" s="12"/>
      <c r="F729" s="12"/>
      <c r="G729" s="12"/>
      <c r="H729" s="12"/>
      <c r="I729" s="12"/>
      <c r="J729" s="14"/>
      <c r="K729" s="12"/>
      <c r="L729" s="12"/>
      <c r="M729" s="12"/>
      <c r="N729" s="12"/>
      <c r="O729" s="12"/>
      <c r="P729" s="15"/>
      <c r="Q729" s="7"/>
      <c r="R729" s="7"/>
      <c r="S729" s="7"/>
      <c r="T729" s="8"/>
      <c r="U729" s="8"/>
    </row>
    <row r="730" spans="1:21">
      <c r="A730" s="10"/>
      <c r="B730" s="19"/>
      <c r="C730" s="12"/>
      <c r="D730" s="13"/>
      <c r="E730" s="12"/>
      <c r="F730" s="12"/>
      <c r="G730" s="12"/>
      <c r="H730" s="12"/>
      <c r="I730" s="12"/>
      <c r="J730" s="14"/>
      <c r="K730" s="12"/>
      <c r="L730" s="12"/>
      <c r="M730" s="12"/>
      <c r="N730" s="12"/>
      <c r="O730" s="12"/>
      <c r="P730" s="15"/>
      <c r="Q730" s="7"/>
      <c r="R730" s="7"/>
      <c r="S730" s="7"/>
      <c r="T730" s="8"/>
      <c r="U730" s="8"/>
    </row>
    <row r="731" spans="1:21">
      <c r="A731" s="10"/>
      <c r="B731" s="19"/>
      <c r="C731" s="12"/>
      <c r="D731" s="13"/>
      <c r="E731" s="12"/>
      <c r="F731" s="12"/>
      <c r="G731" s="12"/>
      <c r="H731" s="12"/>
      <c r="I731" s="12"/>
      <c r="J731" s="14"/>
      <c r="K731" s="12"/>
      <c r="L731" s="12"/>
      <c r="M731" s="12"/>
      <c r="N731" s="12"/>
      <c r="O731" s="12"/>
      <c r="P731" s="15"/>
      <c r="Q731" s="7"/>
      <c r="R731" s="7"/>
      <c r="S731" s="7"/>
      <c r="T731" s="8"/>
      <c r="U731" s="8"/>
    </row>
    <row r="732" spans="1:21">
      <c r="A732" s="10"/>
      <c r="B732" s="19"/>
      <c r="C732" s="12"/>
      <c r="D732" s="13"/>
      <c r="E732" s="12"/>
      <c r="F732" s="12"/>
      <c r="G732" s="12"/>
      <c r="H732" s="12"/>
      <c r="I732" s="12"/>
      <c r="J732" s="14"/>
      <c r="K732" s="12"/>
      <c r="L732" s="12"/>
      <c r="M732" s="12"/>
      <c r="N732" s="12"/>
      <c r="O732" s="12"/>
      <c r="P732" s="15"/>
      <c r="Q732" s="7"/>
      <c r="R732" s="7"/>
      <c r="S732" s="7"/>
      <c r="T732" s="8"/>
      <c r="U732" s="8"/>
    </row>
    <row r="733" spans="1:21">
      <c r="A733" s="10"/>
      <c r="B733" s="19"/>
      <c r="C733" s="12"/>
      <c r="D733" s="13"/>
      <c r="E733" s="12"/>
      <c r="F733" s="12"/>
      <c r="G733" s="12"/>
      <c r="H733" s="12"/>
      <c r="I733" s="12"/>
      <c r="J733" s="14"/>
      <c r="K733" s="12"/>
      <c r="L733" s="12"/>
      <c r="M733" s="12"/>
      <c r="N733" s="12"/>
      <c r="O733" s="12"/>
      <c r="P733" s="15"/>
      <c r="Q733" s="7"/>
      <c r="R733" s="7"/>
      <c r="S733" s="7"/>
      <c r="T733" s="8"/>
      <c r="U733" s="8"/>
    </row>
    <row r="734" spans="1:21">
      <c r="A734" s="10"/>
      <c r="B734" s="19"/>
      <c r="C734" s="12"/>
      <c r="D734" s="13"/>
      <c r="E734" s="12"/>
      <c r="F734" s="12"/>
      <c r="G734" s="12"/>
      <c r="H734" s="12"/>
      <c r="I734" s="12"/>
      <c r="J734" s="14"/>
      <c r="K734" s="12"/>
      <c r="L734" s="12"/>
      <c r="M734" s="12"/>
      <c r="N734" s="12"/>
      <c r="O734" s="12"/>
      <c r="P734" s="15"/>
      <c r="Q734" s="7"/>
      <c r="R734" s="7"/>
      <c r="S734" s="7"/>
      <c r="T734" s="8"/>
      <c r="U734" s="8"/>
    </row>
    <row r="735" spans="1:21">
      <c r="A735" s="10"/>
      <c r="B735" s="19"/>
      <c r="C735" s="12"/>
      <c r="D735" s="13"/>
      <c r="E735" s="12"/>
      <c r="F735" s="12"/>
      <c r="G735" s="12"/>
      <c r="H735" s="12"/>
      <c r="I735" s="12"/>
      <c r="J735" s="14"/>
      <c r="K735" s="12"/>
      <c r="L735" s="12"/>
      <c r="M735" s="12"/>
      <c r="N735" s="12"/>
      <c r="O735" s="12"/>
      <c r="P735" s="15"/>
      <c r="Q735" s="7"/>
      <c r="R735" s="7"/>
      <c r="S735" s="7"/>
      <c r="T735" s="8"/>
      <c r="U735" s="8"/>
    </row>
    <row r="736" spans="1:21">
      <c r="A736" s="10"/>
      <c r="B736" s="19"/>
      <c r="C736" s="12"/>
      <c r="D736" s="13"/>
      <c r="E736" s="12"/>
      <c r="F736" s="12"/>
      <c r="G736" s="12"/>
      <c r="H736" s="12"/>
      <c r="I736" s="12"/>
      <c r="J736" s="14"/>
      <c r="K736" s="12"/>
      <c r="L736" s="12"/>
      <c r="M736" s="12"/>
      <c r="N736" s="12"/>
      <c r="O736" s="12"/>
      <c r="P736" s="15"/>
      <c r="Q736" s="7"/>
      <c r="R736" s="7"/>
      <c r="S736" s="7"/>
      <c r="T736" s="8"/>
      <c r="U736" s="8"/>
    </row>
    <row r="737" spans="1:21">
      <c r="A737" s="10"/>
      <c r="B737" s="19"/>
      <c r="C737" s="12"/>
      <c r="D737" s="13"/>
      <c r="E737" s="12"/>
      <c r="F737" s="12"/>
      <c r="G737" s="12"/>
      <c r="H737" s="12"/>
      <c r="I737" s="12"/>
      <c r="J737" s="14"/>
      <c r="K737" s="12"/>
      <c r="L737" s="12"/>
      <c r="M737" s="12"/>
      <c r="N737" s="12"/>
      <c r="O737" s="12"/>
      <c r="P737" s="15"/>
      <c r="Q737" s="7"/>
      <c r="R737" s="7"/>
      <c r="S737" s="7"/>
      <c r="T737" s="8"/>
      <c r="U737" s="8"/>
    </row>
    <row r="738" spans="1:21">
      <c r="A738" s="10"/>
      <c r="B738" s="19"/>
      <c r="C738" s="12"/>
      <c r="D738" s="13"/>
      <c r="E738" s="12"/>
      <c r="F738" s="12"/>
      <c r="G738" s="12"/>
      <c r="H738" s="12"/>
      <c r="I738" s="12"/>
      <c r="J738" s="14"/>
      <c r="K738" s="12"/>
      <c r="L738" s="12"/>
      <c r="M738" s="12"/>
      <c r="N738" s="12"/>
      <c r="O738" s="12"/>
      <c r="P738" s="15"/>
      <c r="Q738" s="7"/>
      <c r="R738" s="7"/>
      <c r="S738" s="7"/>
      <c r="T738" s="8"/>
      <c r="U738" s="8"/>
    </row>
    <row r="739" spans="1:21">
      <c r="A739" s="10"/>
      <c r="B739" s="19"/>
      <c r="C739" s="12"/>
      <c r="D739" s="13"/>
      <c r="E739" s="12"/>
      <c r="F739" s="12"/>
      <c r="G739" s="12"/>
      <c r="H739" s="12"/>
      <c r="I739" s="12"/>
      <c r="J739" s="14"/>
      <c r="K739" s="12"/>
      <c r="L739" s="12"/>
      <c r="M739" s="12"/>
      <c r="N739" s="12"/>
      <c r="O739" s="12"/>
      <c r="P739" s="15"/>
      <c r="Q739" s="7"/>
      <c r="R739" s="7"/>
      <c r="S739" s="7"/>
      <c r="T739" s="8"/>
      <c r="U739" s="8"/>
    </row>
    <row r="740" spans="1:21">
      <c r="A740" s="10"/>
      <c r="B740" s="19"/>
      <c r="C740" s="12"/>
      <c r="D740" s="13"/>
      <c r="E740" s="12"/>
      <c r="F740" s="12"/>
      <c r="G740" s="12"/>
      <c r="H740" s="12"/>
      <c r="I740" s="12"/>
      <c r="J740" s="14"/>
      <c r="K740" s="12"/>
      <c r="L740" s="12"/>
      <c r="M740" s="12"/>
      <c r="N740" s="12"/>
      <c r="O740" s="12"/>
      <c r="P740" s="15"/>
      <c r="Q740" s="7"/>
      <c r="R740" s="7"/>
      <c r="S740" s="7"/>
      <c r="T740" s="8"/>
      <c r="U740" s="8"/>
    </row>
    <row r="741" spans="1:21">
      <c r="A741" s="10"/>
      <c r="B741" s="19"/>
      <c r="C741" s="12"/>
      <c r="D741" s="13"/>
      <c r="E741" s="12"/>
      <c r="F741" s="12"/>
      <c r="G741" s="12"/>
      <c r="H741" s="12"/>
      <c r="I741" s="12"/>
      <c r="J741" s="14"/>
      <c r="K741" s="12"/>
      <c r="L741" s="12"/>
      <c r="M741" s="12"/>
      <c r="N741" s="12"/>
      <c r="O741" s="12"/>
      <c r="P741" s="15"/>
      <c r="Q741" s="7"/>
      <c r="R741" s="7"/>
      <c r="S741" s="7"/>
      <c r="T741" s="8"/>
      <c r="U741" s="8"/>
    </row>
    <row r="742" spans="1:21">
      <c r="A742" s="10"/>
      <c r="B742" s="19"/>
      <c r="C742" s="12"/>
      <c r="D742" s="13"/>
      <c r="E742" s="12"/>
      <c r="F742" s="12"/>
      <c r="G742" s="12"/>
      <c r="H742" s="12"/>
      <c r="I742" s="12"/>
      <c r="J742" s="14"/>
      <c r="K742" s="12"/>
      <c r="L742" s="12"/>
      <c r="M742" s="12"/>
      <c r="N742" s="12"/>
      <c r="O742" s="12"/>
      <c r="P742" s="15"/>
      <c r="Q742" s="7"/>
      <c r="R742" s="7"/>
      <c r="S742" s="7"/>
      <c r="T742" s="8"/>
      <c r="U742" s="8"/>
    </row>
    <row r="743" spans="1:21">
      <c r="A743" s="10"/>
      <c r="B743" s="19"/>
      <c r="C743" s="12"/>
      <c r="D743" s="13"/>
      <c r="E743" s="12"/>
      <c r="F743" s="12"/>
      <c r="G743" s="12"/>
      <c r="H743" s="12"/>
      <c r="I743" s="12"/>
      <c r="J743" s="14"/>
      <c r="K743" s="12"/>
      <c r="L743" s="12"/>
      <c r="M743" s="12"/>
      <c r="N743" s="12"/>
      <c r="O743" s="12"/>
      <c r="P743" s="15"/>
      <c r="Q743" s="7"/>
      <c r="R743" s="7"/>
      <c r="S743" s="7"/>
      <c r="T743" s="8"/>
      <c r="U743" s="8"/>
    </row>
    <row r="744" spans="1:21">
      <c r="A744" s="10"/>
      <c r="B744" s="19"/>
      <c r="C744" s="12"/>
      <c r="D744" s="13"/>
      <c r="E744" s="12"/>
      <c r="F744" s="12"/>
      <c r="G744" s="12"/>
      <c r="H744" s="12"/>
      <c r="I744" s="12"/>
      <c r="J744" s="14"/>
      <c r="K744" s="12"/>
      <c r="L744" s="12"/>
      <c r="M744" s="12"/>
      <c r="N744" s="12"/>
      <c r="O744" s="12"/>
      <c r="P744" s="15"/>
      <c r="Q744" s="7"/>
      <c r="R744" s="7"/>
      <c r="S744" s="7"/>
      <c r="T744" s="8"/>
      <c r="U744" s="8"/>
    </row>
    <row r="745" spans="1:21">
      <c r="A745" s="10"/>
      <c r="B745" s="19"/>
      <c r="C745" s="12"/>
      <c r="D745" s="13"/>
      <c r="E745" s="12"/>
      <c r="F745" s="12"/>
      <c r="G745" s="12"/>
      <c r="H745" s="12"/>
      <c r="I745" s="12"/>
      <c r="J745" s="14"/>
      <c r="K745" s="12"/>
      <c r="L745" s="12"/>
      <c r="M745" s="12"/>
      <c r="N745" s="12"/>
      <c r="O745" s="12"/>
      <c r="P745" s="15"/>
      <c r="Q745" s="7"/>
      <c r="R745" s="7"/>
      <c r="S745" s="7"/>
      <c r="T745" s="8"/>
      <c r="U745" s="8"/>
    </row>
    <row r="746" spans="1:21">
      <c r="A746" s="10"/>
      <c r="B746" s="19"/>
      <c r="C746" s="12"/>
      <c r="D746" s="13"/>
      <c r="E746" s="12"/>
      <c r="F746" s="12"/>
      <c r="G746" s="12"/>
      <c r="H746" s="12"/>
      <c r="I746" s="12"/>
      <c r="J746" s="14"/>
      <c r="K746" s="12"/>
      <c r="L746" s="12"/>
      <c r="M746" s="12"/>
      <c r="N746" s="12"/>
      <c r="O746" s="12"/>
      <c r="P746" s="15"/>
      <c r="Q746" s="7"/>
      <c r="R746" s="7"/>
      <c r="S746" s="7"/>
      <c r="T746" s="8"/>
      <c r="U746" s="8"/>
    </row>
    <row r="747" spans="1:21">
      <c r="A747" s="10"/>
      <c r="B747" s="19"/>
      <c r="C747" s="12"/>
      <c r="D747" s="13"/>
      <c r="E747" s="12"/>
      <c r="F747" s="12"/>
      <c r="G747" s="12"/>
      <c r="H747" s="12"/>
      <c r="I747" s="12"/>
      <c r="J747" s="14"/>
      <c r="K747" s="12"/>
      <c r="L747" s="12"/>
      <c r="M747" s="12"/>
      <c r="N747" s="12"/>
      <c r="O747" s="12"/>
      <c r="P747" s="15"/>
      <c r="Q747" s="7"/>
      <c r="R747" s="7"/>
      <c r="S747" s="7"/>
      <c r="T747" s="8"/>
      <c r="U747" s="8"/>
    </row>
    <row r="748" spans="1:21">
      <c r="A748" s="10"/>
      <c r="B748" s="19"/>
      <c r="C748" s="12"/>
      <c r="D748" s="13"/>
      <c r="E748" s="12"/>
      <c r="F748" s="12"/>
      <c r="G748" s="12"/>
      <c r="H748" s="12"/>
      <c r="I748" s="12"/>
      <c r="J748" s="14"/>
      <c r="K748" s="12"/>
      <c r="L748" s="12"/>
      <c r="M748" s="12"/>
      <c r="N748" s="12"/>
      <c r="O748" s="12"/>
      <c r="P748" s="15"/>
      <c r="Q748" s="7"/>
      <c r="R748" s="7"/>
      <c r="S748" s="7"/>
      <c r="T748" s="8"/>
      <c r="U748" s="8"/>
    </row>
    <row r="749" spans="1:21">
      <c r="A749" s="10"/>
      <c r="B749" s="19"/>
      <c r="C749" s="12"/>
      <c r="D749" s="13"/>
      <c r="E749" s="12"/>
      <c r="F749" s="12"/>
      <c r="G749" s="12"/>
      <c r="H749" s="12"/>
      <c r="I749" s="12"/>
      <c r="J749" s="14"/>
      <c r="K749" s="12"/>
      <c r="L749" s="12"/>
      <c r="M749" s="12"/>
      <c r="N749" s="12"/>
      <c r="O749" s="12"/>
      <c r="P749" s="15"/>
      <c r="Q749" s="7"/>
      <c r="R749" s="7"/>
      <c r="S749" s="7"/>
      <c r="T749" s="8"/>
      <c r="U749" s="8"/>
    </row>
    <row r="750" spans="1:21">
      <c r="A750" s="10"/>
      <c r="B750" s="19"/>
      <c r="C750" s="12"/>
      <c r="D750" s="13"/>
      <c r="E750" s="12"/>
      <c r="F750" s="12"/>
      <c r="G750" s="12"/>
      <c r="H750" s="12"/>
      <c r="I750" s="12"/>
      <c r="J750" s="14"/>
      <c r="K750" s="12"/>
      <c r="L750" s="12"/>
      <c r="M750" s="12"/>
      <c r="N750" s="12"/>
      <c r="O750" s="12"/>
      <c r="P750" s="15"/>
      <c r="Q750" s="7"/>
      <c r="R750" s="7"/>
      <c r="S750" s="7"/>
      <c r="T750" s="8"/>
      <c r="U750" s="8"/>
    </row>
    <row r="751" spans="1:21">
      <c r="A751" s="10"/>
      <c r="B751" s="19"/>
      <c r="C751" s="12"/>
      <c r="D751" s="13"/>
      <c r="E751" s="12"/>
      <c r="F751" s="12"/>
      <c r="G751" s="12"/>
      <c r="H751" s="12"/>
      <c r="I751" s="12"/>
      <c r="J751" s="14"/>
      <c r="K751" s="12"/>
      <c r="L751" s="12"/>
      <c r="M751" s="12"/>
      <c r="N751" s="12"/>
      <c r="O751" s="12"/>
      <c r="P751" s="15"/>
      <c r="Q751" s="7"/>
      <c r="R751" s="7"/>
      <c r="S751" s="7"/>
      <c r="T751" s="8"/>
      <c r="U751" s="8"/>
    </row>
    <row r="752" spans="1:21">
      <c r="A752" s="10"/>
      <c r="B752" s="19"/>
      <c r="C752" s="12"/>
      <c r="D752" s="13"/>
      <c r="E752" s="12"/>
      <c r="F752" s="12"/>
      <c r="G752" s="12"/>
      <c r="H752" s="12"/>
      <c r="I752" s="12"/>
      <c r="J752" s="14"/>
      <c r="K752" s="12"/>
      <c r="L752" s="12"/>
      <c r="M752" s="12"/>
      <c r="N752" s="12"/>
      <c r="O752" s="12"/>
      <c r="P752" s="15"/>
      <c r="Q752" s="7"/>
      <c r="R752" s="7"/>
      <c r="S752" s="7"/>
      <c r="T752" s="8"/>
      <c r="U752" s="8"/>
    </row>
    <row r="753" spans="1:21">
      <c r="A753" s="10"/>
      <c r="B753" s="19"/>
      <c r="C753" s="12"/>
      <c r="D753" s="13"/>
      <c r="E753" s="12"/>
      <c r="F753" s="12"/>
      <c r="G753" s="12"/>
      <c r="H753" s="12"/>
      <c r="I753" s="12"/>
      <c r="J753" s="14"/>
      <c r="K753" s="12"/>
      <c r="L753" s="12"/>
      <c r="M753" s="12"/>
      <c r="N753" s="12"/>
      <c r="O753" s="12"/>
      <c r="P753" s="15"/>
      <c r="Q753" s="7"/>
      <c r="R753" s="7"/>
      <c r="S753" s="7"/>
      <c r="T753" s="8"/>
      <c r="U753" s="8"/>
    </row>
    <row r="754" spans="1:21">
      <c r="A754" s="10"/>
      <c r="B754" s="19"/>
      <c r="C754" s="12"/>
      <c r="D754" s="13"/>
      <c r="E754" s="12"/>
      <c r="F754" s="12"/>
      <c r="G754" s="12"/>
      <c r="H754" s="12"/>
      <c r="I754" s="12"/>
      <c r="J754" s="14"/>
      <c r="K754" s="12"/>
      <c r="L754" s="12"/>
      <c r="M754" s="12"/>
      <c r="N754" s="12"/>
      <c r="O754" s="12"/>
      <c r="P754" s="15"/>
      <c r="Q754" s="7"/>
      <c r="R754" s="7"/>
      <c r="S754" s="7"/>
      <c r="T754" s="8"/>
      <c r="U754" s="8"/>
    </row>
    <row r="755" spans="1:21">
      <c r="A755" s="10"/>
      <c r="B755" s="19"/>
      <c r="C755" s="12"/>
      <c r="D755" s="13"/>
      <c r="E755" s="12"/>
      <c r="F755" s="12"/>
      <c r="G755" s="12"/>
      <c r="H755" s="12"/>
      <c r="I755" s="12"/>
      <c r="J755" s="14"/>
      <c r="K755" s="12"/>
      <c r="L755" s="12"/>
      <c r="M755" s="12"/>
      <c r="N755" s="12"/>
      <c r="O755" s="12"/>
      <c r="P755" s="15"/>
      <c r="Q755" s="7"/>
      <c r="R755" s="7"/>
      <c r="S755" s="7"/>
      <c r="T755" s="8"/>
      <c r="U755" s="8"/>
    </row>
    <row r="756" spans="1:21">
      <c r="A756" s="10"/>
      <c r="B756" s="19"/>
      <c r="C756" s="12"/>
      <c r="D756" s="13"/>
      <c r="E756" s="12"/>
      <c r="F756" s="12"/>
      <c r="G756" s="12"/>
      <c r="H756" s="12"/>
      <c r="I756" s="12"/>
      <c r="J756" s="14"/>
      <c r="K756" s="12"/>
      <c r="L756" s="12"/>
      <c r="M756" s="12"/>
      <c r="N756" s="12"/>
      <c r="O756" s="12"/>
      <c r="P756" s="15"/>
      <c r="Q756" s="7"/>
      <c r="R756" s="7"/>
      <c r="S756" s="7"/>
      <c r="T756" s="8"/>
      <c r="U756" s="8"/>
    </row>
    <row r="757" spans="1:21">
      <c r="A757" s="10"/>
      <c r="B757" s="19"/>
      <c r="C757" s="12"/>
      <c r="D757" s="13"/>
      <c r="E757" s="12"/>
      <c r="F757" s="12"/>
      <c r="G757" s="12"/>
      <c r="H757" s="12"/>
      <c r="I757" s="12"/>
      <c r="J757" s="14"/>
      <c r="K757" s="12"/>
      <c r="L757" s="12"/>
      <c r="M757" s="12"/>
      <c r="N757" s="12"/>
      <c r="O757" s="12"/>
      <c r="P757" s="15"/>
      <c r="Q757" s="7"/>
      <c r="R757" s="7"/>
      <c r="S757" s="7"/>
      <c r="T757" s="8"/>
      <c r="U757" s="8"/>
    </row>
    <row r="758" spans="1:21">
      <c r="A758" s="10"/>
      <c r="B758" s="19"/>
      <c r="C758" s="12"/>
      <c r="D758" s="13"/>
      <c r="E758" s="12"/>
      <c r="F758" s="12"/>
      <c r="G758" s="12"/>
      <c r="H758" s="12"/>
      <c r="I758" s="12"/>
      <c r="J758" s="14"/>
      <c r="K758" s="12"/>
      <c r="L758" s="12"/>
      <c r="M758" s="12"/>
      <c r="N758" s="12"/>
      <c r="O758" s="12"/>
      <c r="P758" s="15"/>
      <c r="Q758" s="7"/>
      <c r="R758" s="7"/>
      <c r="S758" s="7"/>
      <c r="T758" s="8"/>
      <c r="U758" s="8"/>
    </row>
    <row r="759" spans="1:21">
      <c r="A759" s="10"/>
      <c r="B759" s="19"/>
      <c r="C759" s="12"/>
      <c r="D759" s="13"/>
      <c r="E759" s="12"/>
      <c r="F759" s="12"/>
      <c r="G759" s="12"/>
      <c r="H759" s="12"/>
      <c r="I759" s="12"/>
      <c r="J759" s="14"/>
      <c r="K759" s="12"/>
      <c r="L759" s="12"/>
      <c r="M759" s="12"/>
      <c r="N759" s="12"/>
      <c r="O759" s="12"/>
      <c r="P759" s="15"/>
      <c r="Q759" s="7"/>
      <c r="R759" s="7"/>
      <c r="S759" s="7"/>
      <c r="T759" s="8"/>
      <c r="U759" s="8"/>
    </row>
    <row r="760" spans="1:21">
      <c r="A760" s="10"/>
      <c r="B760" s="19"/>
      <c r="C760" s="12"/>
      <c r="D760" s="13"/>
      <c r="E760" s="12"/>
      <c r="F760" s="12"/>
      <c r="G760" s="12"/>
      <c r="H760" s="12"/>
      <c r="I760" s="12"/>
      <c r="J760" s="14"/>
      <c r="K760" s="12"/>
      <c r="L760" s="12"/>
      <c r="M760" s="12"/>
      <c r="N760" s="12"/>
      <c r="O760" s="12"/>
      <c r="P760" s="15"/>
      <c r="Q760" s="7"/>
      <c r="R760" s="7"/>
      <c r="S760" s="7"/>
      <c r="T760" s="8"/>
      <c r="U760" s="8"/>
    </row>
    <row r="761" spans="1:21">
      <c r="A761" s="10"/>
      <c r="B761" s="19"/>
      <c r="C761" s="12"/>
      <c r="D761" s="13"/>
      <c r="E761" s="12"/>
      <c r="F761" s="12"/>
      <c r="G761" s="12"/>
      <c r="H761" s="12"/>
      <c r="I761" s="12"/>
      <c r="J761" s="14"/>
      <c r="K761" s="12"/>
      <c r="L761" s="12"/>
      <c r="M761" s="12"/>
      <c r="N761" s="12"/>
      <c r="O761" s="12"/>
      <c r="P761" s="15"/>
      <c r="Q761" s="7"/>
      <c r="R761" s="7"/>
      <c r="S761" s="7"/>
      <c r="T761" s="8"/>
      <c r="U761" s="8"/>
    </row>
    <row r="762" spans="1:21">
      <c r="A762" s="10"/>
      <c r="B762" s="19"/>
      <c r="C762" s="12"/>
      <c r="D762" s="13"/>
      <c r="E762" s="12"/>
      <c r="F762" s="12"/>
      <c r="G762" s="12"/>
      <c r="H762" s="12"/>
      <c r="I762" s="12"/>
      <c r="J762" s="14"/>
      <c r="K762" s="12"/>
      <c r="L762" s="12"/>
      <c r="M762" s="12"/>
      <c r="N762" s="12"/>
      <c r="O762" s="12"/>
      <c r="P762" s="15"/>
      <c r="Q762" s="7"/>
      <c r="R762" s="7"/>
      <c r="S762" s="7"/>
      <c r="T762" s="8"/>
      <c r="U762" s="8"/>
    </row>
    <row r="763" spans="1:21">
      <c r="A763" s="10"/>
      <c r="B763" s="19"/>
      <c r="C763" s="12"/>
      <c r="D763" s="13"/>
      <c r="E763" s="12"/>
      <c r="F763" s="12"/>
      <c r="G763" s="12"/>
      <c r="H763" s="12"/>
      <c r="I763" s="12"/>
      <c r="J763" s="14"/>
      <c r="K763" s="12"/>
      <c r="L763" s="12"/>
      <c r="M763" s="12"/>
      <c r="N763" s="12"/>
      <c r="O763" s="12"/>
      <c r="P763" s="15"/>
      <c r="Q763" s="7"/>
      <c r="R763" s="7"/>
      <c r="S763" s="7"/>
      <c r="T763" s="8"/>
      <c r="U763" s="8"/>
    </row>
    <row r="764" spans="1:21">
      <c r="A764" s="10"/>
      <c r="B764" s="19"/>
      <c r="C764" s="12"/>
      <c r="D764" s="13"/>
      <c r="E764" s="12"/>
      <c r="F764" s="12"/>
      <c r="G764" s="12"/>
      <c r="H764" s="12"/>
      <c r="I764" s="12"/>
      <c r="J764" s="14"/>
      <c r="K764" s="12"/>
      <c r="L764" s="12"/>
      <c r="M764" s="12"/>
      <c r="N764" s="12"/>
      <c r="O764" s="12"/>
      <c r="P764" s="15"/>
      <c r="Q764" s="7"/>
      <c r="R764" s="7"/>
      <c r="S764" s="7"/>
      <c r="T764" s="8"/>
      <c r="U764" s="8"/>
    </row>
    <row r="765" spans="1:21">
      <c r="A765" s="10"/>
      <c r="B765" s="19"/>
      <c r="C765" s="12"/>
      <c r="D765" s="13"/>
      <c r="E765" s="12"/>
      <c r="F765" s="12"/>
      <c r="G765" s="12"/>
      <c r="H765" s="12"/>
      <c r="I765" s="12"/>
      <c r="J765" s="14"/>
      <c r="K765" s="12"/>
      <c r="L765" s="12"/>
      <c r="M765" s="12"/>
      <c r="N765" s="12"/>
      <c r="O765" s="12"/>
      <c r="P765" s="15"/>
      <c r="Q765" s="7"/>
      <c r="R765" s="7"/>
      <c r="S765" s="7"/>
      <c r="T765" s="8"/>
      <c r="U765" s="8"/>
    </row>
    <row r="766" spans="1:21">
      <c r="A766" s="10"/>
      <c r="B766" s="19"/>
      <c r="C766" s="12"/>
      <c r="D766" s="13"/>
      <c r="E766" s="12"/>
      <c r="F766" s="12"/>
      <c r="G766" s="12"/>
      <c r="H766" s="12"/>
      <c r="I766" s="12"/>
      <c r="J766" s="14"/>
      <c r="K766" s="12"/>
      <c r="L766" s="12"/>
      <c r="M766" s="12"/>
      <c r="N766" s="12"/>
      <c r="O766" s="12"/>
      <c r="P766" s="15"/>
      <c r="Q766" s="7"/>
      <c r="R766" s="7"/>
      <c r="S766" s="7"/>
      <c r="T766" s="8"/>
      <c r="U766" s="8"/>
    </row>
    <row r="767" spans="1:21">
      <c r="A767" s="10"/>
      <c r="B767" s="19"/>
      <c r="C767" s="12"/>
      <c r="D767" s="13"/>
      <c r="E767" s="12"/>
      <c r="F767" s="12"/>
      <c r="G767" s="12"/>
      <c r="H767" s="12"/>
      <c r="I767" s="12"/>
      <c r="J767" s="14"/>
      <c r="K767" s="12"/>
      <c r="L767" s="12"/>
      <c r="M767" s="12"/>
      <c r="N767" s="12"/>
      <c r="O767" s="12"/>
      <c r="P767" s="15"/>
      <c r="Q767" s="7"/>
      <c r="R767" s="7"/>
      <c r="S767" s="7"/>
      <c r="T767" s="8"/>
      <c r="U767" s="8"/>
    </row>
    <row r="768" spans="1:21">
      <c r="A768" s="10"/>
      <c r="B768" s="19"/>
      <c r="C768" s="12"/>
      <c r="D768" s="13"/>
      <c r="E768" s="12"/>
      <c r="F768" s="12"/>
      <c r="G768" s="12"/>
      <c r="H768" s="12"/>
      <c r="I768" s="12"/>
      <c r="J768" s="14"/>
      <c r="K768" s="12"/>
      <c r="L768" s="12"/>
      <c r="M768" s="12"/>
      <c r="N768" s="12"/>
      <c r="O768" s="12"/>
      <c r="P768" s="15"/>
      <c r="Q768" s="7"/>
      <c r="R768" s="7"/>
      <c r="S768" s="7"/>
      <c r="T768" s="8"/>
      <c r="U768" s="8"/>
    </row>
    <row r="769" spans="1:21">
      <c r="A769" s="10"/>
      <c r="B769" s="19"/>
      <c r="C769" s="12"/>
      <c r="D769" s="13"/>
      <c r="E769" s="12"/>
      <c r="F769" s="12"/>
      <c r="G769" s="12"/>
      <c r="H769" s="12"/>
      <c r="I769" s="12"/>
      <c r="J769" s="14"/>
      <c r="K769" s="12"/>
      <c r="L769" s="12"/>
      <c r="M769" s="12"/>
      <c r="N769" s="12"/>
      <c r="O769" s="12"/>
      <c r="P769" s="15"/>
      <c r="Q769" s="7"/>
      <c r="R769" s="7"/>
      <c r="S769" s="7"/>
      <c r="T769" s="8"/>
      <c r="U769" s="8"/>
    </row>
    <row r="770" spans="1:21">
      <c r="A770" s="10"/>
      <c r="B770" s="19"/>
      <c r="C770" s="12"/>
      <c r="D770" s="13"/>
      <c r="E770" s="12"/>
      <c r="F770" s="12"/>
      <c r="G770" s="12"/>
      <c r="H770" s="12"/>
      <c r="I770" s="12"/>
      <c r="J770" s="14"/>
      <c r="K770" s="12"/>
      <c r="L770" s="12"/>
      <c r="M770" s="12"/>
      <c r="N770" s="12"/>
      <c r="O770" s="12"/>
      <c r="P770" s="15"/>
      <c r="Q770" s="7"/>
      <c r="R770" s="7"/>
      <c r="S770" s="7"/>
      <c r="T770" s="8"/>
      <c r="U770" s="8"/>
    </row>
    <row r="771" spans="1:21">
      <c r="A771" s="10"/>
      <c r="B771" s="19"/>
      <c r="C771" s="12"/>
      <c r="D771" s="13"/>
      <c r="E771" s="12"/>
      <c r="F771" s="12"/>
      <c r="G771" s="12"/>
      <c r="H771" s="12"/>
      <c r="I771" s="12"/>
      <c r="J771" s="14"/>
      <c r="K771" s="12"/>
      <c r="L771" s="12"/>
      <c r="M771" s="12"/>
      <c r="N771" s="12"/>
      <c r="O771" s="12"/>
      <c r="P771" s="15"/>
      <c r="Q771" s="7"/>
      <c r="R771" s="7"/>
      <c r="S771" s="7"/>
      <c r="T771" s="8"/>
      <c r="U771" s="8"/>
    </row>
    <row r="772" spans="1:21">
      <c r="A772" s="10"/>
      <c r="B772" s="19"/>
      <c r="C772" s="12"/>
      <c r="D772" s="13"/>
      <c r="E772" s="12"/>
      <c r="F772" s="12"/>
      <c r="G772" s="12"/>
      <c r="H772" s="12"/>
      <c r="I772" s="12"/>
      <c r="J772" s="14"/>
      <c r="K772" s="12"/>
      <c r="L772" s="12"/>
      <c r="M772" s="12"/>
      <c r="N772" s="12"/>
      <c r="O772" s="12"/>
      <c r="P772" s="15"/>
      <c r="Q772" s="7"/>
      <c r="R772" s="7"/>
      <c r="S772" s="7"/>
      <c r="T772" s="8"/>
      <c r="U772" s="8"/>
    </row>
    <row r="773" spans="1:21">
      <c r="A773" s="10"/>
      <c r="B773" s="19"/>
      <c r="C773" s="12"/>
      <c r="D773" s="13"/>
      <c r="E773" s="12"/>
      <c r="F773" s="12"/>
      <c r="G773" s="12"/>
      <c r="H773" s="12"/>
      <c r="I773" s="12"/>
      <c r="J773" s="14"/>
      <c r="K773" s="12"/>
      <c r="L773" s="12"/>
      <c r="M773" s="12"/>
      <c r="N773" s="12"/>
      <c r="O773" s="12"/>
      <c r="P773" s="15"/>
      <c r="Q773" s="7"/>
      <c r="R773" s="7"/>
      <c r="S773" s="7"/>
      <c r="T773" s="8"/>
      <c r="U773" s="8"/>
    </row>
    <row r="774" spans="1:21">
      <c r="A774" s="10"/>
      <c r="B774" s="19"/>
      <c r="C774" s="12"/>
      <c r="D774" s="13"/>
      <c r="E774" s="12"/>
      <c r="F774" s="12"/>
      <c r="G774" s="12"/>
      <c r="H774" s="12"/>
      <c r="I774" s="12"/>
      <c r="J774" s="14"/>
      <c r="K774" s="12"/>
      <c r="L774" s="12"/>
      <c r="M774" s="12"/>
      <c r="N774" s="12"/>
      <c r="O774" s="12"/>
      <c r="P774" s="15"/>
      <c r="Q774" s="7"/>
      <c r="R774" s="7"/>
      <c r="S774" s="7"/>
      <c r="T774" s="8"/>
      <c r="U774" s="8"/>
    </row>
    <row r="775" spans="1:21">
      <c r="A775" s="10"/>
      <c r="B775" s="19"/>
      <c r="C775" s="12"/>
      <c r="D775" s="13"/>
      <c r="E775" s="12"/>
      <c r="F775" s="12"/>
      <c r="G775" s="12"/>
      <c r="H775" s="12"/>
      <c r="I775" s="12"/>
      <c r="J775" s="14"/>
      <c r="K775" s="12"/>
      <c r="L775" s="12"/>
      <c r="M775" s="12"/>
      <c r="N775" s="12"/>
      <c r="O775" s="12"/>
      <c r="P775" s="15"/>
      <c r="Q775" s="7"/>
      <c r="R775" s="7"/>
      <c r="S775" s="7"/>
      <c r="T775" s="8"/>
      <c r="U775" s="8"/>
    </row>
    <row r="776" spans="1:21">
      <c r="A776" s="10"/>
      <c r="B776" s="19"/>
      <c r="C776" s="12"/>
      <c r="D776" s="13"/>
      <c r="E776" s="12"/>
      <c r="F776" s="12"/>
      <c r="G776" s="12"/>
      <c r="H776" s="12"/>
      <c r="I776" s="12"/>
      <c r="J776" s="14"/>
      <c r="K776" s="12"/>
      <c r="L776" s="12"/>
      <c r="M776" s="12"/>
      <c r="N776" s="12"/>
      <c r="O776" s="12"/>
      <c r="P776" s="15"/>
      <c r="Q776" s="7"/>
      <c r="R776" s="7"/>
      <c r="S776" s="7"/>
      <c r="T776" s="8"/>
      <c r="U776" s="8"/>
    </row>
    <row r="777" spans="1:21">
      <c r="A777" s="10"/>
      <c r="B777" s="19"/>
      <c r="C777" s="12"/>
      <c r="D777" s="13"/>
      <c r="E777" s="12"/>
      <c r="F777" s="12"/>
      <c r="G777" s="12"/>
      <c r="H777" s="12"/>
      <c r="I777" s="12"/>
      <c r="J777" s="14"/>
      <c r="K777" s="12"/>
      <c r="L777" s="12"/>
      <c r="M777" s="12"/>
      <c r="N777" s="12"/>
      <c r="O777" s="12"/>
      <c r="P777" s="15"/>
      <c r="Q777" s="7"/>
      <c r="R777" s="7"/>
      <c r="S777" s="7"/>
      <c r="T777" s="8"/>
      <c r="U777" s="8"/>
    </row>
    <row r="778" spans="1:21">
      <c r="A778" s="10"/>
      <c r="B778" s="19"/>
      <c r="C778" s="12"/>
      <c r="D778" s="13"/>
      <c r="E778" s="12"/>
      <c r="F778" s="12"/>
      <c r="G778" s="12"/>
      <c r="H778" s="12"/>
      <c r="I778" s="12"/>
      <c r="J778" s="14"/>
      <c r="K778" s="12"/>
      <c r="L778" s="12"/>
      <c r="M778" s="12"/>
      <c r="N778" s="12"/>
      <c r="O778" s="12"/>
      <c r="P778" s="15"/>
      <c r="Q778" s="7"/>
      <c r="R778" s="7"/>
      <c r="S778" s="7"/>
      <c r="T778" s="8"/>
      <c r="U778" s="8"/>
    </row>
    <row r="779" spans="1:21">
      <c r="A779" s="10"/>
      <c r="B779" s="19"/>
      <c r="C779" s="12"/>
      <c r="D779" s="13"/>
      <c r="E779" s="12"/>
      <c r="F779" s="12"/>
      <c r="G779" s="12"/>
      <c r="H779" s="12"/>
      <c r="I779" s="12"/>
      <c r="J779" s="14"/>
      <c r="K779" s="12"/>
      <c r="L779" s="12"/>
      <c r="M779" s="12"/>
      <c r="N779" s="12"/>
      <c r="O779" s="12"/>
      <c r="P779" s="15"/>
      <c r="Q779" s="7"/>
      <c r="R779" s="7"/>
      <c r="S779" s="7"/>
      <c r="T779" s="8"/>
      <c r="U779" s="8"/>
    </row>
    <row r="780" spans="1:21">
      <c r="A780" s="10"/>
      <c r="B780" s="19"/>
      <c r="C780" s="12"/>
      <c r="D780" s="13"/>
      <c r="E780" s="12"/>
      <c r="F780" s="12"/>
      <c r="G780" s="12"/>
      <c r="H780" s="12"/>
      <c r="I780" s="12"/>
      <c r="J780" s="14"/>
      <c r="K780" s="12"/>
      <c r="L780" s="12"/>
      <c r="M780" s="12"/>
      <c r="N780" s="12"/>
      <c r="O780" s="12"/>
      <c r="P780" s="15"/>
      <c r="Q780" s="7"/>
      <c r="R780" s="7"/>
      <c r="S780" s="7"/>
      <c r="T780" s="8"/>
      <c r="U780" s="8"/>
    </row>
    <row r="781" spans="1:21">
      <c r="A781" s="10"/>
      <c r="B781" s="19"/>
      <c r="C781" s="12"/>
      <c r="D781" s="13"/>
      <c r="E781" s="12"/>
      <c r="F781" s="12"/>
      <c r="G781" s="12"/>
      <c r="H781" s="12"/>
      <c r="I781" s="12"/>
      <c r="J781" s="14"/>
      <c r="K781" s="12"/>
      <c r="L781" s="12"/>
      <c r="M781" s="12"/>
      <c r="N781" s="12"/>
      <c r="O781" s="12"/>
      <c r="P781" s="15"/>
      <c r="Q781" s="7"/>
      <c r="R781" s="7"/>
      <c r="S781" s="7"/>
      <c r="T781" s="8"/>
      <c r="U781" s="8"/>
    </row>
    <row r="782" spans="1:21">
      <c r="A782" s="10"/>
      <c r="B782" s="19"/>
      <c r="C782" s="12"/>
      <c r="D782" s="13"/>
      <c r="E782" s="12"/>
      <c r="F782" s="12"/>
      <c r="G782" s="12"/>
      <c r="H782" s="12"/>
      <c r="I782" s="12"/>
      <c r="J782" s="14"/>
      <c r="K782" s="12"/>
      <c r="L782" s="12"/>
      <c r="M782" s="12"/>
      <c r="N782" s="12"/>
      <c r="O782" s="12"/>
      <c r="P782" s="15"/>
      <c r="Q782" s="7"/>
      <c r="R782" s="7"/>
      <c r="S782" s="7"/>
      <c r="T782" s="8"/>
      <c r="U782" s="8"/>
    </row>
    <row r="783" spans="1:21">
      <c r="A783" s="10"/>
      <c r="B783" s="19"/>
      <c r="C783" s="12"/>
      <c r="D783" s="13"/>
      <c r="E783" s="12"/>
      <c r="F783" s="12"/>
      <c r="G783" s="12"/>
      <c r="H783" s="12"/>
      <c r="I783" s="12"/>
      <c r="J783" s="14"/>
      <c r="K783" s="12"/>
      <c r="L783" s="12"/>
      <c r="M783" s="12"/>
      <c r="N783" s="12"/>
      <c r="O783" s="12"/>
      <c r="P783" s="15"/>
      <c r="Q783" s="7"/>
      <c r="R783" s="7"/>
      <c r="S783" s="7"/>
      <c r="T783" s="8"/>
      <c r="U783" s="8"/>
    </row>
    <row r="784" spans="1:21">
      <c r="A784" s="10"/>
      <c r="B784" s="19"/>
      <c r="C784" s="12"/>
      <c r="D784" s="13"/>
      <c r="E784" s="12"/>
      <c r="F784" s="12"/>
      <c r="G784" s="12"/>
      <c r="H784" s="12"/>
      <c r="I784" s="12"/>
      <c r="J784" s="14"/>
      <c r="K784" s="12"/>
      <c r="L784" s="12"/>
      <c r="M784" s="12"/>
      <c r="N784" s="12"/>
      <c r="O784" s="12"/>
      <c r="P784" s="15"/>
      <c r="Q784" s="7"/>
      <c r="R784" s="7"/>
      <c r="S784" s="7"/>
      <c r="T784" s="8"/>
      <c r="U784" s="8"/>
    </row>
    <row r="785" spans="1:21">
      <c r="A785" s="10"/>
      <c r="B785" s="19"/>
      <c r="C785" s="12"/>
      <c r="D785" s="13"/>
      <c r="E785" s="12"/>
      <c r="F785" s="12"/>
      <c r="G785" s="12"/>
      <c r="H785" s="12"/>
      <c r="I785" s="12"/>
      <c r="J785" s="14"/>
      <c r="K785" s="12"/>
      <c r="L785" s="12"/>
      <c r="M785" s="12"/>
      <c r="N785" s="12"/>
      <c r="O785" s="12"/>
      <c r="P785" s="15"/>
      <c r="Q785" s="7"/>
      <c r="R785" s="7"/>
      <c r="S785" s="7"/>
      <c r="T785" s="8"/>
      <c r="U785" s="8"/>
    </row>
    <row r="786" spans="1:21">
      <c r="A786" s="10"/>
      <c r="B786" s="19"/>
      <c r="C786" s="12"/>
      <c r="D786" s="13"/>
      <c r="E786" s="12"/>
      <c r="F786" s="12"/>
      <c r="G786" s="12"/>
      <c r="H786" s="12"/>
      <c r="I786" s="12"/>
      <c r="J786" s="14"/>
      <c r="K786" s="12"/>
      <c r="L786" s="12"/>
      <c r="M786" s="12"/>
      <c r="N786" s="12"/>
      <c r="O786" s="12"/>
      <c r="P786" s="15"/>
      <c r="Q786" s="7"/>
      <c r="R786" s="7"/>
      <c r="S786" s="7"/>
      <c r="T786" s="8"/>
      <c r="U786" s="8"/>
    </row>
    <row r="787" spans="1:21">
      <c r="A787" s="10"/>
      <c r="B787" s="19"/>
      <c r="C787" s="12"/>
      <c r="D787" s="13"/>
      <c r="E787" s="12"/>
      <c r="F787" s="12"/>
      <c r="G787" s="12"/>
      <c r="H787" s="12"/>
      <c r="I787" s="12"/>
      <c r="J787" s="14"/>
      <c r="K787" s="12"/>
      <c r="L787" s="12"/>
      <c r="M787" s="12"/>
      <c r="N787" s="12"/>
      <c r="O787" s="12"/>
      <c r="P787" s="15"/>
      <c r="Q787" s="7"/>
      <c r="R787" s="7"/>
      <c r="S787" s="7"/>
      <c r="T787" s="8"/>
      <c r="U787" s="8"/>
    </row>
    <row r="788" spans="1:21">
      <c r="A788" s="10"/>
      <c r="B788" s="19"/>
      <c r="C788" s="12"/>
      <c r="D788" s="13"/>
      <c r="E788" s="12"/>
      <c r="F788" s="12"/>
      <c r="G788" s="12"/>
      <c r="H788" s="12"/>
      <c r="I788" s="12"/>
      <c r="J788" s="14"/>
      <c r="K788" s="12"/>
      <c r="L788" s="12"/>
      <c r="M788" s="12"/>
      <c r="N788" s="12"/>
      <c r="O788" s="12"/>
      <c r="P788" s="15"/>
      <c r="Q788" s="7"/>
      <c r="R788" s="7"/>
      <c r="S788" s="7"/>
      <c r="T788" s="8"/>
      <c r="U788" s="8"/>
    </row>
    <row r="789" spans="1:21">
      <c r="A789" s="10"/>
      <c r="B789" s="19"/>
      <c r="C789" s="12"/>
      <c r="D789" s="13"/>
      <c r="E789" s="12"/>
      <c r="F789" s="12"/>
      <c r="G789" s="12"/>
      <c r="H789" s="12"/>
      <c r="I789" s="12"/>
      <c r="J789" s="14"/>
      <c r="K789" s="12"/>
      <c r="L789" s="12"/>
      <c r="M789" s="12"/>
      <c r="N789" s="12"/>
      <c r="O789" s="12"/>
      <c r="P789" s="15"/>
      <c r="Q789" s="7"/>
      <c r="R789" s="7"/>
      <c r="S789" s="7"/>
      <c r="T789" s="8"/>
      <c r="U789" s="8"/>
    </row>
    <row r="790" spans="1:21">
      <c r="A790" s="10"/>
      <c r="B790" s="19"/>
      <c r="C790" s="12"/>
      <c r="D790" s="13"/>
      <c r="E790" s="12"/>
      <c r="F790" s="12"/>
      <c r="G790" s="12"/>
      <c r="H790" s="12"/>
      <c r="I790" s="12"/>
      <c r="J790" s="14"/>
      <c r="K790" s="12"/>
      <c r="L790" s="12"/>
      <c r="M790" s="12"/>
      <c r="N790" s="12"/>
      <c r="O790" s="12"/>
      <c r="P790" s="15"/>
      <c r="Q790" s="7"/>
      <c r="R790" s="7"/>
      <c r="S790" s="7"/>
      <c r="T790" s="8"/>
      <c r="U790" s="8"/>
    </row>
    <row r="791" spans="1:21">
      <c r="A791" s="10"/>
      <c r="B791" s="19"/>
      <c r="C791" s="12"/>
      <c r="D791" s="13"/>
      <c r="E791" s="12"/>
      <c r="F791" s="12"/>
      <c r="G791" s="12"/>
      <c r="H791" s="12"/>
      <c r="I791" s="12"/>
      <c r="J791" s="14"/>
      <c r="K791" s="12"/>
      <c r="L791" s="12"/>
      <c r="M791" s="12"/>
      <c r="N791" s="12"/>
      <c r="O791" s="12"/>
      <c r="P791" s="15"/>
      <c r="Q791" s="7"/>
      <c r="R791" s="7"/>
      <c r="S791" s="7"/>
      <c r="T791" s="8"/>
      <c r="U791" s="8"/>
    </row>
    <row r="792" spans="1:21">
      <c r="A792" s="10"/>
      <c r="B792" s="19"/>
      <c r="C792" s="12"/>
      <c r="D792" s="13"/>
      <c r="E792" s="12"/>
      <c r="F792" s="12"/>
      <c r="G792" s="12"/>
      <c r="H792" s="12"/>
      <c r="I792" s="12"/>
      <c r="J792" s="14"/>
      <c r="K792" s="12"/>
      <c r="L792" s="12"/>
      <c r="M792" s="12"/>
      <c r="N792" s="12"/>
      <c r="O792" s="12"/>
      <c r="P792" s="15"/>
      <c r="Q792" s="7"/>
      <c r="R792" s="7"/>
      <c r="S792" s="7"/>
      <c r="T792" s="8"/>
      <c r="U792" s="8"/>
    </row>
    <row r="793" spans="1:21">
      <c r="A793" s="10"/>
      <c r="B793" s="19"/>
      <c r="C793" s="12"/>
      <c r="D793" s="13"/>
      <c r="E793" s="12"/>
      <c r="F793" s="12"/>
      <c r="G793" s="12"/>
      <c r="H793" s="12"/>
      <c r="I793" s="12"/>
      <c r="J793" s="14"/>
      <c r="K793" s="12"/>
      <c r="L793" s="12"/>
      <c r="M793" s="12"/>
      <c r="N793" s="12"/>
      <c r="O793" s="12"/>
      <c r="P793" s="15"/>
      <c r="Q793" s="7"/>
      <c r="R793" s="7"/>
      <c r="S793" s="7"/>
      <c r="T793" s="8"/>
      <c r="U793" s="8"/>
    </row>
    <row r="794" spans="1:21">
      <c r="A794" s="10"/>
      <c r="B794" s="19"/>
      <c r="C794" s="12"/>
      <c r="D794" s="13"/>
      <c r="E794" s="12"/>
      <c r="F794" s="12"/>
      <c r="G794" s="12"/>
      <c r="H794" s="12"/>
      <c r="I794" s="12"/>
      <c r="J794" s="14"/>
      <c r="K794" s="12"/>
      <c r="L794" s="12"/>
      <c r="M794" s="12"/>
      <c r="N794" s="12"/>
      <c r="O794" s="12"/>
      <c r="P794" s="15"/>
      <c r="Q794" s="7"/>
      <c r="R794" s="7"/>
      <c r="S794" s="7"/>
      <c r="T794" s="8"/>
      <c r="U794" s="8"/>
    </row>
    <row r="795" spans="1:21">
      <c r="A795" s="10"/>
      <c r="B795" s="19"/>
      <c r="C795" s="12"/>
      <c r="D795" s="13"/>
      <c r="E795" s="12"/>
      <c r="F795" s="12"/>
      <c r="G795" s="12"/>
      <c r="H795" s="12"/>
      <c r="I795" s="12"/>
      <c r="J795" s="14"/>
      <c r="K795" s="12"/>
      <c r="L795" s="12"/>
      <c r="M795" s="12"/>
      <c r="N795" s="12"/>
      <c r="O795" s="12"/>
      <c r="P795" s="15"/>
      <c r="Q795" s="7"/>
      <c r="R795" s="7"/>
      <c r="S795" s="7"/>
      <c r="T795" s="8"/>
      <c r="U795" s="8"/>
    </row>
    <row r="796" spans="1:21">
      <c r="A796" s="10"/>
      <c r="B796" s="19"/>
      <c r="C796" s="12"/>
      <c r="D796" s="13"/>
      <c r="E796" s="12"/>
      <c r="F796" s="12"/>
      <c r="G796" s="12"/>
      <c r="H796" s="12"/>
      <c r="I796" s="12"/>
      <c r="J796" s="14"/>
      <c r="K796" s="12"/>
      <c r="L796" s="12"/>
      <c r="M796" s="12"/>
      <c r="N796" s="12"/>
      <c r="O796" s="12"/>
      <c r="P796" s="15"/>
      <c r="Q796" s="7"/>
      <c r="R796" s="7"/>
      <c r="S796" s="7"/>
      <c r="T796" s="8"/>
      <c r="U796" s="8"/>
    </row>
    <row r="797" spans="1:21">
      <c r="A797" s="10"/>
      <c r="B797" s="19"/>
      <c r="C797" s="12"/>
      <c r="D797" s="13"/>
      <c r="E797" s="12"/>
      <c r="F797" s="12"/>
      <c r="G797" s="12"/>
      <c r="H797" s="12"/>
      <c r="I797" s="12"/>
      <c r="J797" s="14"/>
      <c r="K797" s="12"/>
      <c r="L797" s="12"/>
      <c r="M797" s="12"/>
      <c r="N797" s="12"/>
      <c r="O797" s="12"/>
      <c r="P797" s="15"/>
      <c r="Q797" s="7"/>
      <c r="R797" s="7"/>
      <c r="S797" s="7"/>
      <c r="T797" s="8"/>
      <c r="U797" s="8"/>
    </row>
    <row r="798" spans="1:21">
      <c r="A798" s="10"/>
      <c r="B798" s="19"/>
      <c r="C798" s="12"/>
      <c r="D798" s="13"/>
      <c r="E798" s="12"/>
      <c r="F798" s="12"/>
      <c r="G798" s="12"/>
      <c r="H798" s="12"/>
      <c r="I798" s="12"/>
      <c r="J798" s="14"/>
      <c r="K798" s="12"/>
      <c r="L798" s="12"/>
      <c r="M798" s="12"/>
      <c r="N798" s="12"/>
      <c r="O798" s="12"/>
      <c r="P798" s="15"/>
      <c r="Q798" s="7"/>
      <c r="R798" s="7"/>
      <c r="S798" s="7"/>
      <c r="T798" s="8"/>
      <c r="U798" s="8"/>
    </row>
    <row r="799" spans="1:21">
      <c r="A799" s="10"/>
      <c r="B799" s="19"/>
      <c r="C799" s="12"/>
      <c r="D799" s="13"/>
      <c r="E799" s="12"/>
      <c r="F799" s="12"/>
      <c r="G799" s="12"/>
      <c r="H799" s="12"/>
      <c r="I799" s="12"/>
      <c r="J799" s="14"/>
      <c r="K799" s="12"/>
      <c r="L799" s="12"/>
      <c r="M799" s="12"/>
      <c r="N799" s="12"/>
      <c r="O799" s="12"/>
      <c r="P799" s="15"/>
      <c r="Q799" s="7"/>
      <c r="R799" s="7"/>
      <c r="S799" s="7"/>
      <c r="T799" s="8"/>
      <c r="U799" s="8"/>
    </row>
    <row r="800" spans="1:21">
      <c r="A800" s="10"/>
      <c r="B800" s="19"/>
      <c r="C800" s="12"/>
      <c r="D800" s="13"/>
      <c r="E800" s="12"/>
      <c r="F800" s="12"/>
      <c r="G800" s="12"/>
      <c r="H800" s="12"/>
      <c r="I800" s="12"/>
      <c r="J800" s="14"/>
      <c r="K800" s="12"/>
      <c r="L800" s="12"/>
      <c r="M800" s="12"/>
      <c r="N800" s="12"/>
      <c r="O800" s="12"/>
      <c r="P800" s="15"/>
      <c r="Q800" s="7"/>
      <c r="R800" s="7"/>
      <c r="S800" s="7"/>
      <c r="T800" s="8"/>
      <c r="U800" s="8"/>
    </row>
    <row r="801" spans="1:21">
      <c r="A801" s="10"/>
      <c r="B801" s="19"/>
      <c r="C801" s="12"/>
      <c r="D801" s="13"/>
      <c r="E801" s="12"/>
      <c r="F801" s="12"/>
      <c r="G801" s="12"/>
      <c r="H801" s="12"/>
      <c r="I801" s="12"/>
      <c r="J801" s="14"/>
      <c r="K801" s="12"/>
      <c r="L801" s="12"/>
      <c r="M801" s="12"/>
      <c r="N801" s="12"/>
      <c r="O801" s="12"/>
      <c r="P801" s="15"/>
      <c r="Q801" s="7"/>
      <c r="R801" s="7"/>
      <c r="S801" s="7"/>
      <c r="T801" s="8"/>
      <c r="U801" s="8"/>
    </row>
    <row r="802" spans="1:21">
      <c r="A802" s="10"/>
      <c r="B802" s="19"/>
      <c r="C802" s="12"/>
      <c r="D802" s="13"/>
      <c r="E802" s="12"/>
      <c r="F802" s="12"/>
      <c r="G802" s="12"/>
      <c r="H802" s="12"/>
      <c r="I802" s="12"/>
      <c r="J802" s="14"/>
      <c r="K802" s="12"/>
      <c r="L802" s="12"/>
      <c r="M802" s="12"/>
      <c r="N802" s="12"/>
      <c r="O802" s="12"/>
      <c r="P802" s="15"/>
      <c r="Q802" s="7"/>
      <c r="R802" s="7"/>
      <c r="S802" s="7"/>
      <c r="T802" s="8"/>
      <c r="U802" s="8"/>
    </row>
    <row r="803" spans="1:21">
      <c r="A803" s="10"/>
      <c r="B803" s="19"/>
      <c r="C803" s="12"/>
      <c r="D803" s="13"/>
      <c r="E803" s="12"/>
      <c r="F803" s="12"/>
      <c r="G803" s="12"/>
      <c r="H803" s="12"/>
      <c r="I803" s="12"/>
      <c r="J803" s="14"/>
      <c r="K803" s="12"/>
      <c r="L803" s="12"/>
      <c r="M803" s="12"/>
      <c r="N803" s="12"/>
      <c r="O803" s="12"/>
      <c r="P803" s="15"/>
      <c r="Q803" s="7"/>
      <c r="R803" s="7"/>
      <c r="S803" s="7"/>
      <c r="T803" s="8"/>
      <c r="U803" s="8"/>
    </row>
    <row r="804" spans="1:21">
      <c r="A804" s="10"/>
      <c r="B804" s="19"/>
      <c r="C804" s="12"/>
      <c r="D804" s="13"/>
      <c r="E804" s="12"/>
      <c r="F804" s="12"/>
      <c r="G804" s="12"/>
      <c r="H804" s="12"/>
      <c r="I804" s="12"/>
      <c r="J804" s="14"/>
      <c r="K804" s="12"/>
      <c r="L804" s="12"/>
      <c r="M804" s="12"/>
      <c r="N804" s="12"/>
      <c r="O804" s="12"/>
      <c r="P804" s="15"/>
      <c r="Q804" s="7"/>
      <c r="R804" s="7"/>
      <c r="S804" s="7"/>
      <c r="T804" s="8"/>
      <c r="U804" s="8"/>
    </row>
    <row r="805" spans="1:21">
      <c r="A805" s="10"/>
      <c r="B805" s="19"/>
      <c r="C805" s="12"/>
      <c r="D805" s="13"/>
      <c r="E805" s="12"/>
      <c r="F805" s="12"/>
      <c r="G805" s="12"/>
      <c r="H805" s="12"/>
      <c r="I805" s="12"/>
      <c r="J805" s="14"/>
      <c r="K805" s="12"/>
      <c r="L805" s="12"/>
      <c r="M805" s="12"/>
      <c r="N805" s="12"/>
      <c r="O805" s="12"/>
      <c r="P805" s="15"/>
      <c r="Q805" s="7"/>
      <c r="R805" s="7"/>
      <c r="S805" s="7"/>
      <c r="T805" s="8"/>
      <c r="U805" s="8"/>
    </row>
    <row r="806" spans="1:21">
      <c r="A806" s="10"/>
      <c r="B806" s="19"/>
      <c r="C806" s="12"/>
      <c r="D806" s="13"/>
      <c r="E806" s="12"/>
      <c r="F806" s="12"/>
      <c r="G806" s="12"/>
      <c r="H806" s="12"/>
      <c r="I806" s="12"/>
      <c r="J806" s="14"/>
      <c r="K806" s="12"/>
      <c r="L806" s="12"/>
      <c r="M806" s="12"/>
      <c r="N806" s="12"/>
      <c r="O806" s="12"/>
      <c r="P806" s="15"/>
      <c r="Q806" s="7"/>
      <c r="R806" s="7"/>
      <c r="S806" s="7"/>
      <c r="T806" s="8"/>
      <c r="U806" s="8"/>
    </row>
    <row r="807" spans="1:21">
      <c r="A807" s="10"/>
      <c r="B807" s="19"/>
      <c r="C807" s="12"/>
      <c r="D807" s="13"/>
      <c r="E807" s="12"/>
      <c r="F807" s="12"/>
      <c r="G807" s="12"/>
      <c r="H807" s="12"/>
      <c r="I807" s="12"/>
      <c r="J807" s="14"/>
      <c r="K807" s="12"/>
      <c r="L807" s="12"/>
      <c r="M807" s="12"/>
      <c r="N807" s="12"/>
      <c r="O807" s="12"/>
      <c r="P807" s="15"/>
      <c r="Q807" s="7"/>
      <c r="R807" s="7"/>
      <c r="S807" s="7"/>
      <c r="T807" s="8"/>
      <c r="U807" s="8"/>
    </row>
    <row r="808" spans="1:21">
      <c r="A808" s="10"/>
      <c r="B808" s="19"/>
      <c r="C808" s="12"/>
      <c r="D808" s="13"/>
      <c r="E808" s="12"/>
      <c r="F808" s="12"/>
      <c r="G808" s="12"/>
      <c r="H808" s="12"/>
      <c r="I808" s="12"/>
      <c r="J808" s="14"/>
      <c r="K808" s="12"/>
      <c r="L808" s="12"/>
      <c r="M808" s="12"/>
      <c r="N808" s="12"/>
      <c r="O808" s="12"/>
      <c r="P808" s="15"/>
      <c r="Q808" s="7"/>
      <c r="R808" s="7"/>
      <c r="S808" s="7"/>
      <c r="T808" s="8"/>
      <c r="U808" s="8"/>
    </row>
    <row r="809" spans="1:21">
      <c r="A809" s="10"/>
      <c r="B809" s="19"/>
      <c r="C809" s="12"/>
      <c r="D809" s="13"/>
      <c r="E809" s="12"/>
      <c r="F809" s="12"/>
      <c r="G809" s="12"/>
      <c r="H809" s="12"/>
      <c r="I809" s="12"/>
      <c r="J809" s="14"/>
      <c r="K809" s="12"/>
      <c r="L809" s="12"/>
      <c r="M809" s="12"/>
      <c r="N809" s="12"/>
      <c r="O809" s="12"/>
      <c r="P809" s="15"/>
      <c r="Q809" s="7"/>
      <c r="R809" s="7"/>
      <c r="S809" s="7"/>
      <c r="T809" s="8"/>
      <c r="U809" s="8"/>
    </row>
    <row r="810" spans="1:21">
      <c r="A810" s="10"/>
      <c r="B810" s="19"/>
      <c r="C810" s="12"/>
      <c r="D810" s="13"/>
      <c r="E810" s="12"/>
      <c r="F810" s="12"/>
      <c r="G810" s="12"/>
      <c r="H810" s="12"/>
      <c r="I810" s="12"/>
      <c r="J810" s="14"/>
      <c r="K810" s="12"/>
      <c r="L810" s="12"/>
      <c r="M810" s="12"/>
      <c r="N810" s="12"/>
      <c r="O810" s="12"/>
      <c r="P810" s="15"/>
      <c r="Q810" s="7"/>
      <c r="R810" s="7"/>
      <c r="S810" s="7"/>
      <c r="T810" s="8"/>
      <c r="U810" s="8"/>
    </row>
    <row r="811" spans="1:21">
      <c r="A811" s="10"/>
      <c r="B811" s="19"/>
      <c r="C811" s="12"/>
      <c r="D811" s="13"/>
      <c r="E811" s="12"/>
      <c r="F811" s="12"/>
      <c r="G811" s="12"/>
      <c r="H811" s="12"/>
      <c r="I811" s="12"/>
      <c r="J811" s="14"/>
      <c r="K811" s="12"/>
      <c r="L811" s="12"/>
      <c r="M811" s="12"/>
      <c r="N811" s="12"/>
      <c r="O811" s="12"/>
      <c r="P811" s="15"/>
      <c r="Q811" s="7"/>
      <c r="R811" s="7"/>
      <c r="S811" s="7"/>
      <c r="T811" s="8"/>
      <c r="U811" s="8"/>
    </row>
    <row r="812" spans="1:21">
      <c r="A812" s="10"/>
      <c r="B812" s="19"/>
      <c r="C812" s="12"/>
      <c r="D812" s="13"/>
      <c r="E812" s="12"/>
      <c r="F812" s="12"/>
      <c r="G812" s="12"/>
      <c r="H812" s="12"/>
      <c r="I812" s="12"/>
      <c r="J812" s="14"/>
      <c r="K812" s="12"/>
      <c r="L812" s="12"/>
      <c r="M812" s="12"/>
      <c r="N812" s="12"/>
      <c r="O812" s="12"/>
      <c r="P812" s="15"/>
      <c r="Q812" s="7"/>
      <c r="R812" s="7"/>
      <c r="S812" s="7"/>
      <c r="T812" s="8"/>
      <c r="U812" s="8"/>
    </row>
    <row r="813" spans="1:21">
      <c r="A813" s="10"/>
      <c r="B813" s="19"/>
      <c r="C813" s="12"/>
      <c r="D813" s="13"/>
      <c r="E813" s="12"/>
      <c r="F813" s="12"/>
      <c r="G813" s="12"/>
      <c r="H813" s="12"/>
      <c r="I813" s="12"/>
      <c r="J813" s="14"/>
      <c r="K813" s="12"/>
      <c r="L813" s="12"/>
      <c r="M813" s="12"/>
      <c r="N813" s="12"/>
      <c r="O813" s="12"/>
      <c r="P813" s="15"/>
      <c r="Q813" s="7"/>
      <c r="R813" s="7"/>
      <c r="S813" s="7"/>
      <c r="T813" s="8"/>
      <c r="U813" s="8"/>
    </row>
    <row r="814" spans="1:21">
      <c r="A814" s="10"/>
      <c r="B814" s="19"/>
      <c r="C814" s="12"/>
      <c r="D814" s="13"/>
      <c r="E814" s="12"/>
      <c r="F814" s="12"/>
      <c r="G814" s="12"/>
      <c r="H814" s="12"/>
      <c r="I814" s="12"/>
      <c r="J814" s="14"/>
      <c r="K814" s="12"/>
      <c r="L814" s="12"/>
      <c r="M814" s="12"/>
      <c r="N814" s="12"/>
      <c r="O814" s="12"/>
      <c r="P814" s="15"/>
      <c r="Q814" s="7"/>
      <c r="R814" s="7"/>
      <c r="S814" s="7"/>
      <c r="T814" s="8"/>
      <c r="U814" s="8"/>
    </row>
    <row r="815" spans="1:21">
      <c r="A815" s="10"/>
      <c r="B815" s="19"/>
      <c r="C815" s="12"/>
      <c r="D815" s="13"/>
      <c r="E815" s="12"/>
      <c r="F815" s="12"/>
      <c r="G815" s="12"/>
      <c r="H815" s="12"/>
      <c r="I815" s="12"/>
      <c r="J815" s="14"/>
      <c r="K815" s="12"/>
      <c r="L815" s="12"/>
      <c r="M815" s="12"/>
      <c r="N815" s="12"/>
      <c r="O815" s="12"/>
      <c r="P815" s="15"/>
      <c r="Q815" s="7"/>
      <c r="R815" s="7"/>
      <c r="S815" s="7"/>
      <c r="T815" s="8"/>
      <c r="U815" s="8"/>
    </row>
    <row r="816" spans="1:21">
      <c r="A816" s="10"/>
      <c r="B816" s="19"/>
      <c r="C816" s="12"/>
      <c r="D816" s="13"/>
      <c r="E816" s="12"/>
      <c r="F816" s="12"/>
      <c r="G816" s="12"/>
      <c r="H816" s="12"/>
      <c r="I816" s="12"/>
      <c r="J816" s="14"/>
      <c r="K816" s="12"/>
      <c r="L816" s="12"/>
      <c r="M816" s="12"/>
      <c r="N816" s="12"/>
      <c r="O816" s="12"/>
      <c r="P816" s="15"/>
      <c r="Q816" s="7"/>
      <c r="R816" s="7"/>
      <c r="S816" s="7"/>
      <c r="T816" s="8"/>
      <c r="U816" s="8"/>
    </row>
    <row r="817" spans="1:21">
      <c r="A817" s="10"/>
      <c r="B817" s="19"/>
      <c r="C817" s="12"/>
      <c r="D817" s="13"/>
      <c r="E817" s="12"/>
      <c r="F817" s="12"/>
      <c r="G817" s="12"/>
      <c r="H817" s="12"/>
      <c r="I817" s="12"/>
      <c r="J817" s="14"/>
      <c r="K817" s="12"/>
      <c r="L817" s="12"/>
      <c r="M817" s="12"/>
      <c r="N817" s="12"/>
      <c r="O817" s="12"/>
      <c r="P817" s="15"/>
      <c r="Q817" s="7"/>
      <c r="R817" s="7"/>
      <c r="S817" s="7"/>
      <c r="T817" s="8"/>
      <c r="U817" s="8"/>
    </row>
    <row r="818" spans="1:21">
      <c r="A818" s="10"/>
      <c r="B818" s="19"/>
      <c r="C818" s="12"/>
      <c r="D818" s="13"/>
      <c r="E818" s="12"/>
      <c r="F818" s="12"/>
      <c r="G818" s="12"/>
      <c r="H818" s="12"/>
      <c r="I818" s="12"/>
      <c r="J818" s="14"/>
      <c r="K818" s="12"/>
      <c r="L818" s="12"/>
      <c r="M818" s="12"/>
      <c r="N818" s="12"/>
      <c r="O818" s="12"/>
      <c r="P818" s="15"/>
      <c r="Q818" s="7"/>
      <c r="R818" s="7"/>
      <c r="S818" s="7"/>
      <c r="T818" s="8"/>
      <c r="U818" s="8"/>
    </row>
    <row r="819" spans="1:21">
      <c r="A819" s="10"/>
      <c r="B819" s="19"/>
      <c r="C819" s="12"/>
      <c r="D819" s="13"/>
      <c r="E819" s="12"/>
      <c r="F819" s="12"/>
      <c r="G819" s="12"/>
      <c r="H819" s="12"/>
      <c r="I819" s="12"/>
      <c r="J819" s="14"/>
      <c r="K819" s="12"/>
      <c r="L819" s="12"/>
      <c r="M819" s="12"/>
      <c r="N819" s="12"/>
      <c r="O819" s="12"/>
      <c r="P819" s="15"/>
      <c r="Q819" s="7"/>
      <c r="R819" s="7"/>
      <c r="S819" s="7"/>
      <c r="T819" s="8"/>
      <c r="U819" s="8"/>
    </row>
    <row r="820" spans="1:21">
      <c r="A820" s="10"/>
      <c r="B820" s="19"/>
      <c r="C820" s="12"/>
      <c r="D820" s="13"/>
      <c r="E820" s="12"/>
      <c r="F820" s="12"/>
      <c r="G820" s="12"/>
      <c r="H820" s="12"/>
      <c r="I820" s="12"/>
      <c r="J820" s="14"/>
      <c r="K820" s="12"/>
      <c r="L820" s="12"/>
      <c r="M820" s="12"/>
      <c r="N820" s="12"/>
      <c r="O820" s="12"/>
      <c r="P820" s="15"/>
      <c r="Q820" s="7"/>
      <c r="R820" s="7"/>
      <c r="S820" s="7"/>
      <c r="T820" s="8"/>
      <c r="U820" s="8"/>
    </row>
    <row r="821" spans="1:21">
      <c r="A821" s="10"/>
      <c r="B821" s="19"/>
      <c r="C821" s="12"/>
      <c r="D821" s="13"/>
      <c r="E821" s="12"/>
      <c r="F821" s="12"/>
      <c r="G821" s="12"/>
      <c r="H821" s="12"/>
      <c r="I821" s="12"/>
      <c r="J821" s="14"/>
      <c r="K821" s="12"/>
      <c r="L821" s="12"/>
      <c r="M821" s="12"/>
      <c r="N821" s="12"/>
      <c r="O821" s="12"/>
      <c r="P821" s="15"/>
      <c r="Q821" s="7"/>
      <c r="R821" s="7"/>
      <c r="S821" s="7"/>
      <c r="T821" s="8"/>
      <c r="U821" s="8"/>
    </row>
    <row r="822" spans="1:21">
      <c r="A822" s="10"/>
      <c r="B822" s="19"/>
      <c r="C822" s="12"/>
      <c r="D822" s="13"/>
      <c r="E822" s="12"/>
      <c r="F822" s="12"/>
      <c r="G822" s="12"/>
      <c r="H822" s="12"/>
      <c r="I822" s="12"/>
      <c r="J822" s="14"/>
      <c r="K822" s="12"/>
      <c r="L822" s="12"/>
      <c r="M822" s="12"/>
      <c r="N822" s="12"/>
      <c r="O822" s="12"/>
      <c r="P822" s="15"/>
      <c r="Q822" s="7"/>
      <c r="R822" s="7"/>
      <c r="S822" s="7"/>
      <c r="T822" s="8"/>
      <c r="U822" s="8"/>
    </row>
    <row r="823" spans="1:21">
      <c r="A823" s="10"/>
      <c r="B823" s="19"/>
      <c r="C823" s="12"/>
      <c r="D823" s="13"/>
      <c r="E823" s="12"/>
      <c r="F823" s="12"/>
      <c r="G823" s="12"/>
      <c r="H823" s="12"/>
      <c r="I823" s="12"/>
      <c r="J823" s="14"/>
      <c r="K823" s="12"/>
      <c r="L823" s="12"/>
      <c r="M823" s="12"/>
      <c r="N823" s="12"/>
      <c r="O823" s="12"/>
      <c r="P823" s="15"/>
      <c r="Q823" s="7"/>
      <c r="R823" s="7"/>
      <c r="S823" s="7"/>
      <c r="T823" s="8"/>
      <c r="U823" s="8"/>
    </row>
    <row r="824" spans="1:21">
      <c r="A824" s="10"/>
      <c r="B824" s="19"/>
      <c r="C824" s="12"/>
      <c r="D824" s="13"/>
      <c r="E824" s="12"/>
      <c r="F824" s="12"/>
      <c r="G824" s="12"/>
      <c r="H824" s="12"/>
      <c r="I824" s="12"/>
      <c r="J824" s="14"/>
      <c r="K824" s="12"/>
      <c r="L824" s="12"/>
      <c r="M824" s="12"/>
      <c r="N824" s="12"/>
      <c r="O824" s="12"/>
      <c r="P824" s="15"/>
      <c r="Q824" s="7"/>
      <c r="R824" s="7"/>
      <c r="S824" s="7"/>
      <c r="T824" s="8"/>
      <c r="U824" s="8"/>
    </row>
    <row r="825" spans="1:21">
      <c r="A825" s="10"/>
      <c r="B825" s="19"/>
      <c r="C825" s="12"/>
      <c r="D825" s="13"/>
      <c r="E825" s="12"/>
      <c r="F825" s="12"/>
      <c r="G825" s="12"/>
      <c r="H825" s="12"/>
      <c r="I825" s="12"/>
      <c r="J825" s="14"/>
      <c r="K825" s="12"/>
      <c r="L825" s="12"/>
      <c r="M825" s="12"/>
      <c r="N825" s="12"/>
      <c r="O825" s="12"/>
      <c r="P825" s="15"/>
      <c r="Q825" s="7"/>
      <c r="R825" s="7"/>
      <c r="S825" s="7"/>
      <c r="T825" s="8"/>
      <c r="U825" s="8"/>
    </row>
    <row r="826" spans="1:21">
      <c r="A826" s="10"/>
      <c r="B826" s="19"/>
      <c r="C826" s="12"/>
      <c r="D826" s="13"/>
      <c r="E826" s="12"/>
      <c r="F826" s="12"/>
      <c r="G826" s="12"/>
      <c r="H826" s="12"/>
      <c r="I826" s="12"/>
      <c r="J826" s="14"/>
      <c r="K826" s="12"/>
      <c r="L826" s="12"/>
      <c r="M826" s="12"/>
      <c r="N826" s="12"/>
      <c r="O826" s="12"/>
      <c r="P826" s="15"/>
      <c r="Q826" s="7"/>
      <c r="R826" s="7"/>
      <c r="S826" s="7"/>
      <c r="T826" s="8"/>
      <c r="U826" s="8"/>
    </row>
    <row r="827" spans="1:21">
      <c r="A827" s="10"/>
      <c r="B827" s="19"/>
      <c r="C827" s="12"/>
      <c r="D827" s="13"/>
      <c r="E827" s="12"/>
      <c r="F827" s="12"/>
      <c r="G827" s="12"/>
      <c r="H827" s="12"/>
      <c r="I827" s="12"/>
      <c r="J827" s="14"/>
      <c r="K827" s="12"/>
      <c r="L827" s="12"/>
      <c r="M827" s="12"/>
      <c r="N827" s="12"/>
      <c r="O827" s="12"/>
      <c r="P827" s="15"/>
      <c r="Q827" s="7"/>
      <c r="R827" s="7"/>
      <c r="S827" s="7"/>
      <c r="T827" s="8"/>
      <c r="U827" s="8"/>
    </row>
    <row r="828" spans="1:21">
      <c r="A828" s="10"/>
      <c r="B828" s="19"/>
      <c r="C828" s="12"/>
      <c r="D828" s="13"/>
      <c r="E828" s="12"/>
      <c r="F828" s="12"/>
      <c r="G828" s="12"/>
      <c r="H828" s="12"/>
      <c r="I828" s="12"/>
      <c r="J828" s="14"/>
      <c r="K828" s="12"/>
      <c r="L828" s="12"/>
      <c r="M828" s="12"/>
      <c r="N828" s="12"/>
      <c r="O828" s="12"/>
      <c r="P828" s="15"/>
      <c r="Q828" s="7"/>
      <c r="R828" s="7"/>
      <c r="S828" s="7"/>
      <c r="T828" s="8"/>
      <c r="U828" s="8"/>
    </row>
    <row r="829" spans="1:21">
      <c r="A829" s="10"/>
      <c r="B829" s="19"/>
      <c r="C829" s="12"/>
      <c r="D829" s="13"/>
      <c r="E829" s="12"/>
      <c r="F829" s="12"/>
      <c r="G829" s="12"/>
      <c r="H829" s="12"/>
      <c r="I829" s="12"/>
      <c r="J829" s="14"/>
      <c r="K829" s="12"/>
      <c r="L829" s="12"/>
      <c r="M829" s="12"/>
      <c r="N829" s="12"/>
      <c r="O829" s="12"/>
      <c r="P829" s="15"/>
      <c r="Q829" s="7"/>
      <c r="R829" s="7"/>
      <c r="S829" s="7"/>
      <c r="T829" s="8"/>
      <c r="U829" s="8"/>
    </row>
    <row r="830" spans="1:21">
      <c r="A830" s="10"/>
      <c r="B830" s="19"/>
      <c r="C830" s="12"/>
      <c r="D830" s="13"/>
      <c r="E830" s="12"/>
      <c r="F830" s="12"/>
      <c r="G830" s="12"/>
      <c r="H830" s="12"/>
      <c r="I830" s="12"/>
      <c r="J830" s="14"/>
      <c r="K830" s="12"/>
      <c r="L830" s="12"/>
      <c r="M830" s="12"/>
      <c r="N830" s="12"/>
      <c r="O830" s="12"/>
      <c r="P830" s="15"/>
      <c r="Q830" s="7"/>
      <c r="R830" s="7"/>
      <c r="S830" s="7"/>
      <c r="T830" s="8"/>
      <c r="U830" s="8"/>
    </row>
    <row r="831" spans="1:21">
      <c r="A831" s="10"/>
      <c r="B831" s="19"/>
      <c r="C831" s="12"/>
      <c r="D831" s="13"/>
      <c r="E831" s="12"/>
      <c r="F831" s="12"/>
      <c r="G831" s="12"/>
      <c r="H831" s="12"/>
      <c r="I831" s="12"/>
      <c r="J831" s="14"/>
      <c r="K831" s="12"/>
      <c r="L831" s="12"/>
      <c r="M831" s="12"/>
      <c r="N831" s="12"/>
      <c r="O831" s="12"/>
      <c r="P831" s="15"/>
      <c r="Q831" s="7"/>
      <c r="R831" s="7"/>
      <c r="S831" s="7"/>
      <c r="T831" s="8"/>
      <c r="U831" s="8"/>
    </row>
    <row r="832" spans="1:21">
      <c r="A832" s="10"/>
      <c r="B832" s="19"/>
      <c r="C832" s="12"/>
      <c r="D832" s="13"/>
      <c r="E832" s="12"/>
      <c r="F832" s="12"/>
      <c r="G832" s="12"/>
      <c r="H832" s="12"/>
      <c r="I832" s="12"/>
      <c r="J832" s="14"/>
      <c r="K832" s="12"/>
      <c r="L832" s="12"/>
      <c r="M832" s="12"/>
      <c r="N832" s="12"/>
      <c r="O832" s="12"/>
      <c r="P832" s="15"/>
      <c r="Q832" s="7"/>
      <c r="R832" s="7"/>
      <c r="S832" s="7"/>
      <c r="T832" s="8"/>
      <c r="U832" s="8"/>
    </row>
    <row r="833" spans="1:21">
      <c r="A833" s="10"/>
      <c r="B833" s="19"/>
      <c r="C833" s="12"/>
      <c r="D833" s="13"/>
      <c r="E833" s="12"/>
      <c r="F833" s="12"/>
      <c r="G833" s="12"/>
      <c r="H833" s="12"/>
      <c r="I833" s="12"/>
      <c r="J833" s="14"/>
      <c r="K833" s="12"/>
      <c r="L833" s="12"/>
      <c r="M833" s="12"/>
      <c r="N833" s="12"/>
      <c r="O833" s="12"/>
      <c r="P833" s="15"/>
      <c r="Q833" s="7"/>
      <c r="R833" s="7"/>
      <c r="S833" s="7"/>
      <c r="T833" s="8"/>
      <c r="U833" s="8"/>
    </row>
    <row r="834" spans="1:21">
      <c r="A834" s="10"/>
      <c r="B834" s="19"/>
      <c r="C834" s="12"/>
      <c r="D834" s="13"/>
      <c r="E834" s="12"/>
      <c r="F834" s="12"/>
      <c r="G834" s="12"/>
      <c r="H834" s="12"/>
      <c r="I834" s="12"/>
      <c r="J834" s="14"/>
      <c r="K834" s="12"/>
      <c r="L834" s="12"/>
      <c r="M834" s="12"/>
      <c r="N834" s="12"/>
      <c r="O834" s="12"/>
      <c r="P834" s="15"/>
      <c r="Q834" s="7"/>
      <c r="R834" s="7"/>
      <c r="S834" s="7"/>
      <c r="T834" s="8"/>
      <c r="U834" s="8"/>
    </row>
    <row r="835" spans="1:21">
      <c r="A835" s="10"/>
      <c r="B835" s="19"/>
      <c r="C835" s="12"/>
      <c r="D835" s="13"/>
      <c r="E835" s="12"/>
      <c r="F835" s="12"/>
      <c r="G835" s="12"/>
      <c r="H835" s="12"/>
      <c r="I835" s="12"/>
      <c r="J835" s="14"/>
      <c r="K835" s="12"/>
      <c r="L835" s="12"/>
      <c r="M835" s="12"/>
      <c r="N835" s="12"/>
      <c r="O835" s="12"/>
      <c r="P835" s="15"/>
      <c r="Q835" s="7"/>
      <c r="R835" s="7"/>
      <c r="S835" s="7"/>
      <c r="T835" s="8"/>
      <c r="U835" s="8"/>
    </row>
    <row r="836" spans="1:21">
      <c r="A836" s="10"/>
      <c r="B836" s="19"/>
      <c r="C836" s="12"/>
      <c r="D836" s="13"/>
      <c r="E836" s="12"/>
      <c r="F836" s="12"/>
      <c r="G836" s="12"/>
      <c r="H836" s="12"/>
      <c r="I836" s="12"/>
      <c r="J836" s="14"/>
      <c r="K836" s="12"/>
      <c r="L836" s="12"/>
      <c r="M836" s="12"/>
      <c r="N836" s="12"/>
      <c r="O836" s="12"/>
      <c r="P836" s="15"/>
      <c r="Q836" s="7"/>
      <c r="R836" s="7"/>
      <c r="S836" s="7"/>
      <c r="T836" s="8"/>
      <c r="U836" s="8"/>
    </row>
    <row r="837" spans="1:21">
      <c r="A837" s="10"/>
      <c r="B837" s="19"/>
      <c r="C837" s="12"/>
      <c r="D837" s="13"/>
      <c r="E837" s="12"/>
      <c r="F837" s="12"/>
      <c r="G837" s="12"/>
      <c r="H837" s="12"/>
      <c r="I837" s="12"/>
      <c r="J837" s="14"/>
      <c r="K837" s="12"/>
      <c r="L837" s="12"/>
      <c r="M837" s="12"/>
      <c r="N837" s="12"/>
      <c r="O837" s="12"/>
      <c r="P837" s="15"/>
      <c r="Q837" s="7"/>
      <c r="R837" s="7"/>
      <c r="S837" s="7"/>
      <c r="T837" s="8"/>
      <c r="U837" s="8"/>
    </row>
    <row r="838" spans="1:21">
      <c r="A838" s="10"/>
      <c r="B838" s="19"/>
      <c r="C838" s="12"/>
      <c r="D838" s="13"/>
      <c r="E838" s="12"/>
      <c r="F838" s="12"/>
      <c r="G838" s="12"/>
      <c r="H838" s="12"/>
      <c r="I838" s="12"/>
      <c r="J838" s="14"/>
      <c r="K838" s="12"/>
      <c r="L838" s="12"/>
      <c r="M838" s="12"/>
      <c r="N838" s="12"/>
      <c r="O838" s="12"/>
      <c r="P838" s="15"/>
      <c r="Q838" s="7"/>
      <c r="R838" s="7"/>
      <c r="S838" s="7"/>
      <c r="T838" s="8"/>
      <c r="U838" s="8"/>
    </row>
    <row r="839" spans="1:21">
      <c r="A839" s="10"/>
      <c r="B839" s="19"/>
      <c r="C839" s="12"/>
      <c r="D839" s="13"/>
      <c r="E839" s="12"/>
      <c r="F839" s="12"/>
      <c r="G839" s="12"/>
      <c r="H839" s="12"/>
      <c r="I839" s="12"/>
      <c r="J839" s="14"/>
      <c r="K839" s="12"/>
      <c r="L839" s="12"/>
      <c r="M839" s="12"/>
      <c r="N839" s="12"/>
      <c r="O839" s="12"/>
      <c r="P839" s="15"/>
      <c r="Q839" s="7"/>
      <c r="R839" s="7"/>
      <c r="S839" s="7"/>
      <c r="T839" s="8"/>
      <c r="U839" s="8"/>
    </row>
    <row r="840" spans="1:21">
      <c r="A840" s="10"/>
      <c r="B840" s="19"/>
      <c r="C840" s="12"/>
      <c r="D840" s="13"/>
      <c r="E840" s="12"/>
      <c r="F840" s="12"/>
      <c r="G840" s="12"/>
      <c r="H840" s="12"/>
      <c r="I840" s="12"/>
      <c r="J840" s="14"/>
      <c r="K840" s="12"/>
      <c r="L840" s="12"/>
      <c r="M840" s="12"/>
      <c r="N840" s="12"/>
      <c r="O840" s="12"/>
      <c r="P840" s="15"/>
      <c r="Q840" s="7"/>
      <c r="R840" s="7"/>
      <c r="S840" s="7"/>
      <c r="T840" s="8"/>
      <c r="U840" s="8"/>
    </row>
    <row r="841" spans="1:21">
      <c r="A841" s="10"/>
      <c r="B841" s="19"/>
      <c r="C841" s="12"/>
      <c r="D841" s="13"/>
      <c r="E841" s="12"/>
      <c r="F841" s="12"/>
      <c r="G841" s="12"/>
      <c r="H841" s="12"/>
      <c r="I841" s="12"/>
      <c r="J841" s="14"/>
      <c r="K841" s="12"/>
      <c r="L841" s="12"/>
      <c r="M841" s="12"/>
      <c r="N841" s="12"/>
      <c r="O841" s="12"/>
      <c r="P841" s="15"/>
      <c r="Q841" s="7"/>
      <c r="R841" s="7"/>
      <c r="S841" s="7"/>
      <c r="T841" s="8"/>
      <c r="U841" s="8"/>
    </row>
    <row r="842" spans="1:21">
      <c r="A842" s="10"/>
      <c r="B842" s="19"/>
      <c r="C842" s="12"/>
      <c r="D842" s="13"/>
      <c r="E842" s="12"/>
      <c r="F842" s="12"/>
      <c r="G842" s="12"/>
      <c r="H842" s="12"/>
      <c r="I842" s="12"/>
      <c r="J842" s="14"/>
      <c r="K842" s="12"/>
      <c r="L842" s="12"/>
      <c r="M842" s="12"/>
      <c r="N842" s="12"/>
      <c r="O842" s="12"/>
      <c r="P842" s="15"/>
      <c r="Q842" s="7"/>
      <c r="R842" s="7"/>
      <c r="S842" s="7"/>
      <c r="T842" s="8"/>
      <c r="U842" s="8"/>
    </row>
    <row r="843" spans="1:21">
      <c r="A843" s="10"/>
      <c r="B843" s="19"/>
      <c r="C843" s="12"/>
      <c r="D843" s="13"/>
      <c r="E843" s="12"/>
      <c r="F843" s="12"/>
      <c r="G843" s="12"/>
      <c r="H843" s="12"/>
      <c r="I843" s="12"/>
      <c r="J843" s="14"/>
      <c r="K843" s="12"/>
      <c r="L843" s="12"/>
      <c r="M843" s="12"/>
      <c r="N843" s="12"/>
      <c r="O843" s="12"/>
      <c r="P843" s="15"/>
      <c r="Q843" s="7"/>
      <c r="R843" s="7"/>
      <c r="S843" s="7"/>
      <c r="T843" s="8"/>
      <c r="U843" s="8"/>
    </row>
    <row r="844" spans="1:21">
      <c r="A844" s="10"/>
      <c r="B844" s="19"/>
      <c r="C844" s="12"/>
      <c r="D844" s="13"/>
      <c r="E844" s="12"/>
      <c r="F844" s="12"/>
      <c r="G844" s="12"/>
      <c r="H844" s="12"/>
      <c r="I844" s="12"/>
      <c r="J844" s="14"/>
      <c r="K844" s="12"/>
      <c r="L844" s="12"/>
      <c r="M844" s="12"/>
      <c r="N844" s="12"/>
      <c r="O844" s="12"/>
      <c r="P844" s="15"/>
      <c r="Q844" s="7"/>
      <c r="R844" s="7"/>
      <c r="S844" s="7"/>
      <c r="T844" s="8"/>
      <c r="U844" s="8"/>
    </row>
    <row r="845" spans="1:21">
      <c r="A845" s="10"/>
      <c r="B845" s="19"/>
      <c r="C845" s="12"/>
      <c r="D845" s="13"/>
      <c r="E845" s="12"/>
      <c r="F845" s="12"/>
      <c r="G845" s="12"/>
      <c r="H845" s="12"/>
      <c r="I845" s="12"/>
      <c r="J845" s="14"/>
      <c r="K845" s="12"/>
      <c r="L845" s="12"/>
      <c r="M845" s="12"/>
      <c r="N845" s="12"/>
      <c r="O845" s="12"/>
      <c r="P845" s="15"/>
      <c r="Q845" s="7"/>
      <c r="R845" s="7"/>
      <c r="S845" s="7"/>
      <c r="T845" s="8"/>
      <c r="U845" s="8"/>
    </row>
    <row r="846" spans="1:21">
      <c r="A846" s="10"/>
      <c r="B846" s="19"/>
      <c r="C846" s="12"/>
      <c r="D846" s="13"/>
      <c r="E846" s="12"/>
      <c r="F846" s="12"/>
      <c r="G846" s="12"/>
      <c r="H846" s="12"/>
      <c r="I846" s="12"/>
      <c r="J846" s="14"/>
      <c r="K846" s="12"/>
      <c r="L846" s="12"/>
      <c r="M846" s="12"/>
      <c r="N846" s="12"/>
      <c r="O846" s="12"/>
      <c r="P846" s="15"/>
      <c r="Q846" s="7"/>
      <c r="R846" s="7"/>
      <c r="S846" s="7"/>
      <c r="T846" s="8"/>
      <c r="U846" s="8"/>
    </row>
    <row r="847" spans="1:21">
      <c r="A847" s="10"/>
      <c r="B847" s="19"/>
      <c r="C847" s="12"/>
      <c r="D847" s="13"/>
      <c r="E847" s="12"/>
      <c r="F847" s="12"/>
      <c r="G847" s="12"/>
      <c r="H847" s="12"/>
      <c r="I847" s="12"/>
      <c r="J847" s="14"/>
      <c r="K847" s="12"/>
      <c r="L847" s="12"/>
      <c r="M847" s="12"/>
      <c r="N847" s="12"/>
      <c r="O847" s="12"/>
      <c r="P847" s="15"/>
      <c r="Q847" s="7"/>
      <c r="R847" s="7"/>
      <c r="S847" s="7"/>
      <c r="T847" s="8"/>
      <c r="U847" s="8"/>
    </row>
    <row r="848" spans="1:21">
      <c r="A848" s="10"/>
      <c r="B848" s="19"/>
      <c r="C848" s="12"/>
      <c r="D848" s="13"/>
      <c r="E848" s="12"/>
      <c r="F848" s="12"/>
      <c r="G848" s="12"/>
      <c r="H848" s="12"/>
      <c r="I848" s="12"/>
      <c r="J848" s="14"/>
      <c r="K848" s="12"/>
      <c r="L848" s="12"/>
      <c r="M848" s="12"/>
      <c r="N848" s="12"/>
      <c r="O848" s="12"/>
      <c r="P848" s="15"/>
      <c r="Q848" s="7"/>
      <c r="R848" s="7"/>
      <c r="S848" s="7"/>
      <c r="T848" s="8"/>
      <c r="U848" s="8"/>
    </row>
    <row r="849" spans="1:21">
      <c r="A849" s="10"/>
      <c r="B849" s="19"/>
      <c r="C849" s="12"/>
      <c r="D849" s="13"/>
      <c r="E849" s="12"/>
      <c r="F849" s="12"/>
      <c r="G849" s="12"/>
      <c r="H849" s="12"/>
      <c r="I849" s="12"/>
      <c r="J849" s="14"/>
      <c r="K849" s="12"/>
      <c r="L849" s="12"/>
      <c r="M849" s="12"/>
      <c r="N849" s="12"/>
      <c r="O849" s="12"/>
      <c r="P849" s="15"/>
      <c r="Q849" s="7"/>
      <c r="R849" s="7"/>
      <c r="S849" s="7"/>
      <c r="T849" s="8"/>
      <c r="U849" s="8"/>
    </row>
    <row r="850" spans="1:21">
      <c r="A850" s="10"/>
      <c r="B850" s="19"/>
      <c r="C850" s="12"/>
      <c r="D850" s="13"/>
      <c r="E850" s="12"/>
      <c r="F850" s="12"/>
      <c r="G850" s="12"/>
      <c r="H850" s="12"/>
      <c r="I850" s="12"/>
      <c r="J850" s="14"/>
      <c r="K850" s="12"/>
      <c r="L850" s="12"/>
      <c r="M850" s="12"/>
      <c r="N850" s="12"/>
      <c r="O850" s="12"/>
      <c r="P850" s="15"/>
      <c r="Q850" s="7"/>
      <c r="R850" s="7"/>
      <c r="S850" s="7"/>
      <c r="T850" s="8"/>
      <c r="U850" s="8"/>
    </row>
    <row r="851" spans="1:21">
      <c r="A851" s="10"/>
      <c r="B851" s="19"/>
      <c r="C851" s="12"/>
      <c r="D851" s="13"/>
      <c r="E851" s="12"/>
      <c r="F851" s="12"/>
      <c r="G851" s="12"/>
      <c r="H851" s="12"/>
      <c r="I851" s="12"/>
      <c r="J851" s="14"/>
      <c r="K851" s="12"/>
      <c r="L851" s="12"/>
      <c r="M851" s="12"/>
      <c r="N851" s="12"/>
      <c r="O851" s="12"/>
      <c r="P851" s="15"/>
      <c r="Q851" s="7"/>
      <c r="R851" s="7"/>
      <c r="S851" s="7"/>
      <c r="T851" s="8"/>
      <c r="U851" s="8"/>
    </row>
    <row r="852" spans="1:21">
      <c r="A852" s="10"/>
      <c r="B852" s="19"/>
      <c r="C852" s="12"/>
      <c r="D852" s="13"/>
      <c r="E852" s="12"/>
      <c r="F852" s="12"/>
      <c r="G852" s="12"/>
      <c r="H852" s="12"/>
      <c r="I852" s="12"/>
      <c r="J852" s="14"/>
      <c r="K852" s="12"/>
      <c r="L852" s="12"/>
      <c r="M852" s="12"/>
      <c r="N852" s="12"/>
      <c r="O852" s="12"/>
      <c r="P852" s="15"/>
      <c r="Q852" s="7"/>
      <c r="R852" s="7"/>
      <c r="S852" s="7"/>
      <c r="T852" s="8"/>
      <c r="U852" s="8"/>
    </row>
    <row r="853" spans="1:21">
      <c r="A853" s="10"/>
      <c r="B853" s="19"/>
      <c r="C853" s="12"/>
      <c r="D853" s="13"/>
      <c r="E853" s="12"/>
      <c r="F853" s="12"/>
      <c r="G853" s="12"/>
      <c r="H853" s="12"/>
      <c r="I853" s="12"/>
      <c r="J853" s="14"/>
      <c r="K853" s="12"/>
      <c r="L853" s="12"/>
      <c r="M853" s="12"/>
      <c r="N853" s="12"/>
      <c r="O853" s="12"/>
      <c r="P853" s="15"/>
      <c r="Q853" s="7"/>
      <c r="R853" s="7"/>
      <c r="S853" s="7"/>
      <c r="T853" s="8"/>
      <c r="U853" s="8"/>
    </row>
    <row r="854" spans="1:21">
      <c r="A854" s="10"/>
      <c r="B854" s="19"/>
      <c r="C854" s="12"/>
      <c r="D854" s="13"/>
      <c r="E854" s="12"/>
      <c r="F854" s="12"/>
      <c r="G854" s="12"/>
      <c r="H854" s="12"/>
      <c r="I854" s="12"/>
      <c r="J854" s="14"/>
      <c r="K854" s="12"/>
      <c r="L854" s="12"/>
      <c r="M854" s="12"/>
      <c r="N854" s="12"/>
      <c r="O854" s="12"/>
      <c r="P854" s="15"/>
      <c r="Q854" s="7"/>
      <c r="R854" s="7"/>
      <c r="S854" s="7"/>
      <c r="T854" s="8"/>
      <c r="U854" s="8"/>
    </row>
    <row r="855" spans="1:21">
      <c r="A855" s="10"/>
      <c r="B855" s="19"/>
      <c r="C855" s="12"/>
      <c r="D855" s="13"/>
      <c r="E855" s="12"/>
      <c r="F855" s="12"/>
      <c r="G855" s="12"/>
      <c r="H855" s="12"/>
      <c r="I855" s="12"/>
      <c r="J855" s="14"/>
      <c r="K855" s="12"/>
      <c r="L855" s="12"/>
      <c r="M855" s="12"/>
      <c r="N855" s="12"/>
      <c r="O855" s="12"/>
      <c r="P855" s="15"/>
      <c r="Q855" s="7"/>
      <c r="R855" s="7"/>
      <c r="S855" s="7"/>
      <c r="T855" s="8"/>
      <c r="U855" s="8"/>
    </row>
    <row r="856" spans="1:21">
      <c r="A856" s="10"/>
      <c r="B856" s="19"/>
      <c r="C856" s="12"/>
      <c r="D856" s="13"/>
      <c r="E856" s="12"/>
      <c r="F856" s="12"/>
      <c r="G856" s="12"/>
      <c r="H856" s="12"/>
      <c r="I856" s="12"/>
      <c r="J856" s="14"/>
      <c r="K856" s="12"/>
      <c r="L856" s="12"/>
      <c r="M856" s="12"/>
      <c r="N856" s="12"/>
      <c r="O856" s="12"/>
      <c r="P856" s="15"/>
      <c r="Q856" s="7"/>
      <c r="R856" s="7"/>
      <c r="S856" s="7"/>
      <c r="T856" s="8"/>
      <c r="U856" s="8"/>
    </row>
    <row r="857" spans="1:21">
      <c r="A857" s="10"/>
      <c r="B857" s="19"/>
      <c r="C857" s="12"/>
      <c r="D857" s="13"/>
      <c r="E857" s="12"/>
      <c r="F857" s="12"/>
      <c r="G857" s="12"/>
      <c r="H857" s="12"/>
      <c r="I857" s="12"/>
      <c r="J857" s="14"/>
      <c r="K857" s="12"/>
      <c r="L857" s="12"/>
      <c r="M857" s="12"/>
      <c r="N857" s="12"/>
      <c r="O857" s="12"/>
      <c r="P857" s="15"/>
      <c r="Q857" s="7"/>
      <c r="R857" s="7"/>
      <c r="S857" s="7"/>
      <c r="T857" s="8"/>
      <c r="U857" s="8"/>
    </row>
    <row r="858" spans="1:21">
      <c r="A858" s="10"/>
      <c r="B858" s="19"/>
      <c r="C858" s="12"/>
      <c r="D858" s="13"/>
      <c r="E858" s="12"/>
      <c r="F858" s="12"/>
      <c r="G858" s="12"/>
      <c r="H858" s="12"/>
      <c r="I858" s="12"/>
      <c r="J858" s="14"/>
      <c r="K858" s="12"/>
      <c r="L858" s="12"/>
      <c r="M858" s="12"/>
      <c r="N858" s="12"/>
      <c r="O858" s="12"/>
      <c r="P858" s="15"/>
      <c r="Q858" s="7"/>
      <c r="R858" s="7"/>
      <c r="S858" s="7"/>
      <c r="T858" s="8"/>
      <c r="U858" s="8"/>
    </row>
    <row r="859" spans="1:21">
      <c r="A859" s="10"/>
      <c r="B859" s="19"/>
      <c r="C859" s="12"/>
      <c r="D859" s="13"/>
      <c r="E859" s="12"/>
      <c r="F859" s="12"/>
      <c r="G859" s="12"/>
      <c r="H859" s="12"/>
      <c r="I859" s="12"/>
      <c r="J859" s="14"/>
      <c r="K859" s="12"/>
      <c r="L859" s="12"/>
      <c r="M859" s="12"/>
      <c r="N859" s="12"/>
      <c r="O859" s="12"/>
      <c r="P859" s="15"/>
      <c r="Q859" s="7"/>
      <c r="R859" s="7"/>
      <c r="S859" s="7"/>
      <c r="T859" s="8"/>
      <c r="U859" s="8"/>
    </row>
    <row r="860" spans="1:21">
      <c r="A860" s="10"/>
      <c r="B860" s="19"/>
      <c r="C860" s="12"/>
      <c r="D860" s="13"/>
      <c r="E860" s="12"/>
      <c r="F860" s="12"/>
      <c r="G860" s="12"/>
      <c r="H860" s="12"/>
      <c r="I860" s="12"/>
      <c r="J860" s="14"/>
      <c r="K860" s="12"/>
      <c r="L860" s="12"/>
      <c r="M860" s="12"/>
      <c r="N860" s="12"/>
      <c r="O860" s="12"/>
      <c r="P860" s="15"/>
      <c r="Q860" s="7"/>
      <c r="R860" s="7"/>
      <c r="S860" s="7"/>
      <c r="T860" s="8"/>
      <c r="U860" s="8"/>
    </row>
    <row r="861" spans="1:21">
      <c r="A861" s="10"/>
      <c r="B861" s="19"/>
      <c r="C861" s="12"/>
      <c r="D861" s="13"/>
      <c r="E861" s="12"/>
      <c r="F861" s="12"/>
      <c r="G861" s="12"/>
      <c r="H861" s="12"/>
      <c r="I861" s="12"/>
      <c r="J861" s="14"/>
      <c r="K861" s="12"/>
      <c r="L861" s="12"/>
      <c r="M861" s="12"/>
      <c r="N861" s="12"/>
      <c r="O861" s="12"/>
      <c r="P861" s="15"/>
      <c r="Q861" s="7"/>
      <c r="R861" s="7"/>
      <c r="S861" s="7"/>
      <c r="T861" s="8"/>
      <c r="U861" s="8"/>
    </row>
    <row r="862" spans="1:21">
      <c r="A862" s="10"/>
      <c r="B862" s="19"/>
      <c r="C862" s="12"/>
      <c r="D862" s="13"/>
      <c r="E862" s="12"/>
      <c r="F862" s="12"/>
      <c r="G862" s="12"/>
      <c r="H862" s="12"/>
      <c r="I862" s="12"/>
      <c r="J862" s="14"/>
      <c r="K862" s="12"/>
      <c r="L862" s="12"/>
      <c r="M862" s="12"/>
      <c r="N862" s="12"/>
      <c r="O862" s="12"/>
      <c r="P862" s="15"/>
      <c r="Q862" s="7"/>
      <c r="R862" s="7"/>
      <c r="S862" s="7"/>
      <c r="T862" s="8"/>
      <c r="U862" s="8"/>
    </row>
    <row r="863" spans="1:21">
      <c r="A863" s="10"/>
      <c r="B863" s="19"/>
      <c r="C863" s="12"/>
      <c r="D863" s="13"/>
      <c r="E863" s="12"/>
      <c r="F863" s="12"/>
      <c r="G863" s="12"/>
      <c r="H863" s="12"/>
      <c r="I863" s="12"/>
      <c r="J863" s="14"/>
      <c r="K863" s="12"/>
      <c r="L863" s="12"/>
      <c r="M863" s="12"/>
      <c r="N863" s="12"/>
      <c r="O863" s="12"/>
      <c r="P863" s="15"/>
      <c r="Q863" s="7"/>
      <c r="R863" s="7"/>
      <c r="S863" s="7"/>
      <c r="T863" s="8"/>
      <c r="U863" s="8"/>
    </row>
    <row r="864" spans="1:21">
      <c r="A864" s="10"/>
      <c r="B864" s="19"/>
      <c r="C864" s="12"/>
      <c r="D864" s="13"/>
      <c r="E864" s="12"/>
      <c r="F864" s="12"/>
      <c r="G864" s="12"/>
      <c r="H864" s="12"/>
      <c r="I864" s="12"/>
      <c r="J864" s="14"/>
      <c r="K864" s="12"/>
      <c r="L864" s="12"/>
      <c r="M864" s="12"/>
      <c r="N864" s="12"/>
      <c r="O864" s="12"/>
      <c r="P864" s="15"/>
      <c r="Q864" s="7"/>
      <c r="R864" s="7"/>
      <c r="S864" s="7"/>
      <c r="T864" s="8"/>
      <c r="U864" s="8"/>
    </row>
    <row r="865" spans="1:21">
      <c r="A865" s="10"/>
      <c r="B865" s="19"/>
      <c r="C865" s="12"/>
      <c r="D865" s="13"/>
      <c r="E865" s="12"/>
      <c r="F865" s="12"/>
      <c r="G865" s="12"/>
      <c r="H865" s="12"/>
      <c r="I865" s="12"/>
      <c r="J865" s="14"/>
      <c r="K865" s="12"/>
      <c r="L865" s="12"/>
      <c r="M865" s="12"/>
      <c r="N865" s="12"/>
      <c r="O865" s="12"/>
      <c r="P865" s="15"/>
      <c r="Q865" s="7"/>
      <c r="R865" s="7"/>
      <c r="S865" s="7"/>
      <c r="T865" s="8"/>
      <c r="U865" s="8"/>
    </row>
    <row r="866" spans="1:21">
      <c r="A866" s="10"/>
      <c r="B866" s="19"/>
      <c r="C866" s="12"/>
      <c r="D866" s="13"/>
      <c r="E866" s="12"/>
      <c r="F866" s="12"/>
      <c r="G866" s="12"/>
      <c r="H866" s="12"/>
      <c r="I866" s="12"/>
      <c r="J866" s="14"/>
      <c r="K866" s="12"/>
      <c r="L866" s="12"/>
      <c r="M866" s="12"/>
      <c r="N866" s="12"/>
      <c r="O866" s="12"/>
      <c r="P866" s="15"/>
      <c r="Q866" s="7"/>
      <c r="R866" s="7"/>
      <c r="S866" s="7"/>
      <c r="T866" s="8"/>
      <c r="U866" s="8"/>
    </row>
    <row r="867" spans="1:21">
      <c r="A867" s="10"/>
      <c r="B867" s="19"/>
      <c r="C867" s="12"/>
      <c r="D867" s="13"/>
      <c r="E867" s="12"/>
      <c r="F867" s="12"/>
      <c r="G867" s="12"/>
      <c r="H867" s="12"/>
      <c r="I867" s="12"/>
      <c r="J867" s="14"/>
      <c r="K867" s="12"/>
      <c r="L867" s="12"/>
      <c r="M867" s="12"/>
      <c r="N867" s="12"/>
      <c r="O867" s="12"/>
      <c r="P867" s="15"/>
      <c r="Q867" s="7"/>
      <c r="R867" s="7"/>
      <c r="S867" s="7"/>
      <c r="T867" s="8"/>
      <c r="U867" s="8"/>
    </row>
    <row r="868" spans="1:21">
      <c r="A868" s="10"/>
      <c r="B868" s="19"/>
      <c r="C868" s="12"/>
      <c r="D868" s="13"/>
      <c r="E868" s="12"/>
      <c r="F868" s="12"/>
      <c r="G868" s="12"/>
      <c r="H868" s="12"/>
      <c r="I868" s="12"/>
      <c r="J868" s="14"/>
      <c r="K868" s="12"/>
      <c r="L868" s="12"/>
      <c r="M868" s="12"/>
      <c r="N868" s="12"/>
      <c r="O868" s="12"/>
      <c r="P868" s="15"/>
      <c r="Q868" s="7"/>
      <c r="R868" s="7"/>
      <c r="S868" s="7"/>
      <c r="T868" s="8"/>
      <c r="U868" s="8"/>
    </row>
    <row r="869" spans="1:21">
      <c r="A869" s="10"/>
      <c r="B869" s="19"/>
      <c r="C869" s="12"/>
      <c r="D869" s="13"/>
      <c r="E869" s="12"/>
      <c r="F869" s="12"/>
      <c r="G869" s="12"/>
      <c r="H869" s="12"/>
      <c r="I869" s="12"/>
      <c r="J869" s="14"/>
      <c r="K869" s="12"/>
      <c r="L869" s="12"/>
      <c r="M869" s="12"/>
      <c r="N869" s="12"/>
      <c r="O869" s="12"/>
      <c r="P869" s="15"/>
      <c r="Q869" s="7"/>
      <c r="R869" s="7"/>
      <c r="S869" s="7"/>
      <c r="T869" s="8"/>
      <c r="U869" s="8"/>
    </row>
    <row r="870" spans="1:21">
      <c r="A870" s="10"/>
      <c r="B870" s="19"/>
      <c r="C870" s="12"/>
      <c r="D870" s="13"/>
      <c r="E870" s="12"/>
      <c r="F870" s="12"/>
      <c r="G870" s="12"/>
      <c r="H870" s="12"/>
      <c r="I870" s="12"/>
      <c r="J870" s="14"/>
      <c r="K870" s="12"/>
      <c r="L870" s="12"/>
      <c r="M870" s="12"/>
      <c r="N870" s="12"/>
      <c r="O870" s="12"/>
      <c r="P870" s="15"/>
      <c r="Q870" s="7"/>
      <c r="R870" s="7"/>
      <c r="S870" s="7"/>
      <c r="T870" s="8"/>
      <c r="U870" s="8"/>
    </row>
    <row r="871" spans="1:21">
      <c r="A871" s="10"/>
      <c r="B871" s="19"/>
      <c r="C871" s="12"/>
      <c r="D871" s="13"/>
      <c r="E871" s="12"/>
      <c r="F871" s="12"/>
      <c r="G871" s="12"/>
      <c r="H871" s="12"/>
      <c r="I871" s="12"/>
      <c r="J871" s="14"/>
      <c r="K871" s="12"/>
      <c r="L871" s="12"/>
      <c r="M871" s="12"/>
      <c r="N871" s="12"/>
      <c r="O871" s="12"/>
      <c r="P871" s="15"/>
      <c r="Q871" s="7"/>
      <c r="R871" s="7"/>
      <c r="S871" s="7"/>
      <c r="T871" s="8"/>
      <c r="U871" s="8"/>
    </row>
    <row r="872" spans="1:21">
      <c r="A872" s="10"/>
      <c r="B872" s="19"/>
      <c r="C872" s="12"/>
      <c r="D872" s="13"/>
      <c r="E872" s="12"/>
      <c r="F872" s="12"/>
      <c r="G872" s="12"/>
      <c r="H872" s="12"/>
      <c r="I872" s="12"/>
      <c r="J872" s="14"/>
      <c r="K872" s="12"/>
      <c r="L872" s="12"/>
      <c r="M872" s="12"/>
      <c r="N872" s="12"/>
      <c r="O872" s="12"/>
      <c r="P872" s="15"/>
      <c r="Q872" s="7"/>
      <c r="R872" s="7"/>
      <c r="S872" s="7"/>
      <c r="T872" s="8"/>
      <c r="U872" s="8"/>
    </row>
    <row r="873" spans="1:21">
      <c r="A873" s="10"/>
      <c r="B873" s="19"/>
      <c r="C873" s="12"/>
      <c r="D873" s="13"/>
      <c r="E873" s="12"/>
      <c r="F873" s="12"/>
      <c r="G873" s="12"/>
      <c r="H873" s="12"/>
      <c r="I873" s="12"/>
      <c r="J873" s="14"/>
      <c r="K873" s="12"/>
      <c r="L873" s="12"/>
      <c r="M873" s="12"/>
      <c r="N873" s="12"/>
      <c r="O873" s="12"/>
      <c r="P873" s="15"/>
      <c r="Q873" s="7"/>
      <c r="R873" s="7"/>
      <c r="S873" s="7"/>
      <c r="T873" s="8"/>
      <c r="U873" s="8"/>
    </row>
    <row r="874" spans="1:21">
      <c r="A874" s="10"/>
      <c r="B874" s="19"/>
      <c r="C874" s="12"/>
      <c r="D874" s="13"/>
      <c r="E874" s="12"/>
      <c r="F874" s="12"/>
      <c r="G874" s="12"/>
      <c r="H874" s="12"/>
      <c r="I874" s="12"/>
      <c r="J874" s="14"/>
      <c r="K874" s="12"/>
      <c r="L874" s="12"/>
      <c r="M874" s="12"/>
      <c r="N874" s="12"/>
      <c r="O874" s="12"/>
      <c r="P874" s="15"/>
      <c r="Q874" s="7"/>
      <c r="R874" s="7"/>
      <c r="S874" s="7"/>
      <c r="T874" s="8"/>
      <c r="U874" s="8"/>
    </row>
    <row r="875" spans="1:21">
      <c r="A875" s="10"/>
      <c r="B875" s="19"/>
      <c r="C875" s="12"/>
      <c r="D875" s="13"/>
      <c r="E875" s="12"/>
      <c r="F875" s="12"/>
      <c r="G875" s="12"/>
      <c r="H875" s="12"/>
      <c r="I875" s="12"/>
      <c r="J875" s="14"/>
      <c r="K875" s="12"/>
      <c r="L875" s="12"/>
      <c r="M875" s="12"/>
      <c r="N875" s="12"/>
      <c r="O875" s="12"/>
      <c r="P875" s="15"/>
      <c r="Q875" s="7"/>
      <c r="R875" s="7"/>
      <c r="S875" s="7"/>
      <c r="T875" s="8"/>
      <c r="U875" s="8"/>
    </row>
    <row r="876" spans="1:21">
      <c r="A876" s="10"/>
      <c r="B876" s="19"/>
      <c r="C876" s="12"/>
      <c r="D876" s="13"/>
      <c r="E876" s="12"/>
      <c r="F876" s="12"/>
      <c r="G876" s="12"/>
      <c r="H876" s="12"/>
      <c r="I876" s="12"/>
      <c r="J876" s="14"/>
      <c r="K876" s="12"/>
      <c r="L876" s="12"/>
      <c r="M876" s="12"/>
      <c r="N876" s="12"/>
      <c r="O876" s="12"/>
      <c r="P876" s="15"/>
      <c r="Q876" s="7"/>
      <c r="R876" s="7"/>
      <c r="S876" s="7"/>
      <c r="T876" s="8"/>
      <c r="U876" s="8"/>
    </row>
    <row r="877" spans="1:21">
      <c r="A877" s="10"/>
      <c r="B877" s="19"/>
      <c r="C877" s="12"/>
      <c r="D877" s="13"/>
      <c r="E877" s="12"/>
      <c r="F877" s="12"/>
      <c r="G877" s="12"/>
      <c r="H877" s="12"/>
      <c r="I877" s="12"/>
      <c r="J877" s="14"/>
      <c r="K877" s="12"/>
      <c r="L877" s="12"/>
      <c r="M877" s="12"/>
      <c r="N877" s="12"/>
      <c r="O877" s="12"/>
      <c r="P877" s="15"/>
      <c r="Q877" s="7"/>
      <c r="R877" s="7"/>
      <c r="S877" s="7"/>
      <c r="T877" s="8"/>
      <c r="U877" s="8"/>
    </row>
    <row r="878" spans="1:21">
      <c r="A878" s="10"/>
      <c r="B878" s="19"/>
      <c r="C878" s="12"/>
      <c r="D878" s="13"/>
      <c r="E878" s="12"/>
      <c r="F878" s="12"/>
      <c r="G878" s="12"/>
      <c r="H878" s="12"/>
      <c r="I878" s="12"/>
      <c r="J878" s="14"/>
      <c r="K878" s="12"/>
      <c r="L878" s="12"/>
      <c r="M878" s="12"/>
      <c r="N878" s="12"/>
      <c r="O878" s="12"/>
      <c r="P878" s="15"/>
      <c r="Q878" s="7"/>
      <c r="R878" s="7"/>
      <c r="S878" s="7"/>
      <c r="T878" s="8"/>
      <c r="U878" s="8"/>
    </row>
    <row r="879" spans="1:21">
      <c r="A879" s="10"/>
      <c r="B879" s="19"/>
      <c r="C879" s="12"/>
      <c r="D879" s="13"/>
      <c r="E879" s="12"/>
      <c r="F879" s="12"/>
      <c r="G879" s="12"/>
      <c r="H879" s="12"/>
      <c r="I879" s="12"/>
      <c r="J879" s="14"/>
      <c r="K879" s="12"/>
      <c r="L879" s="12"/>
      <c r="M879" s="12"/>
      <c r="N879" s="12"/>
      <c r="O879" s="12"/>
      <c r="P879" s="15"/>
      <c r="Q879" s="7"/>
      <c r="R879" s="7"/>
      <c r="S879" s="7"/>
      <c r="T879" s="8"/>
      <c r="U879" s="8"/>
    </row>
    <row r="880" spans="1:21">
      <c r="A880" s="10"/>
      <c r="B880" s="19"/>
      <c r="C880" s="12"/>
      <c r="D880" s="13"/>
      <c r="E880" s="12"/>
      <c r="F880" s="12"/>
      <c r="G880" s="12"/>
      <c r="H880" s="12"/>
      <c r="I880" s="12"/>
      <c r="J880" s="14"/>
      <c r="K880" s="12"/>
      <c r="L880" s="12"/>
      <c r="M880" s="12"/>
      <c r="N880" s="12"/>
      <c r="O880" s="12"/>
      <c r="P880" s="15"/>
      <c r="Q880" s="7"/>
      <c r="R880" s="7"/>
      <c r="S880" s="7"/>
      <c r="T880" s="8"/>
      <c r="U880" s="8"/>
    </row>
    <row r="881" spans="1:21">
      <c r="A881" s="10"/>
      <c r="B881" s="19"/>
      <c r="C881" s="12"/>
      <c r="D881" s="13"/>
      <c r="E881" s="12"/>
      <c r="F881" s="12"/>
      <c r="G881" s="12"/>
      <c r="H881" s="12"/>
      <c r="I881" s="12"/>
      <c r="J881" s="14"/>
      <c r="K881" s="12"/>
      <c r="L881" s="12"/>
      <c r="M881" s="12"/>
      <c r="N881" s="12"/>
      <c r="O881" s="12"/>
      <c r="P881" s="15"/>
      <c r="Q881" s="7"/>
      <c r="R881" s="7"/>
      <c r="S881" s="7"/>
      <c r="T881" s="8"/>
      <c r="U881" s="8"/>
    </row>
    <row r="882" spans="1:21">
      <c r="A882" s="10"/>
      <c r="B882" s="19"/>
      <c r="C882" s="12"/>
      <c r="D882" s="13"/>
      <c r="E882" s="12"/>
      <c r="F882" s="12"/>
      <c r="G882" s="12"/>
      <c r="H882" s="12"/>
      <c r="I882" s="12"/>
      <c r="J882" s="14"/>
      <c r="K882" s="12"/>
      <c r="L882" s="12"/>
      <c r="M882" s="12"/>
      <c r="N882" s="12"/>
      <c r="O882" s="12"/>
      <c r="P882" s="15"/>
      <c r="Q882" s="7"/>
      <c r="R882" s="7"/>
      <c r="S882" s="7"/>
      <c r="T882" s="8"/>
      <c r="U882" s="8"/>
    </row>
    <row r="883" spans="1:21">
      <c r="A883" s="10"/>
      <c r="B883" s="19"/>
      <c r="C883" s="12"/>
      <c r="D883" s="13"/>
      <c r="E883" s="12"/>
      <c r="F883" s="12"/>
      <c r="G883" s="12"/>
      <c r="H883" s="12"/>
      <c r="I883" s="12"/>
      <c r="J883" s="14"/>
      <c r="K883" s="12"/>
      <c r="L883" s="12"/>
      <c r="M883" s="12"/>
      <c r="N883" s="12"/>
      <c r="O883" s="12"/>
      <c r="P883" s="15"/>
      <c r="Q883" s="7"/>
      <c r="R883" s="7"/>
      <c r="S883" s="7"/>
      <c r="T883" s="8"/>
      <c r="U883" s="8"/>
    </row>
    <row r="884" spans="1:21">
      <c r="A884" s="10"/>
      <c r="B884" s="19"/>
      <c r="C884" s="12"/>
      <c r="D884" s="13"/>
      <c r="E884" s="12"/>
      <c r="F884" s="12"/>
      <c r="G884" s="12"/>
      <c r="H884" s="12"/>
      <c r="I884" s="12"/>
      <c r="J884" s="14"/>
      <c r="K884" s="12"/>
      <c r="L884" s="12"/>
      <c r="M884" s="12"/>
      <c r="N884" s="12"/>
      <c r="O884" s="12"/>
      <c r="P884" s="15"/>
      <c r="Q884" s="7"/>
      <c r="R884" s="7"/>
      <c r="S884" s="7"/>
      <c r="T884" s="8"/>
      <c r="U884" s="8"/>
    </row>
    <row r="885" spans="1:21">
      <c r="A885" s="10"/>
      <c r="B885" s="19"/>
      <c r="C885" s="12"/>
      <c r="D885" s="13"/>
      <c r="E885" s="12"/>
      <c r="F885" s="12"/>
      <c r="G885" s="12"/>
      <c r="H885" s="12"/>
      <c r="I885" s="12"/>
      <c r="J885" s="14"/>
      <c r="K885" s="12"/>
      <c r="L885" s="12"/>
      <c r="M885" s="12"/>
      <c r="N885" s="12"/>
      <c r="O885" s="12"/>
      <c r="P885" s="15"/>
      <c r="Q885" s="7"/>
      <c r="R885" s="7"/>
      <c r="S885" s="7"/>
      <c r="T885" s="8"/>
      <c r="U885" s="8"/>
    </row>
    <row r="886" spans="1:21">
      <c r="A886" s="10"/>
      <c r="B886" s="19"/>
      <c r="C886" s="12"/>
      <c r="D886" s="13"/>
      <c r="E886" s="12"/>
      <c r="F886" s="12"/>
      <c r="G886" s="12"/>
      <c r="H886" s="12"/>
      <c r="I886" s="12"/>
      <c r="J886" s="14"/>
      <c r="K886" s="12"/>
      <c r="L886" s="12"/>
      <c r="M886" s="12"/>
      <c r="N886" s="12"/>
      <c r="O886" s="12"/>
      <c r="P886" s="15"/>
      <c r="Q886" s="7"/>
      <c r="R886" s="7"/>
      <c r="S886" s="7"/>
      <c r="T886" s="8"/>
      <c r="U886" s="8"/>
    </row>
    <row r="887" spans="1:21">
      <c r="A887" s="10"/>
      <c r="B887" s="19"/>
      <c r="C887" s="12"/>
      <c r="D887" s="13"/>
      <c r="E887" s="12"/>
      <c r="F887" s="12"/>
      <c r="G887" s="12"/>
      <c r="H887" s="12"/>
      <c r="I887" s="12"/>
      <c r="J887" s="14"/>
      <c r="K887" s="12"/>
      <c r="L887" s="12"/>
      <c r="M887" s="12"/>
      <c r="N887" s="12"/>
      <c r="O887" s="12"/>
      <c r="P887" s="15"/>
      <c r="Q887" s="7"/>
      <c r="R887" s="7"/>
      <c r="S887" s="7"/>
      <c r="T887" s="8"/>
      <c r="U887" s="8"/>
    </row>
    <row r="888" spans="1:21">
      <c r="A888" s="10"/>
      <c r="B888" s="19"/>
      <c r="C888" s="12"/>
      <c r="D888" s="13"/>
      <c r="E888" s="12"/>
      <c r="F888" s="12"/>
      <c r="G888" s="12"/>
      <c r="H888" s="12"/>
      <c r="I888" s="12"/>
      <c r="J888" s="14"/>
      <c r="K888" s="12"/>
      <c r="L888" s="12"/>
      <c r="M888" s="12"/>
      <c r="N888" s="12"/>
      <c r="O888" s="12"/>
      <c r="P888" s="15"/>
      <c r="Q888" s="7"/>
      <c r="R888" s="7"/>
      <c r="S888" s="7"/>
      <c r="T888" s="8"/>
      <c r="U888" s="8"/>
    </row>
    <row r="889" spans="1:21">
      <c r="A889" s="10"/>
      <c r="B889" s="19"/>
      <c r="C889" s="12"/>
      <c r="D889" s="13"/>
      <c r="E889" s="12"/>
      <c r="F889" s="12"/>
      <c r="G889" s="12"/>
      <c r="H889" s="12"/>
      <c r="I889" s="12"/>
      <c r="J889" s="14"/>
      <c r="K889" s="12"/>
      <c r="L889" s="12"/>
      <c r="M889" s="12"/>
      <c r="N889" s="12"/>
      <c r="O889" s="12"/>
      <c r="P889" s="15"/>
      <c r="Q889" s="7"/>
      <c r="R889" s="7"/>
      <c r="S889" s="7"/>
      <c r="T889" s="8"/>
      <c r="U889" s="8"/>
    </row>
    <row r="890" spans="1:21">
      <c r="A890" s="10"/>
      <c r="B890" s="19"/>
      <c r="C890" s="12"/>
      <c r="D890" s="13"/>
      <c r="E890" s="12"/>
      <c r="F890" s="12"/>
      <c r="G890" s="12"/>
      <c r="H890" s="12"/>
      <c r="I890" s="12"/>
      <c r="J890" s="14"/>
      <c r="K890" s="12"/>
      <c r="L890" s="12"/>
      <c r="M890" s="12"/>
      <c r="N890" s="12"/>
      <c r="O890" s="12"/>
      <c r="P890" s="15"/>
      <c r="Q890" s="7"/>
      <c r="R890" s="7"/>
      <c r="S890" s="7"/>
      <c r="T890" s="8"/>
      <c r="U890" s="8"/>
    </row>
    <row r="891" spans="1:21">
      <c r="A891" s="10"/>
      <c r="B891" s="19"/>
      <c r="C891" s="12"/>
      <c r="D891" s="13"/>
      <c r="E891" s="12"/>
      <c r="F891" s="12"/>
      <c r="G891" s="12"/>
      <c r="H891" s="12"/>
      <c r="I891" s="12"/>
      <c r="J891" s="14"/>
      <c r="K891" s="12"/>
      <c r="L891" s="12"/>
      <c r="M891" s="12"/>
      <c r="N891" s="12"/>
      <c r="O891" s="12"/>
      <c r="P891" s="15"/>
      <c r="Q891" s="7"/>
      <c r="R891" s="7"/>
      <c r="S891" s="7"/>
      <c r="T891" s="8"/>
      <c r="U891" s="8"/>
    </row>
    <row r="892" spans="1:21">
      <c r="A892" s="10"/>
      <c r="B892" s="19"/>
      <c r="C892" s="12"/>
      <c r="D892" s="13"/>
      <c r="E892" s="12"/>
      <c r="F892" s="12"/>
      <c r="G892" s="12"/>
      <c r="H892" s="12"/>
      <c r="I892" s="12"/>
      <c r="J892" s="14"/>
      <c r="K892" s="12"/>
      <c r="L892" s="12"/>
      <c r="M892" s="12"/>
      <c r="N892" s="12"/>
      <c r="O892" s="12"/>
      <c r="P892" s="15"/>
      <c r="Q892" s="7"/>
      <c r="R892" s="7"/>
      <c r="S892" s="7"/>
      <c r="T892" s="8"/>
      <c r="U892" s="8"/>
    </row>
    <row r="893" spans="1:21">
      <c r="A893" s="10"/>
      <c r="B893" s="19"/>
      <c r="C893" s="12"/>
      <c r="D893" s="13"/>
      <c r="E893" s="12"/>
      <c r="F893" s="12"/>
      <c r="G893" s="12"/>
      <c r="H893" s="12"/>
      <c r="I893" s="12"/>
      <c r="J893" s="14"/>
      <c r="K893" s="12"/>
      <c r="L893" s="12"/>
      <c r="M893" s="12"/>
      <c r="N893" s="12"/>
      <c r="O893" s="12"/>
      <c r="P893" s="15"/>
      <c r="Q893" s="7"/>
      <c r="R893" s="7"/>
      <c r="S893" s="7"/>
      <c r="T893" s="8"/>
      <c r="U893" s="8"/>
    </row>
    <row r="894" spans="1:21">
      <c r="A894" s="10"/>
      <c r="B894" s="19"/>
      <c r="C894" s="12"/>
      <c r="D894" s="13"/>
      <c r="E894" s="12"/>
      <c r="F894" s="12"/>
      <c r="G894" s="12"/>
      <c r="H894" s="12"/>
      <c r="I894" s="12"/>
      <c r="J894" s="14"/>
      <c r="K894" s="12"/>
      <c r="L894" s="12"/>
      <c r="M894" s="12"/>
      <c r="N894" s="12"/>
      <c r="O894" s="12"/>
      <c r="P894" s="15"/>
      <c r="Q894" s="7"/>
      <c r="R894" s="7"/>
      <c r="S894" s="7"/>
      <c r="T894" s="8"/>
      <c r="U894" s="8"/>
    </row>
    <row r="895" spans="1:21">
      <c r="A895" s="10"/>
      <c r="B895" s="19"/>
      <c r="C895" s="12"/>
      <c r="D895" s="13"/>
      <c r="E895" s="12"/>
      <c r="F895" s="12"/>
      <c r="G895" s="12"/>
      <c r="H895" s="12"/>
      <c r="I895" s="12"/>
      <c r="J895" s="14"/>
      <c r="K895" s="12"/>
      <c r="L895" s="12"/>
      <c r="M895" s="12"/>
      <c r="N895" s="12"/>
      <c r="O895" s="12"/>
      <c r="P895" s="15"/>
      <c r="Q895" s="7"/>
      <c r="R895" s="7"/>
      <c r="S895" s="7"/>
      <c r="T895" s="8"/>
      <c r="U895" s="8"/>
    </row>
    <row r="896" spans="1:21">
      <c r="A896" s="10"/>
      <c r="B896" s="19"/>
      <c r="C896" s="12"/>
      <c r="D896" s="13"/>
      <c r="E896" s="12"/>
      <c r="F896" s="12"/>
      <c r="G896" s="12"/>
      <c r="H896" s="12"/>
      <c r="I896" s="12"/>
      <c r="J896" s="14"/>
      <c r="K896" s="12"/>
      <c r="L896" s="12"/>
      <c r="M896" s="12"/>
      <c r="N896" s="12"/>
      <c r="O896" s="12"/>
      <c r="P896" s="15"/>
      <c r="Q896" s="7"/>
      <c r="R896" s="7"/>
      <c r="S896" s="7"/>
      <c r="T896" s="8"/>
      <c r="U896" s="8"/>
    </row>
    <row r="897" spans="1:21">
      <c r="A897" s="10"/>
      <c r="B897" s="19"/>
      <c r="C897" s="12"/>
      <c r="D897" s="13"/>
      <c r="E897" s="12"/>
      <c r="F897" s="12"/>
      <c r="G897" s="12"/>
      <c r="H897" s="12"/>
      <c r="I897" s="12"/>
      <c r="J897" s="14"/>
      <c r="K897" s="12"/>
      <c r="L897" s="12"/>
      <c r="M897" s="12"/>
      <c r="N897" s="12"/>
      <c r="O897" s="12"/>
      <c r="P897" s="15"/>
      <c r="Q897" s="7"/>
      <c r="R897" s="7"/>
      <c r="S897" s="7"/>
      <c r="T897" s="8"/>
      <c r="U897" s="8"/>
    </row>
    <row r="898" spans="1:21">
      <c r="A898" s="10"/>
      <c r="B898" s="19"/>
      <c r="C898" s="12"/>
      <c r="D898" s="13"/>
      <c r="E898" s="12"/>
      <c r="F898" s="12"/>
      <c r="G898" s="12"/>
      <c r="H898" s="12"/>
      <c r="I898" s="12"/>
      <c r="J898" s="14"/>
      <c r="K898" s="12"/>
      <c r="L898" s="12"/>
      <c r="M898" s="12"/>
      <c r="N898" s="12"/>
      <c r="O898" s="12"/>
      <c r="P898" s="15"/>
      <c r="Q898" s="7"/>
      <c r="R898" s="7"/>
      <c r="S898" s="7"/>
      <c r="T898" s="8"/>
      <c r="U898" s="8"/>
    </row>
    <row r="899" spans="1:21">
      <c r="A899" s="10"/>
      <c r="B899" s="19"/>
      <c r="C899" s="12"/>
      <c r="D899" s="13"/>
      <c r="E899" s="12"/>
      <c r="F899" s="12"/>
      <c r="G899" s="12"/>
      <c r="H899" s="12"/>
      <c r="I899" s="12"/>
      <c r="J899" s="14"/>
      <c r="K899" s="12"/>
      <c r="L899" s="12"/>
      <c r="M899" s="12"/>
      <c r="N899" s="12"/>
      <c r="O899" s="12"/>
      <c r="P899" s="15"/>
      <c r="Q899" s="7"/>
      <c r="R899" s="7"/>
      <c r="S899" s="7"/>
      <c r="T899" s="8"/>
      <c r="U899" s="8"/>
    </row>
    <row r="900" spans="1:21">
      <c r="A900" s="10"/>
      <c r="B900" s="19"/>
      <c r="C900" s="12"/>
      <c r="D900" s="13"/>
      <c r="E900" s="12"/>
      <c r="F900" s="12"/>
      <c r="G900" s="12"/>
      <c r="H900" s="12"/>
      <c r="I900" s="12"/>
      <c r="J900" s="14"/>
      <c r="K900" s="12"/>
      <c r="L900" s="12"/>
      <c r="M900" s="12"/>
      <c r="N900" s="12"/>
      <c r="O900" s="12"/>
      <c r="P900" s="15"/>
      <c r="Q900" s="7"/>
      <c r="R900" s="7"/>
      <c r="S900" s="7"/>
      <c r="T900" s="8"/>
      <c r="U900" s="8"/>
    </row>
    <row r="901" spans="1:21">
      <c r="A901" s="10"/>
      <c r="B901" s="19"/>
      <c r="C901" s="12"/>
      <c r="D901" s="13"/>
      <c r="E901" s="12"/>
      <c r="F901" s="12"/>
      <c r="G901" s="12"/>
      <c r="H901" s="12"/>
      <c r="I901" s="12"/>
      <c r="J901" s="14"/>
      <c r="K901" s="12"/>
      <c r="L901" s="12"/>
      <c r="M901" s="12"/>
      <c r="N901" s="12"/>
      <c r="O901" s="12"/>
      <c r="P901" s="15"/>
      <c r="Q901" s="7"/>
      <c r="R901" s="7"/>
      <c r="S901" s="7"/>
      <c r="T901" s="8"/>
      <c r="U901" s="8"/>
    </row>
    <row r="902" spans="1:21">
      <c r="A902" s="10"/>
      <c r="B902" s="19"/>
      <c r="C902" s="12"/>
      <c r="D902" s="13"/>
      <c r="E902" s="12"/>
      <c r="F902" s="12"/>
      <c r="G902" s="12"/>
      <c r="H902" s="12"/>
      <c r="I902" s="12"/>
      <c r="J902" s="14"/>
      <c r="K902" s="12"/>
      <c r="L902" s="12"/>
      <c r="M902" s="12"/>
      <c r="N902" s="12"/>
      <c r="O902" s="12"/>
      <c r="P902" s="15"/>
      <c r="Q902" s="7"/>
      <c r="R902" s="7"/>
      <c r="S902" s="7"/>
      <c r="T902" s="8"/>
      <c r="U902" s="8"/>
    </row>
    <row r="903" spans="1:21">
      <c r="A903" s="10"/>
      <c r="B903" s="19"/>
      <c r="C903" s="12"/>
      <c r="D903" s="13"/>
      <c r="E903" s="12"/>
      <c r="F903" s="12"/>
      <c r="G903" s="12"/>
      <c r="H903" s="12"/>
      <c r="I903" s="12"/>
      <c r="J903" s="14"/>
      <c r="K903" s="12"/>
      <c r="L903" s="12"/>
      <c r="M903" s="12"/>
      <c r="N903" s="12"/>
      <c r="O903" s="12"/>
      <c r="P903" s="15"/>
      <c r="Q903" s="7"/>
      <c r="R903" s="7"/>
      <c r="S903" s="7"/>
      <c r="T903" s="8"/>
      <c r="U903" s="8"/>
    </row>
    <row r="904" spans="1:21">
      <c r="A904" s="10"/>
      <c r="B904" s="19"/>
      <c r="C904" s="12"/>
      <c r="D904" s="13"/>
      <c r="E904" s="12"/>
      <c r="F904" s="12"/>
      <c r="G904" s="12"/>
      <c r="H904" s="12"/>
      <c r="I904" s="12"/>
      <c r="J904" s="14"/>
      <c r="K904" s="12"/>
      <c r="L904" s="12"/>
      <c r="M904" s="12"/>
      <c r="N904" s="12"/>
      <c r="O904" s="12"/>
      <c r="P904" s="15"/>
      <c r="Q904" s="7"/>
      <c r="R904" s="7"/>
      <c r="S904" s="7"/>
      <c r="T904" s="8"/>
      <c r="U904" s="8"/>
    </row>
    <row r="905" spans="1:21">
      <c r="A905" s="10"/>
      <c r="B905" s="19"/>
      <c r="C905" s="12"/>
      <c r="D905" s="13"/>
      <c r="E905" s="12"/>
      <c r="F905" s="12"/>
      <c r="G905" s="12"/>
      <c r="H905" s="12"/>
      <c r="I905" s="12"/>
      <c r="J905" s="14"/>
      <c r="K905" s="12"/>
      <c r="L905" s="12"/>
      <c r="M905" s="12"/>
      <c r="N905" s="12"/>
      <c r="O905" s="12"/>
      <c r="P905" s="15"/>
      <c r="Q905" s="7"/>
      <c r="R905" s="7"/>
      <c r="S905" s="7"/>
      <c r="T905" s="8"/>
      <c r="U905" s="8"/>
    </row>
    <row r="906" spans="1:21">
      <c r="A906" s="10"/>
      <c r="B906" s="19"/>
      <c r="C906" s="12"/>
      <c r="D906" s="13"/>
      <c r="E906" s="12"/>
      <c r="F906" s="12"/>
      <c r="G906" s="12"/>
      <c r="H906" s="12"/>
      <c r="I906" s="12"/>
      <c r="J906" s="14"/>
      <c r="K906" s="12"/>
      <c r="L906" s="12"/>
      <c r="M906" s="12"/>
      <c r="N906" s="12"/>
      <c r="O906" s="12"/>
      <c r="P906" s="15"/>
      <c r="Q906" s="7"/>
      <c r="R906" s="7"/>
      <c r="S906" s="7"/>
      <c r="T906" s="8"/>
      <c r="U906" s="8"/>
    </row>
    <row r="907" spans="1:21">
      <c r="A907" s="10"/>
      <c r="B907" s="19"/>
      <c r="C907" s="12"/>
      <c r="D907" s="13"/>
      <c r="E907" s="12"/>
      <c r="F907" s="12"/>
      <c r="G907" s="12"/>
      <c r="H907" s="12"/>
      <c r="I907" s="12"/>
      <c r="J907" s="14"/>
      <c r="K907" s="12"/>
      <c r="L907" s="12"/>
      <c r="M907" s="12"/>
      <c r="N907" s="12"/>
      <c r="O907" s="12"/>
      <c r="P907" s="15"/>
      <c r="Q907" s="7"/>
      <c r="R907" s="7"/>
      <c r="S907" s="7"/>
      <c r="T907" s="8"/>
      <c r="U907" s="8"/>
    </row>
    <row r="908" spans="1:21">
      <c r="A908" s="10"/>
      <c r="B908" s="19"/>
      <c r="C908" s="12"/>
      <c r="D908" s="13"/>
      <c r="E908" s="12"/>
      <c r="F908" s="12"/>
      <c r="G908" s="12"/>
      <c r="H908" s="12"/>
      <c r="I908" s="12"/>
      <c r="J908" s="14"/>
      <c r="K908" s="12"/>
      <c r="L908" s="12"/>
      <c r="M908" s="12"/>
      <c r="N908" s="12"/>
      <c r="O908" s="12"/>
      <c r="P908" s="15"/>
      <c r="Q908" s="7"/>
      <c r="R908" s="7"/>
      <c r="S908" s="7"/>
      <c r="T908" s="8"/>
      <c r="U908" s="8"/>
    </row>
    <row r="909" spans="1:21">
      <c r="A909" s="10"/>
      <c r="B909" s="19"/>
      <c r="C909" s="12"/>
      <c r="D909" s="13"/>
      <c r="E909" s="12"/>
      <c r="F909" s="12"/>
      <c r="G909" s="12"/>
      <c r="H909" s="12"/>
      <c r="I909" s="12"/>
      <c r="J909" s="14"/>
      <c r="K909" s="12"/>
      <c r="L909" s="12"/>
      <c r="M909" s="12"/>
      <c r="N909" s="12"/>
      <c r="O909" s="12"/>
      <c r="P909" s="15"/>
      <c r="Q909" s="7"/>
      <c r="R909" s="7"/>
      <c r="S909" s="7"/>
      <c r="T909" s="8"/>
      <c r="U909" s="8"/>
    </row>
    <row r="910" spans="1:21">
      <c r="A910" s="10"/>
      <c r="B910" s="19"/>
      <c r="C910" s="12"/>
      <c r="D910" s="13"/>
      <c r="E910" s="12"/>
      <c r="F910" s="12"/>
      <c r="G910" s="12"/>
      <c r="H910" s="12"/>
      <c r="I910" s="12"/>
      <c r="J910" s="14"/>
      <c r="K910" s="12"/>
      <c r="L910" s="12"/>
      <c r="M910" s="12"/>
      <c r="N910" s="12"/>
      <c r="O910" s="12"/>
      <c r="P910" s="15"/>
      <c r="Q910" s="7"/>
      <c r="R910" s="7"/>
      <c r="S910" s="7"/>
      <c r="T910" s="8"/>
      <c r="U910" s="8"/>
    </row>
    <row r="911" spans="1:21">
      <c r="A911" s="10"/>
      <c r="B911" s="19"/>
      <c r="C911" s="12"/>
      <c r="D911" s="13"/>
      <c r="E911" s="12"/>
      <c r="F911" s="12"/>
      <c r="G911" s="12"/>
      <c r="H911" s="12"/>
      <c r="I911" s="12"/>
      <c r="J911" s="14"/>
      <c r="K911" s="12"/>
      <c r="L911" s="12"/>
      <c r="M911" s="12"/>
      <c r="N911" s="12"/>
      <c r="O911" s="12"/>
      <c r="P911" s="15"/>
      <c r="Q911" s="7"/>
      <c r="R911" s="7"/>
      <c r="S911" s="7"/>
      <c r="T911" s="8"/>
      <c r="U911" s="8"/>
    </row>
    <row r="912" spans="1:21">
      <c r="A912" s="10"/>
      <c r="B912" s="19"/>
      <c r="C912" s="12"/>
      <c r="D912" s="13"/>
      <c r="E912" s="12"/>
      <c r="F912" s="12"/>
      <c r="G912" s="12"/>
      <c r="H912" s="12"/>
      <c r="I912" s="12"/>
      <c r="J912" s="14"/>
      <c r="K912" s="12"/>
      <c r="L912" s="12"/>
      <c r="M912" s="12"/>
      <c r="N912" s="12"/>
      <c r="O912" s="12"/>
      <c r="P912" s="15"/>
      <c r="Q912" s="7"/>
      <c r="R912" s="7"/>
      <c r="S912" s="7"/>
      <c r="T912" s="8"/>
      <c r="U912" s="8"/>
    </row>
    <row r="913" spans="1:21">
      <c r="A913" s="10"/>
      <c r="B913" s="19"/>
      <c r="C913" s="12"/>
      <c r="D913" s="13"/>
      <c r="E913" s="12"/>
      <c r="F913" s="12"/>
      <c r="G913" s="12"/>
      <c r="H913" s="12"/>
      <c r="I913" s="12"/>
      <c r="J913" s="14"/>
      <c r="K913" s="12"/>
      <c r="L913" s="12"/>
      <c r="M913" s="12"/>
      <c r="N913" s="12"/>
      <c r="O913" s="12"/>
      <c r="P913" s="15"/>
      <c r="Q913" s="7"/>
      <c r="R913" s="7"/>
      <c r="S913" s="7"/>
      <c r="T913" s="8"/>
      <c r="U913" s="8"/>
    </row>
    <row r="914" spans="1:21">
      <c r="A914" s="10"/>
      <c r="B914" s="19"/>
      <c r="C914" s="12"/>
      <c r="D914" s="13"/>
      <c r="E914" s="12"/>
      <c r="F914" s="12"/>
      <c r="G914" s="12"/>
      <c r="H914" s="12"/>
      <c r="I914" s="12"/>
      <c r="J914" s="14"/>
      <c r="K914" s="12"/>
      <c r="L914" s="12"/>
      <c r="M914" s="12"/>
      <c r="N914" s="12"/>
      <c r="O914" s="12"/>
      <c r="P914" s="15"/>
      <c r="Q914" s="8"/>
      <c r="R914" s="8"/>
      <c r="S914" s="8"/>
      <c r="T914" s="8"/>
      <c r="U914" s="8"/>
    </row>
    <row r="915" spans="1:21">
      <c r="A915" s="10"/>
      <c r="B915" s="19"/>
      <c r="C915" s="12"/>
      <c r="D915" s="13"/>
      <c r="E915" s="12"/>
      <c r="F915" s="12"/>
      <c r="G915" s="12"/>
      <c r="H915" s="12"/>
      <c r="I915" s="12"/>
      <c r="J915" s="14"/>
      <c r="K915" s="12"/>
      <c r="L915" s="12"/>
      <c r="M915" s="12"/>
      <c r="N915" s="12"/>
      <c r="O915" s="12"/>
      <c r="P915" s="15"/>
      <c r="Q915" s="8"/>
      <c r="R915" s="8"/>
      <c r="S915" s="8"/>
      <c r="T915" s="8"/>
      <c r="U915" s="8"/>
    </row>
    <row r="916" spans="1:21">
      <c r="A916" s="10"/>
      <c r="B916" s="19"/>
      <c r="C916" s="12"/>
      <c r="D916" s="13"/>
      <c r="E916" s="12"/>
      <c r="F916" s="12"/>
      <c r="G916" s="12"/>
      <c r="H916" s="12"/>
      <c r="I916" s="12"/>
      <c r="J916" s="14"/>
      <c r="K916" s="12"/>
      <c r="L916" s="12"/>
      <c r="M916" s="12"/>
      <c r="N916" s="12"/>
      <c r="O916" s="12"/>
      <c r="P916" s="15"/>
      <c r="Q916" s="8"/>
      <c r="R916" s="8"/>
      <c r="S916" s="8"/>
      <c r="T916" s="8"/>
      <c r="U916" s="8"/>
    </row>
    <row r="917" spans="1:21">
      <c r="A917" s="10"/>
      <c r="B917" s="19"/>
      <c r="C917" s="12"/>
      <c r="D917" s="13"/>
      <c r="E917" s="12"/>
      <c r="F917" s="12"/>
      <c r="G917" s="12"/>
      <c r="H917" s="12"/>
      <c r="I917" s="12"/>
      <c r="J917" s="14"/>
      <c r="K917" s="12"/>
      <c r="L917" s="12"/>
      <c r="M917" s="12"/>
      <c r="N917" s="12"/>
      <c r="O917" s="12"/>
      <c r="P917" s="15"/>
      <c r="Q917" s="8"/>
      <c r="R917" s="8"/>
      <c r="S917" s="8"/>
      <c r="T917" s="8"/>
      <c r="U917" s="8"/>
    </row>
    <row r="918" spans="1:21">
      <c r="A918" s="10"/>
      <c r="B918" s="19"/>
      <c r="C918" s="12"/>
      <c r="D918" s="13"/>
      <c r="E918" s="12"/>
      <c r="F918" s="12"/>
      <c r="G918" s="12"/>
      <c r="H918" s="12"/>
      <c r="I918" s="12"/>
      <c r="J918" s="14"/>
      <c r="K918" s="12"/>
      <c r="L918" s="12"/>
      <c r="M918" s="12"/>
      <c r="N918" s="12"/>
      <c r="O918" s="12"/>
      <c r="P918" s="15"/>
      <c r="Q918" s="8"/>
      <c r="R918" s="8"/>
      <c r="S918" s="8"/>
      <c r="T918" s="8"/>
      <c r="U918" s="8"/>
    </row>
    <row r="919" spans="1:21">
      <c r="A919" s="10"/>
      <c r="B919" s="19"/>
      <c r="C919" s="12"/>
      <c r="D919" s="13"/>
      <c r="E919" s="12"/>
      <c r="F919" s="12"/>
      <c r="G919" s="12"/>
      <c r="H919" s="12"/>
      <c r="I919" s="12"/>
      <c r="J919" s="14"/>
      <c r="K919" s="12"/>
      <c r="L919" s="12"/>
      <c r="M919" s="12"/>
      <c r="N919" s="12"/>
      <c r="O919" s="12"/>
      <c r="P919" s="15"/>
      <c r="Q919" s="8"/>
      <c r="R919" s="8"/>
      <c r="S919" s="8"/>
      <c r="T919" s="8"/>
      <c r="U919" s="8"/>
    </row>
    <row r="920" spans="1:21">
      <c r="A920" s="10"/>
      <c r="B920" s="19"/>
      <c r="C920" s="12"/>
      <c r="D920" s="13"/>
      <c r="E920" s="12"/>
      <c r="F920" s="12"/>
      <c r="G920" s="12"/>
      <c r="H920" s="12"/>
      <c r="I920" s="12"/>
      <c r="J920" s="14"/>
      <c r="K920" s="12"/>
      <c r="L920" s="12"/>
      <c r="M920" s="12"/>
      <c r="N920" s="12"/>
      <c r="O920" s="12"/>
      <c r="P920" s="15"/>
      <c r="Q920" s="8"/>
      <c r="R920" s="8"/>
      <c r="S920" s="8"/>
      <c r="T920" s="8"/>
      <c r="U920" s="8"/>
    </row>
    <row r="921" spans="1:21">
      <c r="A921" s="10"/>
      <c r="B921" s="19"/>
      <c r="C921" s="12"/>
      <c r="D921" s="13"/>
      <c r="E921" s="12"/>
      <c r="F921" s="12"/>
      <c r="G921" s="12"/>
      <c r="H921" s="12"/>
      <c r="I921" s="12"/>
      <c r="J921" s="14"/>
      <c r="K921" s="12"/>
      <c r="L921" s="12"/>
      <c r="M921" s="12"/>
      <c r="N921" s="12"/>
      <c r="O921" s="12"/>
      <c r="P921" s="15"/>
      <c r="Q921" s="8"/>
      <c r="R921" s="8"/>
      <c r="S921" s="8"/>
      <c r="T921" s="8"/>
      <c r="U921" s="8"/>
    </row>
    <row r="922" spans="1:21">
      <c r="A922" s="10"/>
      <c r="B922" s="19"/>
      <c r="C922" s="12"/>
      <c r="D922" s="13"/>
      <c r="E922" s="12"/>
      <c r="F922" s="12"/>
      <c r="G922" s="12"/>
      <c r="H922" s="12"/>
      <c r="I922" s="12"/>
      <c r="J922" s="14"/>
      <c r="K922" s="12"/>
      <c r="L922" s="12"/>
      <c r="M922" s="12"/>
      <c r="N922" s="12"/>
      <c r="O922" s="12"/>
      <c r="P922" s="15"/>
      <c r="Q922" s="8"/>
      <c r="R922" s="8"/>
      <c r="S922" s="8"/>
      <c r="T922" s="8"/>
      <c r="U922" s="8"/>
    </row>
    <row r="923" spans="1:21">
      <c r="A923" s="10"/>
      <c r="B923" s="19"/>
      <c r="C923" s="12"/>
      <c r="D923" s="13"/>
      <c r="E923" s="12"/>
      <c r="F923" s="12"/>
      <c r="G923" s="12"/>
      <c r="H923" s="12"/>
      <c r="I923" s="12"/>
      <c r="J923" s="14"/>
      <c r="K923" s="12"/>
      <c r="L923" s="12"/>
      <c r="M923" s="12"/>
      <c r="N923" s="12"/>
      <c r="O923" s="12"/>
      <c r="P923" s="15"/>
      <c r="Q923" s="8"/>
      <c r="R923" s="8"/>
      <c r="S923" s="8"/>
      <c r="T923" s="8"/>
      <c r="U923" s="8"/>
    </row>
    <row r="924" spans="1:21">
      <c r="A924" s="10"/>
      <c r="B924" s="19"/>
      <c r="C924" s="12"/>
      <c r="D924" s="13"/>
      <c r="E924" s="12"/>
      <c r="F924" s="12"/>
      <c r="G924" s="12"/>
      <c r="H924" s="12"/>
      <c r="I924" s="12"/>
      <c r="J924" s="14"/>
      <c r="K924" s="12"/>
      <c r="L924" s="12"/>
      <c r="M924" s="12"/>
      <c r="N924" s="12"/>
      <c r="O924" s="12"/>
      <c r="P924" s="15"/>
      <c r="Q924" s="8"/>
      <c r="R924" s="8"/>
      <c r="S924" s="8"/>
      <c r="T924" s="8"/>
      <c r="U924" s="8"/>
    </row>
    <row r="925" spans="1:21">
      <c r="A925" s="10"/>
      <c r="B925" s="19"/>
      <c r="C925" s="12"/>
      <c r="D925" s="13"/>
      <c r="E925" s="12"/>
      <c r="F925" s="12"/>
      <c r="G925" s="12"/>
      <c r="H925" s="12"/>
      <c r="I925" s="12"/>
      <c r="J925" s="14"/>
      <c r="K925" s="12"/>
      <c r="L925" s="12"/>
      <c r="M925" s="12"/>
      <c r="N925" s="12"/>
      <c r="O925" s="12"/>
      <c r="P925" s="15"/>
      <c r="Q925" s="8"/>
      <c r="R925" s="8"/>
      <c r="S925" s="8"/>
      <c r="T925" s="8"/>
      <c r="U925" s="8"/>
    </row>
    <row r="926" spans="1:21">
      <c r="A926" s="10"/>
      <c r="B926" s="19"/>
      <c r="C926" s="12"/>
      <c r="D926" s="13"/>
      <c r="E926" s="12"/>
      <c r="F926" s="12"/>
      <c r="G926" s="12"/>
      <c r="H926" s="12"/>
      <c r="I926" s="12"/>
      <c r="J926" s="14"/>
      <c r="K926" s="12"/>
      <c r="L926" s="12"/>
      <c r="M926" s="12"/>
      <c r="N926" s="12"/>
      <c r="O926" s="12"/>
      <c r="P926" s="15"/>
      <c r="Q926" s="8"/>
      <c r="R926" s="8"/>
      <c r="S926" s="8"/>
      <c r="T926" s="8"/>
      <c r="U926" s="8"/>
    </row>
    <row r="927" spans="1:21">
      <c r="A927" s="10"/>
      <c r="B927" s="19"/>
      <c r="C927" s="12"/>
      <c r="D927" s="13"/>
      <c r="E927" s="12"/>
      <c r="F927" s="12"/>
      <c r="G927" s="12"/>
      <c r="H927" s="12"/>
      <c r="I927" s="12"/>
      <c r="J927" s="14"/>
      <c r="K927" s="12"/>
      <c r="L927" s="12"/>
      <c r="M927" s="12"/>
      <c r="N927" s="12"/>
      <c r="O927" s="12"/>
      <c r="P927" s="15"/>
      <c r="Q927" s="8"/>
      <c r="R927" s="8"/>
      <c r="S927" s="8"/>
      <c r="T927" s="8"/>
      <c r="U927" s="8"/>
    </row>
    <row r="928" spans="1:21">
      <c r="A928" s="20"/>
      <c r="C928" s="20"/>
      <c r="D928" s="21"/>
      <c r="E928" s="20"/>
      <c r="F928" s="20"/>
      <c r="G928" s="20"/>
      <c r="H928" s="20"/>
      <c r="I928" s="20"/>
      <c r="J928" s="22"/>
      <c r="K928" s="20"/>
      <c r="L928" s="20"/>
      <c r="M928" s="20"/>
      <c r="N928" s="20"/>
      <c r="O928" s="20"/>
      <c r="P928" s="23"/>
    </row>
    <row r="929" spans="1:16">
      <c r="A929" s="20"/>
      <c r="C929" s="20"/>
      <c r="D929" s="21"/>
      <c r="E929" s="20"/>
      <c r="F929" s="20"/>
      <c r="G929" s="20"/>
      <c r="H929" s="20"/>
      <c r="I929" s="20"/>
      <c r="J929" s="22"/>
      <c r="K929" s="20"/>
      <c r="L929" s="20"/>
      <c r="M929" s="20"/>
      <c r="N929" s="20"/>
      <c r="O929" s="20"/>
      <c r="P929" s="23"/>
    </row>
    <row r="930" spans="1:16">
      <c r="A930" s="20"/>
      <c r="C930" s="20"/>
      <c r="D930" s="21"/>
      <c r="E930" s="20"/>
      <c r="F930" s="20"/>
      <c r="G930" s="20"/>
      <c r="H930" s="20"/>
      <c r="I930" s="20"/>
      <c r="J930" s="22"/>
      <c r="K930" s="20"/>
      <c r="L930" s="20"/>
      <c r="M930" s="20"/>
      <c r="N930" s="20"/>
      <c r="O930" s="20"/>
      <c r="P930" s="23"/>
    </row>
    <row r="931" spans="1:16">
      <c r="A931" s="20"/>
      <c r="C931" s="20"/>
      <c r="D931" s="21"/>
      <c r="E931" s="20"/>
      <c r="F931" s="20"/>
      <c r="G931" s="20"/>
      <c r="H931" s="20"/>
      <c r="I931" s="20"/>
      <c r="J931" s="22"/>
      <c r="K931" s="20"/>
      <c r="L931" s="20"/>
      <c r="M931" s="20"/>
      <c r="N931" s="20"/>
      <c r="O931" s="20"/>
      <c r="P931" s="23"/>
    </row>
    <row r="932" spans="1:16">
      <c r="A932" s="20"/>
      <c r="C932" s="20"/>
      <c r="D932" s="21"/>
      <c r="E932" s="20"/>
      <c r="F932" s="20"/>
      <c r="G932" s="20"/>
      <c r="H932" s="20"/>
      <c r="I932" s="20"/>
      <c r="J932" s="22"/>
      <c r="K932" s="20"/>
      <c r="L932" s="20"/>
      <c r="M932" s="20"/>
      <c r="N932" s="20"/>
      <c r="O932" s="20"/>
      <c r="P932" s="23"/>
    </row>
    <row r="933" spans="1:16">
      <c r="A933" s="20"/>
      <c r="C933" s="20"/>
      <c r="D933" s="21"/>
      <c r="E933" s="20"/>
      <c r="F933" s="20"/>
      <c r="G933" s="20"/>
      <c r="H933" s="20"/>
      <c r="I933" s="20"/>
      <c r="J933" s="22"/>
      <c r="K933" s="20"/>
      <c r="L933" s="20"/>
      <c r="M933" s="20"/>
      <c r="N933" s="20"/>
      <c r="O933" s="20"/>
      <c r="P933" s="23"/>
    </row>
    <row r="934" spans="1:16">
      <c r="A934" s="20"/>
      <c r="C934" s="20"/>
      <c r="D934" s="21"/>
      <c r="E934" s="20"/>
      <c r="F934" s="20"/>
      <c r="G934" s="20"/>
      <c r="H934" s="20"/>
      <c r="I934" s="20"/>
      <c r="J934" s="22"/>
      <c r="K934" s="20"/>
      <c r="L934" s="20"/>
      <c r="M934" s="20"/>
      <c r="N934" s="20"/>
      <c r="O934" s="20"/>
      <c r="P934" s="23"/>
    </row>
    <row r="935" spans="1:16">
      <c r="A935" s="20"/>
      <c r="C935" s="20"/>
      <c r="D935" s="21"/>
      <c r="E935" s="20"/>
      <c r="F935" s="20"/>
      <c r="G935" s="20"/>
      <c r="H935" s="20"/>
      <c r="I935" s="20"/>
      <c r="J935" s="22"/>
      <c r="K935" s="20"/>
      <c r="L935" s="20"/>
      <c r="M935" s="20"/>
      <c r="N935" s="20"/>
      <c r="O935" s="20"/>
      <c r="P935" s="23"/>
    </row>
    <row r="936" spans="1:16">
      <c r="A936" s="20"/>
      <c r="C936" s="20"/>
      <c r="D936" s="21"/>
      <c r="E936" s="20"/>
      <c r="F936" s="20"/>
      <c r="G936" s="20"/>
      <c r="H936" s="20"/>
      <c r="I936" s="20"/>
      <c r="J936" s="22"/>
      <c r="K936" s="20"/>
      <c r="L936" s="20"/>
      <c r="M936" s="20"/>
      <c r="N936" s="20"/>
      <c r="O936" s="20"/>
      <c r="P936" s="23"/>
    </row>
    <row r="937" spans="1:16">
      <c r="A937" s="20"/>
      <c r="C937" s="20"/>
      <c r="D937" s="21"/>
      <c r="E937" s="20"/>
      <c r="F937" s="20"/>
      <c r="G937" s="20"/>
      <c r="H937" s="20"/>
      <c r="I937" s="20"/>
      <c r="J937" s="22"/>
      <c r="K937" s="20"/>
      <c r="L937" s="20"/>
      <c r="M937" s="20"/>
      <c r="N937" s="20"/>
      <c r="O937" s="20"/>
      <c r="P937" s="23"/>
    </row>
    <row r="938" spans="1:16">
      <c r="A938" s="20"/>
      <c r="C938" s="20"/>
      <c r="D938" s="21"/>
      <c r="E938" s="20"/>
      <c r="F938" s="20"/>
      <c r="G938" s="20"/>
      <c r="H938" s="20"/>
      <c r="I938" s="20"/>
      <c r="J938" s="22"/>
      <c r="K938" s="20"/>
      <c r="L938" s="20"/>
      <c r="M938" s="20"/>
      <c r="N938" s="20"/>
      <c r="O938" s="20"/>
      <c r="P938" s="23"/>
    </row>
    <row r="939" spans="1:16">
      <c r="A939" s="20"/>
      <c r="C939" s="20"/>
      <c r="D939" s="21"/>
      <c r="E939" s="20"/>
      <c r="F939" s="20"/>
      <c r="G939" s="20"/>
      <c r="H939" s="20"/>
      <c r="I939" s="20"/>
      <c r="J939" s="22"/>
      <c r="K939" s="20"/>
      <c r="L939" s="20"/>
      <c r="M939" s="20"/>
      <c r="N939" s="20"/>
      <c r="O939" s="20"/>
      <c r="P939" s="23"/>
    </row>
    <row r="940" spans="1:16">
      <c r="A940" s="20"/>
      <c r="C940" s="20"/>
      <c r="D940" s="21"/>
      <c r="E940" s="20"/>
      <c r="F940" s="20"/>
      <c r="G940" s="20"/>
      <c r="H940" s="20"/>
      <c r="I940" s="20"/>
      <c r="J940" s="22"/>
      <c r="K940" s="20"/>
      <c r="L940" s="20"/>
      <c r="M940" s="20"/>
      <c r="N940" s="20"/>
      <c r="O940" s="20"/>
      <c r="P940" s="23"/>
    </row>
    <row r="941" spans="1:16">
      <c r="A941" s="20"/>
      <c r="C941" s="20"/>
      <c r="D941" s="21"/>
      <c r="E941" s="20"/>
      <c r="F941" s="20"/>
      <c r="G941" s="20"/>
      <c r="H941" s="20"/>
      <c r="I941" s="20"/>
      <c r="J941" s="22"/>
      <c r="K941" s="20"/>
      <c r="L941" s="20"/>
      <c r="M941" s="20"/>
      <c r="N941" s="20"/>
      <c r="O941" s="20"/>
      <c r="P941" s="23"/>
    </row>
    <row r="942" spans="1:16">
      <c r="A942" s="20"/>
      <c r="C942" s="20"/>
      <c r="D942" s="21"/>
      <c r="E942" s="20"/>
      <c r="F942" s="20"/>
      <c r="G942" s="20"/>
      <c r="H942" s="20"/>
      <c r="I942" s="20"/>
      <c r="J942" s="22"/>
      <c r="K942" s="20"/>
      <c r="L942" s="20"/>
      <c r="M942" s="20"/>
      <c r="N942" s="20"/>
      <c r="O942" s="20"/>
      <c r="P942" s="23"/>
    </row>
    <row r="943" spans="1:16">
      <c r="A943" s="20"/>
      <c r="C943" s="20"/>
      <c r="D943" s="21"/>
      <c r="E943" s="20"/>
      <c r="F943" s="20"/>
      <c r="G943" s="20"/>
      <c r="H943" s="20"/>
      <c r="I943" s="20"/>
      <c r="J943" s="22"/>
      <c r="K943" s="20"/>
      <c r="L943" s="20"/>
      <c r="M943" s="20"/>
      <c r="N943" s="20"/>
      <c r="O943" s="20"/>
      <c r="P943" s="23"/>
    </row>
    <row r="944" spans="1:16">
      <c r="A944" s="20"/>
      <c r="C944" s="20"/>
      <c r="D944" s="21"/>
      <c r="E944" s="20"/>
      <c r="F944" s="20"/>
      <c r="G944" s="20"/>
      <c r="H944" s="20"/>
      <c r="I944" s="20"/>
      <c r="J944" s="22"/>
      <c r="K944" s="20"/>
      <c r="L944" s="20"/>
      <c r="M944" s="20"/>
      <c r="N944" s="20"/>
      <c r="O944" s="20"/>
      <c r="P944" s="23"/>
    </row>
    <row r="945" spans="1:16">
      <c r="A945" s="20"/>
      <c r="C945" s="20"/>
      <c r="D945" s="21"/>
      <c r="E945" s="20"/>
      <c r="F945" s="20"/>
      <c r="G945" s="20"/>
      <c r="H945" s="20"/>
      <c r="I945" s="20"/>
      <c r="J945" s="22"/>
      <c r="K945" s="20"/>
      <c r="L945" s="20"/>
      <c r="M945" s="20"/>
      <c r="N945" s="20"/>
      <c r="O945" s="20"/>
      <c r="P945" s="23"/>
    </row>
    <row r="946" spans="1:16">
      <c r="A946" s="20"/>
      <c r="C946" s="20"/>
      <c r="D946" s="21"/>
      <c r="E946" s="20"/>
      <c r="F946" s="20"/>
      <c r="G946" s="20"/>
      <c r="H946" s="20"/>
      <c r="I946" s="20"/>
      <c r="J946" s="22"/>
      <c r="K946" s="20"/>
      <c r="L946" s="20"/>
      <c r="M946" s="20"/>
      <c r="N946" s="20"/>
      <c r="O946" s="20"/>
      <c r="P946" s="23"/>
    </row>
    <row r="947" spans="1:16">
      <c r="A947" s="20"/>
      <c r="C947" s="20"/>
      <c r="D947" s="21"/>
      <c r="E947" s="20"/>
      <c r="F947" s="20"/>
      <c r="G947" s="20"/>
      <c r="H947" s="20"/>
      <c r="I947" s="20"/>
      <c r="J947" s="22"/>
      <c r="K947" s="20"/>
      <c r="L947" s="20"/>
      <c r="M947" s="20"/>
      <c r="N947" s="20"/>
      <c r="O947" s="20"/>
      <c r="P947" s="23"/>
    </row>
    <row r="948" spans="1:16">
      <c r="A948" s="20"/>
      <c r="C948" s="20"/>
      <c r="D948" s="21"/>
      <c r="E948" s="20"/>
      <c r="F948" s="20"/>
      <c r="G948" s="20"/>
      <c r="H948" s="20"/>
      <c r="I948" s="20"/>
      <c r="J948" s="22"/>
      <c r="K948" s="20"/>
      <c r="L948" s="20"/>
      <c r="M948" s="20"/>
      <c r="N948" s="20"/>
      <c r="O948" s="20"/>
      <c r="P948" s="23"/>
    </row>
    <row r="949" spans="1:16">
      <c r="A949" s="20"/>
      <c r="C949" s="20"/>
      <c r="D949" s="21"/>
      <c r="E949" s="20"/>
      <c r="F949" s="20"/>
      <c r="G949" s="20"/>
      <c r="H949" s="20"/>
      <c r="I949" s="20"/>
      <c r="J949" s="22"/>
      <c r="K949" s="20"/>
      <c r="L949" s="20"/>
      <c r="M949" s="20"/>
      <c r="N949" s="20"/>
      <c r="O949" s="20"/>
      <c r="P949" s="23"/>
    </row>
    <row r="950" spans="1:16">
      <c r="A950" s="20"/>
      <c r="C950" s="20"/>
      <c r="D950" s="21"/>
      <c r="E950" s="20"/>
      <c r="F950" s="20"/>
      <c r="G950" s="20"/>
      <c r="H950" s="20"/>
      <c r="I950" s="20"/>
      <c r="J950" s="22"/>
      <c r="K950" s="20"/>
      <c r="L950" s="20"/>
      <c r="M950" s="20"/>
      <c r="N950" s="20"/>
      <c r="O950" s="20"/>
      <c r="P950" s="23"/>
    </row>
    <row r="951" spans="1:16">
      <c r="A951" s="20"/>
      <c r="C951" s="20"/>
      <c r="D951" s="21"/>
      <c r="E951" s="20"/>
      <c r="F951" s="20"/>
      <c r="G951" s="20"/>
      <c r="H951" s="20"/>
      <c r="I951" s="20"/>
      <c r="J951" s="22"/>
      <c r="K951" s="20"/>
      <c r="L951" s="20"/>
      <c r="M951" s="20"/>
      <c r="N951" s="20"/>
      <c r="O951" s="20"/>
      <c r="P951" s="23"/>
    </row>
    <row r="952" spans="1:16">
      <c r="A952" s="20"/>
      <c r="C952" s="20"/>
      <c r="D952" s="21"/>
      <c r="E952" s="20"/>
      <c r="F952" s="20"/>
      <c r="G952" s="20"/>
      <c r="H952" s="20"/>
      <c r="I952" s="20"/>
      <c r="J952" s="22"/>
      <c r="K952" s="20"/>
      <c r="L952" s="20"/>
      <c r="M952" s="20"/>
      <c r="N952" s="20"/>
      <c r="O952" s="20"/>
      <c r="P952" s="23"/>
    </row>
    <row r="953" spans="1:16">
      <c r="A953" s="20"/>
      <c r="C953" s="20"/>
      <c r="D953" s="21"/>
      <c r="E953" s="20"/>
      <c r="F953" s="20"/>
      <c r="G953" s="20"/>
      <c r="H953" s="20"/>
      <c r="I953" s="20"/>
      <c r="J953" s="22"/>
      <c r="K953" s="20"/>
      <c r="L953" s="20"/>
      <c r="M953" s="20"/>
      <c r="N953" s="20"/>
      <c r="O953" s="20"/>
      <c r="P953" s="23"/>
    </row>
    <row r="954" spans="1:16">
      <c r="A954" s="20"/>
      <c r="C954" s="20"/>
      <c r="D954" s="21"/>
      <c r="E954" s="20"/>
      <c r="F954" s="20"/>
      <c r="G954" s="20"/>
      <c r="H954" s="20"/>
      <c r="I954" s="20"/>
      <c r="J954" s="22"/>
      <c r="K954" s="20"/>
      <c r="L954" s="20"/>
      <c r="M954" s="20"/>
      <c r="N954" s="20"/>
      <c r="O954" s="20"/>
      <c r="P954" s="23"/>
    </row>
    <row r="955" spans="1:16">
      <c r="A955" s="20"/>
      <c r="C955" s="20"/>
      <c r="D955" s="21"/>
      <c r="E955" s="20"/>
      <c r="F955" s="20"/>
      <c r="G955" s="20"/>
      <c r="H955" s="20"/>
      <c r="I955" s="20"/>
      <c r="J955" s="22"/>
      <c r="K955" s="20"/>
      <c r="L955" s="20"/>
      <c r="M955" s="20"/>
      <c r="N955" s="20"/>
      <c r="O955" s="20"/>
      <c r="P955" s="23"/>
    </row>
    <row r="956" spans="1:16">
      <c r="A956" s="20"/>
      <c r="C956" s="20"/>
      <c r="D956" s="21"/>
      <c r="E956" s="20"/>
      <c r="F956" s="20"/>
      <c r="G956" s="20"/>
      <c r="H956" s="20"/>
      <c r="I956" s="20"/>
      <c r="J956" s="22"/>
      <c r="K956" s="20"/>
      <c r="L956" s="20"/>
      <c r="M956" s="20"/>
      <c r="N956" s="20"/>
      <c r="O956" s="20"/>
      <c r="P956" s="23"/>
    </row>
    <row r="957" spans="1:16">
      <c r="A957" s="20"/>
      <c r="C957" s="20"/>
      <c r="D957" s="21"/>
      <c r="E957" s="20"/>
      <c r="F957" s="20"/>
      <c r="G957" s="20"/>
      <c r="H957" s="20"/>
      <c r="I957" s="20"/>
      <c r="J957" s="22"/>
      <c r="K957" s="20"/>
      <c r="L957" s="20"/>
      <c r="M957" s="20"/>
      <c r="N957" s="20"/>
      <c r="O957" s="20"/>
      <c r="P957" s="23"/>
    </row>
    <row r="958" spans="1:16">
      <c r="A958" s="20"/>
      <c r="C958" s="20"/>
      <c r="D958" s="21"/>
      <c r="E958" s="20"/>
      <c r="F958" s="20"/>
      <c r="G958" s="20"/>
      <c r="H958" s="20"/>
      <c r="I958" s="20"/>
      <c r="J958" s="22"/>
      <c r="K958" s="20"/>
      <c r="L958" s="20"/>
      <c r="M958" s="20"/>
      <c r="N958" s="20"/>
      <c r="O958" s="20"/>
      <c r="P958" s="23"/>
    </row>
    <row r="959" spans="1:16">
      <c r="A959" s="20"/>
      <c r="C959" s="20"/>
      <c r="D959" s="21"/>
      <c r="E959" s="20"/>
      <c r="F959" s="20"/>
      <c r="G959" s="20"/>
      <c r="H959" s="20"/>
      <c r="I959" s="20"/>
      <c r="J959" s="22"/>
      <c r="K959" s="20"/>
      <c r="L959" s="20"/>
      <c r="M959" s="20"/>
      <c r="N959" s="20"/>
      <c r="O959" s="20"/>
      <c r="P959" s="23"/>
    </row>
    <row r="960" spans="1:16">
      <c r="A960" s="20"/>
      <c r="C960" s="20"/>
      <c r="D960" s="21"/>
      <c r="E960" s="20"/>
      <c r="F960" s="20"/>
      <c r="G960" s="20"/>
      <c r="H960" s="20"/>
      <c r="I960" s="20"/>
      <c r="J960" s="22"/>
      <c r="K960" s="20"/>
      <c r="L960" s="20"/>
      <c r="M960" s="20"/>
      <c r="N960" s="20"/>
      <c r="O960" s="20"/>
      <c r="P960" s="23"/>
    </row>
    <row r="961" spans="1:16">
      <c r="A961" s="20"/>
      <c r="C961" s="20"/>
      <c r="D961" s="21"/>
      <c r="E961" s="20"/>
      <c r="F961" s="20"/>
      <c r="G961" s="20"/>
      <c r="H961" s="20"/>
      <c r="I961" s="20"/>
      <c r="J961" s="22"/>
      <c r="K961" s="20"/>
      <c r="L961" s="20"/>
      <c r="M961" s="20"/>
      <c r="N961" s="20"/>
      <c r="O961" s="20"/>
      <c r="P961" s="23"/>
    </row>
    <row r="962" spans="1:16">
      <c r="A962" s="20"/>
      <c r="C962" s="20"/>
      <c r="D962" s="21"/>
      <c r="E962" s="20"/>
      <c r="F962" s="20"/>
      <c r="G962" s="20"/>
      <c r="H962" s="20"/>
      <c r="I962" s="20"/>
      <c r="J962" s="22"/>
      <c r="K962" s="20"/>
      <c r="L962" s="20"/>
      <c r="M962" s="20"/>
      <c r="N962" s="20"/>
      <c r="O962" s="20"/>
      <c r="P962" s="23"/>
    </row>
    <row r="963" spans="1:16">
      <c r="A963" s="20"/>
      <c r="C963" s="20"/>
      <c r="D963" s="21"/>
      <c r="E963" s="20"/>
      <c r="F963" s="20"/>
      <c r="G963" s="20"/>
      <c r="H963" s="20"/>
      <c r="I963" s="20"/>
      <c r="J963" s="22"/>
      <c r="K963" s="20"/>
      <c r="L963" s="20"/>
      <c r="M963" s="20"/>
      <c r="N963" s="20"/>
      <c r="O963" s="20"/>
      <c r="P963" s="23"/>
    </row>
    <row r="964" spans="1:16">
      <c r="A964" s="20"/>
      <c r="C964" s="20"/>
      <c r="D964" s="21"/>
      <c r="E964" s="20"/>
      <c r="F964" s="20"/>
      <c r="G964" s="20"/>
      <c r="H964" s="20"/>
      <c r="I964" s="20"/>
      <c r="J964" s="22"/>
      <c r="K964" s="20"/>
      <c r="L964" s="20"/>
      <c r="M964" s="20"/>
      <c r="N964" s="20"/>
      <c r="O964" s="20"/>
      <c r="P964" s="23"/>
    </row>
    <row r="965" spans="1:16">
      <c r="A965" s="20"/>
      <c r="C965" s="20"/>
      <c r="D965" s="21"/>
      <c r="E965" s="20"/>
      <c r="F965" s="20"/>
      <c r="G965" s="20"/>
      <c r="H965" s="20"/>
      <c r="I965" s="20"/>
      <c r="J965" s="22"/>
      <c r="K965" s="20"/>
      <c r="L965" s="20"/>
      <c r="M965" s="20"/>
      <c r="N965" s="20"/>
      <c r="O965" s="20"/>
      <c r="P965" s="23"/>
    </row>
    <row r="966" spans="1:16">
      <c r="A966" s="20"/>
      <c r="C966" s="20"/>
      <c r="D966" s="21"/>
      <c r="E966" s="20"/>
      <c r="F966" s="20"/>
      <c r="G966" s="20"/>
      <c r="H966" s="20"/>
      <c r="I966" s="20"/>
      <c r="J966" s="22"/>
      <c r="K966" s="20"/>
      <c r="L966" s="20"/>
      <c r="M966" s="20"/>
      <c r="N966" s="20"/>
      <c r="O966" s="20"/>
      <c r="P966" s="23"/>
    </row>
    <row r="967" spans="1:16">
      <c r="A967" s="20"/>
      <c r="C967" s="20"/>
      <c r="D967" s="21"/>
      <c r="E967" s="20"/>
      <c r="F967" s="20"/>
      <c r="G967" s="20"/>
      <c r="H967" s="20"/>
      <c r="I967" s="20"/>
      <c r="J967" s="22"/>
      <c r="K967" s="20"/>
      <c r="L967" s="20"/>
      <c r="M967" s="20"/>
      <c r="N967" s="20"/>
      <c r="O967" s="20"/>
      <c r="P967" s="23"/>
    </row>
    <row r="968" spans="1:16">
      <c r="A968" s="20"/>
      <c r="C968" s="20"/>
      <c r="D968" s="21"/>
      <c r="E968" s="20"/>
      <c r="F968" s="20"/>
      <c r="G968" s="20"/>
      <c r="H968" s="20"/>
      <c r="I968" s="20"/>
      <c r="J968" s="22"/>
      <c r="K968" s="20"/>
      <c r="L968" s="20"/>
      <c r="M968" s="20"/>
      <c r="N968" s="20"/>
      <c r="O968" s="20"/>
      <c r="P968" s="23"/>
    </row>
    <row r="969" spans="1:16">
      <c r="A969" s="20"/>
      <c r="C969" s="20"/>
      <c r="D969" s="21"/>
      <c r="E969" s="20"/>
      <c r="F969" s="20"/>
      <c r="G969" s="20"/>
      <c r="H969" s="20"/>
      <c r="I969" s="20"/>
      <c r="J969" s="22"/>
      <c r="K969" s="20"/>
      <c r="L969" s="20"/>
      <c r="M969" s="20"/>
      <c r="N969" s="20"/>
      <c r="O969" s="20"/>
      <c r="P969" s="23"/>
    </row>
    <row r="970" spans="1:16">
      <c r="A970" s="20"/>
      <c r="C970" s="20"/>
      <c r="D970" s="21"/>
      <c r="E970" s="20"/>
      <c r="F970" s="20"/>
      <c r="G970" s="20"/>
      <c r="H970" s="20"/>
      <c r="I970" s="20"/>
      <c r="J970" s="22"/>
      <c r="K970" s="20"/>
      <c r="L970" s="20"/>
      <c r="M970" s="20"/>
      <c r="N970" s="20"/>
      <c r="O970" s="20"/>
      <c r="P970" s="23"/>
    </row>
    <row r="971" spans="1:16">
      <c r="A971" s="20"/>
      <c r="C971" s="20"/>
      <c r="D971" s="21"/>
      <c r="E971" s="20"/>
      <c r="F971" s="20"/>
      <c r="G971" s="20"/>
      <c r="H971" s="20"/>
      <c r="I971" s="20"/>
      <c r="J971" s="22"/>
      <c r="K971" s="20"/>
      <c r="L971" s="20"/>
      <c r="M971" s="20"/>
      <c r="N971" s="20"/>
      <c r="O971" s="20"/>
      <c r="P971" s="23"/>
    </row>
    <row r="972" spans="1:16">
      <c r="A972" s="20"/>
      <c r="C972" s="20"/>
      <c r="D972" s="21"/>
      <c r="E972" s="20"/>
      <c r="F972" s="20"/>
      <c r="G972" s="20"/>
      <c r="H972" s="20"/>
      <c r="I972" s="20"/>
      <c r="J972" s="22"/>
      <c r="K972" s="20"/>
      <c r="L972" s="20"/>
      <c r="M972" s="20"/>
      <c r="N972" s="20"/>
      <c r="O972" s="20"/>
      <c r="P972" s="23"/>
    </row>
    <row r="973" spans="1:16">
      <c r="A973" s="20"/>
      <c r="C973" s="20"/>
      <c r="D973" s="21"/>
      <c r="E973" s="20"/>
      <c r="F973" s="20"/>
      <c r="G973" s="20"/>
      <c r="H973" s="20"/>
      <c r="I973" s="20"/>
      <c r="J973" s="22"/>
      <c r="K973" s="20"/>
      <c r="L973" s="20"/>
      <c r="M973" s="20"/>
      <c r="N973" s="20"/>
      <c r="O973" s="20"/>
      <c r="P973" s="23"/>
    </row>
    <row r="974" spans="1:16">
      <c r="A974" s="20"/>
      <c r="C974" s="20"/>
      <c r="D974" s="21"/>
      <c r="E974" s="20"/>
      <c r="F974" s="20"/>
      <c r="G974" s="20"/>
      <c r="H974" s="20"/>
      <c r="I974" s="20"/>
      <c r="J974" s="22"/>
      <c r="K974" s="20"/>
      <c r="L974" s="20"/>
      <c r="M974" s="20"/>
      <c r="N974" s="20"/>
      <c r="O974" s="20"/>
      <c r="P974" s="23"/>
    </row>
    <row r="975" spans="1:16">
      <c r="A975" s="20"/>
      <c r="C975" s="20"/>
      <c r="D975" s="21"/>
      <c r="E975" s="20"/>
      <c r="F975" s="20"/>
      <c r="G975" s="20"/>
      <c r="H975" s="20"/>
      <c r="I975" s="20"/>
      <c r="J975" s="22"/>
      <c r="K975" s="20"/>
      <c r="L975" s="20"/>
      <c r="M975" s="20"/>
      <c r="N975" s="20"/>
      <c r="O975" s="20"/>
      <c r="P975" s="23"/>
    </row>
    <row r="976" spans="1:16">
      <c r="A976" s="20"/>
      <c r="C976" s="20"/>
      <c r="D976" s="21"/>
      <c r="E976" s="20"/>
      <c r="F976" s="20"/>
      <c r="G976" s="20"/>
      <c r="H976" s="20"/>
      <c r="I976" s="20"/>
      <c r="J976" s="22"/>
      <c r="K976" s="20"/>
      <c r="L976" s="20"/>
      <c r="M976" s="20"/>
      <c r="N976" s="20"/>
      <c r="O976" s="20"/>
      <c r="P976" s="23"/>
    </row>
    <row r="977" spans="1:16">
      <c r="A977" s="20"/>
      <c r="C977" s="20"/>
      <c r="D977" s="21"/>
      <c r="E977" s="20"/>
      <c r="F977" s="20"/>
      <c r="G977" s="20"/>
      <c r="H977" s="20"/>
      <c r="I977" s="20"/>
      <c r="J977" s="22"/>
      <c r="K977" s="20"/>
      <c r="L977" s="20"/>
      <c r="M977" s="20"/>
      <c r="N977" s="20"/>
      <c r="O977" s="20"/>
      <c r="P977" s="23"/>
    </row>
    <row r="978" spans="1:16">
      <c r="A978" s="20"/>
      <c r="C978" s="20"/>
      <c r="D978" s="21"/>
      <c r="E978" s="20"/>
      <c r="F978" s="20"/>
      <c r="G978" s="20"/>
      <c r="H978" s="20"/>
      <c r="I978" s="20"/>
      <c r="J978" s="22"/>
      <c r="K978" s="20"/>
      <c r="L978" s="20"/>
      <c r="M978" s="20"/>
      <c r="N978" s="20"/>
      <c r="O978" s="20"/>
      <c r="P978" s="23"/>
    </row>
    <row r="979" spans="1:16">
      <c r="A979" s="20"/>
      <c r="C979" s="20"/>
      <c r="D979" s="21"/>
      <c r="E979" s="20"/>
      <c r="F979" s="20"/>
      <c r="G979" s="20"/>
      <c r="H979" s="20"/>
      <c r="I979" s="20"/>
      <c r="J979" s="22"/>
      <c r="K979" s="20"/>
      <c r="L979" s="20"/>
      <c r="M979" s="20"/>
      <c r="N979" s="20"/>
      <c r="O979" s="20"/>
      <c r="P979" s="23"/>
    </row>
    <row r="980" spans="1:16">
      <c r="A980" s="20"/>
      <c r="C980" s="20"/>
      <c r="D980" s="21"/>
      <c r="E980" s="20"/>
      <c r="F980" s="20"/>
      <c r="G980" s="20"/>
      <c r="H980" s="20"/>
      <c r="I980" s="20"/>
      <c r="J980" s="22"/>
      <c r="K980" s="20"/>
      <c r="L980" s="20"/>
      <c r="M980" s="20"/>
      <c r="N980" s="20"/>
      <c r="O980" s="20"/>
      <c r="P980" s="23"/>
    </row>
    <row r="981" spans="1:16">
      <c r="A981" s="20"/>
      <c r="C981" s="20"/>
      <c r="D981" s="21"/>
      <c r="E981" s="20"/>
      <c r="F981" s="20"/>
      <c r="G981" s="20"/>
      <c r="H981" s="20"/>
      <c r="I981" s="20"/>
      <c r="J981" s="22"/>
      <c r="K981" s="20"/>
      <c r="L981" s="20"/>
      <c r="M981" s="20"/>
      <c r="N981" s="20"/>
      <c r="O981" s="20"/>
      <c r="P981" s="23"/>
    </row>
    <row r="982" spans="1:16">
      <c r="A982" s="20"/>
      <c r="C982" s="20"/>
      <c r="D982" s="21"/>
      <c r="E982" s="20"/>
      <c r="F982" s="20"/>
      <c r="G982" s="20"/>
      <c r="H982" s="20"/>
      <c r="I982" s="20"/>
      <c r="J982" s="22"/>
      <c r="K982" s="20"/>
      <c r="L982" s="20"/>
      <c r="M982" s="20"/>
      <c r="N982" s="20"/>
      <c r="O982" s="20"/>
      <c r="P982" s="23"/>
    </row>
    <row r="983" spans="1:16">
      <c r="A983" s="20"/>
      <c r="C983" s="20"/>
      <c r="D983" s="21"/>
      <c r="E983" s="20"/>
      <c r="F983" s="20"/>
      <c r="G983" s="20"/>
      <c r="H983" s="20"/>
      <c r="I983" s="20"/>
      <c r="J983" s="22"/>
      <c r="K983" s="20"/>
      <c r="L983" s="20"/>
      <c r="M983" s="20"/>
      <c r="N983" s="20"/>
      <c r="O983" s="20"/>
      <c r="P983" s="23"/>
    </row>
    <row r="984" spans="1:16">
      <c r="A984" s="20"/>
      <c r="C984" s="20"/>
      <c r="D984" s="21"/>
      <c r="E984" s="20"/>
      <c r="F984" s="20"/>
      <c r="G984" s="20"/>
      <c r="H984" s="20"/>
      <c r="I984" s="20"/>
      <c r="J984" s="22"/>
      <c r="K984" s="20"/>
      <c r="L984" s="20"/>
      <c r="M984" s="20"/>
      <c r="N984" s="20"/>
      <c r="O984" s="20"/>
      <c r="P984" s="23"/>
    </row>
    <row r="985" spans="1:16">
      <c r="A985" s="20"/>
      <c r="C985" s="20"/>
      <c r="D985" s="21"/>
      <c r="E985" s="20"/>
      <c r="F985" s="20"/>
      <c r="G985" s="20"/>
      <c r="H985" s="20"/>
      <c r="I985" s="20"/>
      <c r="J985" s="22"/>
      <c r="K985" s="20"/>
      <c r="L985" s="20"/>
      <c r="M985" s="20"/>
      <c r="N985" s="20"/>
      <c r="O985" s="20"/>
      <c r="P985" s="23"/>
    </row>
    <row r="986" spans="1:16">
      <c r="A986" s="20"/>
      <c r="C986" s="20"/>
      <c r="D986" s="21"/>
      <c r="E986" s="20"/>
      <c r="F986" s="20"/>
      <c r="G986" s="20"/>
      <c r="H986" s="20"/>
      <c r="I986" s="20"/>
      <c r="J986" s="22"/>
      <c r="K986" s="20"/>
      <c r="L986" s="20"/>
      <c r="M986" s="20"/>
      <c r="N986" s="20"/>
      <c r="O986" s="20"/>
      <c r="P986" s="23"/>
    </row>
    <row r="987" spans="1:16">
      <c r="A987" s="20"/>
      <c r="C987" s="20"/>
      <c r="D987" s="21"/>
      <c r="E987" s="20"/>
      <c r="F987" s="20"/>
      <c r="G987" s="20"/>
      <c r="H987" s="20"/>
      <c r="I987" s="20"/>
      <c r="J987" s="22"/>
      <c r="K987" s="20"/>
      <c r="L987" s="20"/>
      <c r="M987" s="20"/>
      <c r="N987" s="20"/>
      <c r="O987" s="20"/>
      <c r="P987" s="23"/>
    </row>
    <row r="988" spans="1:16">
      <c r="A988" s="20"/>
      <c r="C988" s="20"/>
      <c r="D988" s="21"/>
      <c r="E988" s="20"/>
      <c r="F988" s="20"/>
      <c r="G988" s="20"/>
      <c r="H988" s="20"/>
      <c r="I988" s="20"/>
      <c r="J988" s="22"/>
      <c r="K988" s="20"/>
      <c r="L988" s="20"/>
      <c r="M988" s="20"/>
      <c r="N988" s="20"/>
      <c r="O988" s="20"/>
      <c r="P988" s="23"/>
    </row>
    <row r="989" spans="1:16">
      <c r="A989" s="20"/>
      <c r="C989" s="20"/>
      <c r="D989" s="21"/>
      <c r="E989" s="20"/>
      <c r="F989" s="20"/>
      <c r="G989" s="20"/>
      <c r="H989" s="20"/>
      <c r="I989" s="20"/>
      <c r="J989" s="22"/>
      <c r="K989" s="20"/>
      <c r="L989" s="20"/>
      <c r="M989" s="20"/>
      <c r="N989" s="20"/>
      <c r="O989" s="20"/>
      <c r="P989" s="23"/>
    </row>
    <row r="990" spans="1:16">
      <c r="A990" s="20"/>
      <c r="C990" s="20"/>
      <c r="D990" s="21"/>
      <c r="E990" s="20"/>
      <c r="F990" s="20"/>
      <c r="G990" s="20"/>
      <c r="H990" s="20"/>
      <c r="I990" s="20"/>
      <c r="J990" s="22"/>
      <c r="K990" s="20"/>
      <c r="L990" s="20"/>
      <c r="M990" s="20"/>
      <c r="N990" s="20"/>
      <c r="O990" s="20"/>
      <c r="P990" s="23"/>
    </row>
    <row r="991" spans="1:16">
      <c r="A991" s="20"/>
      <c r="C991" s="20"/>
      <c r="D991" s="21"/>
      <c r="E991" s="20"/>
      <c r="F991" s="20"/>
      <c r="G991" s="20"/>
      <c r="H991" s="20"/>
      <c r="I991" s="20"/>
      <c r="J991" s="22"/>
      <c r="K991" s="20"/>
      <c r="L991" s="20"/>
      <c r="M991" s="20"/>
      <c r="N991" s="20"/>
      <c r="O991" s="20"/>
      <c r="P991" s="23"/>
    </row>
    <row r="992" spans="1:16">
      <c r="A992" s="20"/>
      <c r="C992" s="20"/>
      <c r="D992" s="21"/>
      <c r="E992" s="20"/>
      <c r="F992" s="20"/>
      <c r="G992" s="20"/>
      <c r="H992" s="20"/>
      <c r="I992" s="20"/>
      <c r="J992" s="22"/>
      <c r="K992" s="20"/>
      <c r="L992" s="20"/>
      <c r="M992" s="20"/>
      <c r="N992" s="20"/>
      <c r="O992" s="20"/>
      <c r="P992" s="23"/>
    </row>
    <row r="993" spans="1:16">
      <c r="A993" s="20"/>
      <c r="C993" s="20"/>
      <c r="D993" s="21"/>
      <c r="E993" s="20"/>
      <c r="F993" s="20"/>
      <c r="G993" s="20"/>
      <c r="H993" s="20"/>
      <c r="I993" s="20"/>
      <c r="J993" s="22"/>
      <c r="K993" s="20"/>
      <c r="L993" s="20"/>
      <c r="M993" s="20"/>
      <c r="N993" s="20"/>
      <c r="O993" s="20"/>
      <c r="P993" s="23"/>
    </row>
    <row r="994" spans="1:16">
      <c r="A994" s="20"/>
      <c r="C994" s="20"/>
      <c r="D994" s="21"/>
      <c r="E994" s="20"/>
      <c r="F994" s="20"/>
      <c r="G994" s="20"/>
      <c r="H994" s="20"/>
      <c r="I994" s="20"/>
      <c r="J994" s="22"/>
      <c r="K994" s="20"/>
      <c r="L994" s="20"/>
      <c r="M994" s="20"/>
      <c r="N994" s="20"/>
      <c r="O994" s="20"/>
      <c r="P994" s="23"/>
    </row>
    <row r="995" spans="1:16">
      <c r="A995" s="20"/>
      <c r="C995" s="20"/>
      <c r="D995" s="21"/>
      <c r="E995" s="20"/>
      <c r="F995" s="20"/>
      <c r="G995" s="20"/>
      <c r="H995" s="20"/>
      <c r="I995" s="20"/>
      <c r="J995" s="22"/>
      <c r="K995" s="20"/>
      <c r="L995" s="20"/>
      <c r="M995" s="20"/>
      <c r="N995" s="20"/>
      <c r="O995" s="20"/>
      <c r="P995" s="23"/>
    </row>
    <row r="996" spans="1:16">
      <c r="A996" s="20"/>
      <c r="C996" s="20"/>
      <c r="D996" s="21"/>
      <c r="E996" s="20"/>
      <c r="F996" s="20"/>
      <c r="G996" s="20"/>
      <c r="H996" s="20"/>
      <c r="I996" s="20"/>
      <c r="J996" s="22"/>
      <c r="K996" s="20"/>
      <c r="L996" s="20"/>
      <c r="M996" s="20"/>
      <c r="N996" s="20"/>
      <c r="O996" s="20"/>
      <c r="P996" s="23"/>
    </row>
    <row r="997" spans="1:16">
      <c r="A997" s="20"/>
      <c r="C997" s="20"/>
      <c r="D997" s="21"/>
      <c r="E997" s="20"/>
      <c r="F997" s="20"/>
      <c r="G997" s="20"/>
      <c r="H997" s="20"/>
      <c r="I997" s="20"/>
      <c r="J997" s="22"/>
      <c r="K997" s="20"/>
      <c r="L997" s="20"/>
      <c r="M997" s="20"/>
      <c r="N997" s="20"/>
      <c r="O997" s="20"/>
      <c r="P997" s="23"/>
    </row>
    <row r="998" spans="1:16">
      <c r="A998" s="20"/>
      <c r="C998" s="20"/>
      <c r="D998" s="21"/>
      <c r="E998" s="20"/>
      <c r="F998" s="20"/>
      <c r="G998" s="20"/>
      <c r="H998" s="20"/>
      <c r="I998" s="20"/>
      <c r="J998" s="22"/>
      <c r="K998" s="20"/>
      <c r="L998" s="20"/>
      <c r="M998" s="20"/>
      <c r="N998" s="20"/>
      <c r="O998" s="20"/>
      <c r="P998" s="23"/>
    </row>
    <row r="999" spans="1:16">
      <c r="A999" s="20"/>
      <c r="C999" s="20"/>
      <c r="D999" s="21"/>
      <c r="E999" s="20"/>
      <c r="F999" s="20"/>
      <c r="G999" s="20"/>
      <c r="H999" s="20"/>
      <c r="I999" s="20"/>
      <c r="J999" s="22"/>
      <c r="K999" s="20"/>
      <c r="L999" s="20"/>
      <c r="M999" s="20"/>
      <c r="N999" s="20"/>
      <c r="O999" s="20"/>
      <c r="P999" s="23"/>
    </row>
  </sheetData>
  <dataValidations count="5">
    <dataValidation type="custom" allowBlank="1" showDropDown="1" showInputMessage="1" showErrorMessage="1" prompt="Digite somente números" sqref="D3:D500" xr:uid="{00000000-0002-0000-0100-000000000000}">
      <formula1>ISNUMBER(D3:D500)</formula1>
    </dataValidation>
    <dataValidation type="date" allowBlank="1" showDropDown="1" showInputMessage="1" showErrorMessage="1" prompt="Digite uma data entre 01/01/2024 e 31/12/2026" sqref="G3:J499 L3:N499" xr:uid="{00000000-0002-0000-0100-000001000000}">
      <formula1>45292</formula1>
      <formula2>46387</formula2>
    </dataValidation>
    <dataValidation type="list" allowBlank="1" showErrorMessage="1" sqref="E3:E499" xr:uid="{00000000-0002-0000-0100-000002000000}">
      <formula1>"CUSTEIO,INVESTIMENTO"</formula1>
    </dataValidation>
    <dataValidation type="list" allowBlank="1" showErrorMessage="1" sqref="F3:F499" xr:uid="{00000000-0002-0000-0100-000003000000}">
      <formula1>"Licitação,Dispensa de Licitação,Inexigibilidade,SRP Estadual,SRP Estadual (Carona),SRP Federal,SRP Federal (Carona)"</formula1>
    </dataValidation>
    <dataValidation type="list" allowBlank="1" showErrorMessage="1" sqref="O3:O499" xr:uid="{00000000-0002-0000-0100-000004000000}">
      <formula1>"TRAMITANDO,ARQUIVADO,FINALIZADO"</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5703125" defaultRowHeight="15.75" customHeight="1"/>
  <cols>
    <col min="1" max="1" width="13.85546875" customWidth="1"/>
    <col min="2" max="2" width="37" customWidth="1"/>
    <col min="3" max="3" width="9.42578125" customWidth="1"/>
    <col min="4" max="4" width="14.5703125" customWidth="1"/>
    <col min="5" max="5" width="15.28515625" customWidth="1"/>
    <col min="6" max="6" width="13.85546875" customWidth="1"/>
    <col min="7" max="7" width="18" customWidth="1"/>
    <col min="8" max="8" width="12.42578125" customWidth="1"/>
    <col min="9" max="9" width="14.7109375" customWidth="1"/>
    <col min="10" max="10" width="13.140625" customWidth="1"/>
    <col min="11" max="11" width="11.140625" customWidth="1"/>
    <col min="12" max="12" width="14.7109375" customWidth="1"/>
    <col min="13" max="13" width="22.42578125" customWidth="1"/>
    <col min="14" max="14" width="18.140625" customWidth="1"/>
    <col min="15" max="15" width="19.7109375" customWidth="1"/>
    <col min="16" max="16" width="18.42578125" customWidth="1"/>
    <col min="17" max="17" width="18.28515625" customWidth="1"/>
    <col min="18" max="27" width="19.85546875" customWidth="1"/>
  </cols>
  <sheetData>
    <row r="1" spans="1:27">
      <c r="A1" s="102"/>
      <c r="B1" s="102"/>
      <c r="C1" s="102"/>
      <c r="D1" s="102"/>
      <c r="E1" s="102"/>
      <c r="F1" s="102"/>
      <c r="G1" s="102"/>
      <c r="H1" s="102"/>
      <c r="I1" s="102"/>
      <c r="J1" s="102"/>
      <c r="K1" s="102"/>
      <c r="L1" s="102"/>
      <c r="M1" s="102"/>
      <c r="N1" s="102"/>
      <c r="O1" s="102"/>
      <c r="P1" s="102"/>
      <c r="Q1" s="102"/>
      <c r="R1" s="102"/>
      <c r="S1" s="102"/>
      <c r="T1" s="102"/>
      <c r="U1" s="103"/>
      <c r="V1" s="103"/>
      <c r="W1" s="103"/>
      <c r="X1" s="103"/>
      <c r="Y1" s="103"/>
      <c r="Z1" s="103"/>
      <c r="AA1" s="103"/>
    </row>
    <row r="2" spans="1:27">
      <c r="A2" s="104">
        <v>164</v>
      </c>
      <c r="B2" s="105"/>
      <c r="C2" s="105"/>
      <c r="D2" s="106"/>
      <c r="E2" s="106"/>
      <c r="F2" s="106"/>
      <c r="G2" s="107" t="s">
        <v>454</v>
      </c>
      <c r="H2" s="108">
        <v>72</v>
      </c>
      <c r="I2" s="108">
        <v>69</v>
      </c>
      <c r="J2" s="105"/>
      <c r="K2" s="108">
        <v>38</v>
      </c>
      <c r="L2" s="106"/>
      <c r="M2" s="106"/>
      <c r="N2" s="5">
        <v>13</v>
      </c>
      <c r="O2" s="106"/>
      <c r="P2" s="106"/>
      <c r="Q2" s="106"/>
      <c r="R2" s="106"/>
      <c r="S2" s="106"/>
      <c r="T2" s="106"/>
      <c r="U2" s="103"/>
      <c r="V2" s="103"/>
      <c r="W2" s="103"/>
      <c r="X2" s="103"/>
      <c r="Y2" s="103"/>
      <c r="Z2" s="103"/>
      <c r="AA2" s="103"/>
    </row>
    <row r="3" spans="1:27">
      <c r="A3" s="109" t="s">
        <v>0</v>
      </c>
      <c r="B3" s="110" t="s">
        <v>1</v>
      </c>
      <c r="C3" s="110" t="s">
        <v>455</v>
      </c>
      <c r="D3" s="107" t="s">
        <v>456</v>
      </c>
      <c r="E3" s="107" t="s">
        <v>457</v>
      </c>
      <c r="F3" s="107" t="s">
        <v>2</v>
      </c>
      <c r="G3" s="107" t="s">
        <v>3</v>
      </c>
      <c r="H3" s="107" t="s">
        <v>8</v>
      </c>
      <c r="I3" s="107" t="s">
        <v>458</v>
      </c>
      <c r="J3" s="107" t="s">
        <v>459</v>
      </c>
      <c r="K3" s="107" t="s">
        <v>13</v>
      </c>
      <c r="L3" s="107" t="s">
        <v>460</v>
      </c>
      <c r="M3" s="107" t="s">
        <v>5</v>
      </c>
      <c r="N3" s="107" t="s">
        <v>461</v>
      </c>
      <c r="O3" s="107" t="s">
        <v>14</v>
      </c>
      <c r="P3" s="107" t="s">
        <v>462</v>
      </c>
      <c r="Q3" s="107" t="s">
        <v>463</v>
      </c>
      <c r="R3" s="107" t="s">
        <v>464</v>
      </c>
      <c r="S3" s="107" t="s">
        <v>465</v>
      </c>
      <c r="T3" s="107" t="s">
        <v>466</v>
      </c>
      <c r="U3" s="103"/>
      <c r="V3" s="103"/>
      <c r="W3" s="103"/>
      <c r="X3" s="103"/>
      <c r="Y3" s="103"/>
      <c r="Z3" s="103"/>
      <c r="AA3" s="103"/>
    </row>
    <row r="4" spans="1:27">
      <c r="A4" s="111" t="s">
        <v>467</v>
      </c>
      <c r="B4" s="112" t="s">
        <v>468</v>
      </c>
      <c r="C4" s="113" t="s">
        <v>469</v>
      </c>
      <c r="D4" s="114" t="s">
        <v>470</v>
      </c>
      <c r="E4" s="114" t="s">
        <v>471</v>
      </c>
      <c r="F4" s="80">
        <v>45197</v>
      </c>
      <c r="G4" s="115" t="s">
        <v>472</v>
      </c>
      <c r="H4" s="116"/>
      <c r="I4" s="116"/>
      <c r="J4" s="116"/>
      <c r="K4" s="116"/>
      <c r="L4" s="42" t="s">
        <v>30</v>
      </c>
      <c r="M4" s="42" t="s">
        <v>473</v>
      </c>
      <c r="N4" s="116"/>
      <c r="O4" s="117" t="s">
        <v>27</v>
      </c>
      <c r="P4" s="116"/>
      <c r="Q4" s="116"/>
      <c r="R4" s="115" t="s">
        <v>474</v>
      </c>
      <c r="S4" s="80">
        <v>45309</v>
      </c>
      <c r="T4" s="112" t="s">
        <v>475</v>
      </c>
      <c r="U4" s="118"/>
      <c r="V4" s="103"/>
      <c r="W4" s="118"/>
      <c r="X4" s="118"/>
      <c r="Y4" s="118"/>
      <c r="Z4" s="118"/>
      <c r="AA4" s="118"/>
    </row>
    <row r="5" spans="1:27">
      <c r="A5" s="119" t="s">
        <v>476</v>
      </c>
      <c r="B5" s="120" t="s">
        <v>477</v>
      </c>
      <c r="C5" s="121" t="s">
        <v>469</v>
      </c>
      <c r="D5" s="122" t="s">
        <v>478</v>
      </c>
      <c r="E5" s="42" t="s">
        <v>479</v>
      </c>
      <c r="F5" s="39">
        <v>45093</v>
      </c>
      <c r="G5" s="122" t="s">
        <v>480</v>
      </c>
      <c r="H5" s="45">
        <v>45475</v>
      </c>
      <c r="I5" s="45">
        <v>45484</v>
      </c>
      <c r="J5" s="123"/>
      <c r="K5" s="123"/>
      <c r="L5" s="42" t="s">
        <v>30</v>
      </c>
      <c r="M5" s="114" t="s">
        <v>481</v>
      </c>
      <c r="N5" s="42" t="s">
        <v>482</v>
      </c>
      <c r="O5" s="117" t="s">
        <v>27</v>
      </c>
      <c r="P5" s="122" t="s">
        <v>483</v>
      </c>
      <c r="Q5" s="122" t="s">
        <v>484</v>
      </c>
      <c r="R5" s="42" t="s">
        <v>485</v>
      </c>
      <c r="S5" s="39">
        <v>45566</v>
      </c>
      <c r="T5" s="120" t="s">
        <v>486</v>
      </c>
      <c r="U5" s="118"/>
      <c r="V5" s="118"/>
      <c r="W5" s="118"/>
      <c r="X5" s="118"/>
      <c r="Y5" s="118"/>
      <c r="Z5" s="118"/>
      <c r="AA5" s="118"/>
    </row>
    <row r="6" spans="1:27">
      <c r="A6" s="111" t="s">
        <v>487</v>
      </c>
      <c r="B6" s="112" t="s">
        <v>488</v>
      </c>
      <c r="C6" s="113" t="s">
        <v>469</v>
      </c>
      <c r="D6" s="114" t="s">
        <v>470</v>
      </c>
      <c r="E6" s="114" t="s">
        <v>479</v>
      </c>
      <c r="F6" s="80">
        <v>45308</v>
      </c>
      <c r="G6" s="115" t="s">
        <v>489</v>
      </c>
      <c r="H6" s="124">
        <v>45328</v>
      </c>
      <c r="I6" s="124">
        <v>45337</v>
      </c>
      <c r="J6" s="116"/>
      <c r="K6" s="124">
        <v>45364</v>
      </c>
      <c r="L6" s="115" t="s">
        <v>18</v>
      </c>
      <c r="M6" s="114" t="s">
        <v>44</v>
      </c>
      <c r="N6" s="116"/>
      <c r="O6" s="114" t="s">
        <v>20</v>
      </c>
      <c r="P6" s="115" t="s">
        <v>490</v>
      </c>
      <c r="Q6" s="115" t="s">
        <v>490</v>
      </c>
      <c r="R6" s="115" t="s">
        <v>491</v>
      </c>
      <c r="S6" s="80">
        <v>45488</v>
      </c>
      <c r="T6" s="112" t="s">
        <v>492</v>
      </c>
      <c r="U6" s="103"/>
      <c r="V6" s="103"/>
      <c r="W6" s="103"/>
      <c r="X6" s="103"/>
      <c r="Y6" s="103"/>
      <c r="Z6" s="103"/>
      <c r="AA6" s="103"/>
    </row>
    <row r="7" spans="1:27">
      <c r="A7" s="111" t="s">
        <v>493</v>
      </c>
      <c r="B7" s="112" t="s">
        <v>494</v>
      </c>
      <c r="C7" s="113" t="s">
        <v>469</v>
      </c>
      <c r="D7" s="114" t="s">
        <v>470</v>
      </c>
      <c r="E7" s="114" t="s">
        <v>479</v>
      </c>
      <c r="F7" s="80">
        <v>45308</v>
      </c>
      <c r="G7" s="115" t="s">
        <v>495</v>
      </c>
      <c r="H7" s="124">
        <v>45327</v>
      </c>
      <c r="I7" s="124">
        <v>45337</v>
      </c>
      <c r="J7" s="116"/>
      <c r="K7" s="124">
        <v>45355</v>
      </c>
      <c r="L7" s="115" t="s">
        <v>18</v>
      </c>
      <c r="M7" s="114" t="s">
        <v>44</v>
      </c>
      <c r="N7" s="116"/>
      <c r="O7" s="114" t="s">
        <v>20</v>
      </c>
      <c r="P7" s="115" t="s">
        <v>490</v>
      </c>
      <c r="Q7" s="115" t="s">
        <v>490</v>
      </c>
      <c r="R7" s="115" t="s">
        <v>491</v>
      </c>
      <c r="S7" s="80">
        <v>45488</v>
      </c>
      <c r="T7" s="112" t="s">
        <v>496</v>
      </c>
      <c r="U7" s="103"/>
      <c r="V7" s="103"/>
      <c r="W7" s="103"/>
      <c r="X7" s="103"/>
      <c r="Y7" s="103"/>
      <c r="Z7" s="103"/>
      <c r="AA7" s="103"/>
    </row>
    <row r="8" spans="1:27">
      <c r="A8" s="111" t="s">
        <v>497</v>
      </c>
      <c r="B8" s="112" t="s">
        <v>498</v>
      </c>
      <c r="C8" s="113" t="s">
        <v>469</v>
      </c>
      <c r="D8" s="114" t="s">
        <v>470</v>
      </c>
      <c r="E8" s="114" t="s">
        <v>479</v>
      </c>
      <c r="F8" s="80">
        <v>45310</v>
      </c>
      <c r="G8" s="115" t="s">
        <v>499</v>
      </c>
      <c r="H8" s="124">
        <v>45384</v>
      </c>
      <c r="I8" s="124">
        <v>45385</v>
      </c>
      <c r="J8" s="116"/>
      <c r="K8" s="116"/>
      <c r="L8" s="115" t="s">
        <v>18</v>
      </c>
      <c r="M8" s="114" t="s">
        <v>44</v>
      </c>
      <c r="N8" s="116"/>
      <c r="O8" s="125" t="s">
        <v>47</v>
      </c>
      <c r="P8" s="114" t="s">
        <v>500</v>
      </c>
      <c r="Q8" s="114" t="s">
        <v>501</v>
      </c>
      <c r="R8" s="126" t="s">
        <v>502</v>
      </c>
      <c r="S8" s="127">
        <v>45586</v>
      </c>
      <c r="T8" s="112" t="s">
        <v>503</v>
      </c>
      <c r="U8" s="103"/>
      <c r="V8" s="103"/>
      <c r="W8" s="103"/>
      <c r="X8" s="103"/>
      <c r="Y8" s="103"/>
      <c r="Z8" s="103"/>
      <c r="AA8" s="103"/>
    </row>
    <row r="9" spans="1:27">
      <c r="A9" s="128" t="s">
        <v>504</v>
      </c>
      <c r="B9" s="112" t="s">
        <v>505</v>
      </c>
      <c r="C9" s="113" t="s">
        <v>469</v>
      </c>
      <c r="D9" s="114" t="s">
        <v>470</v>
      </c>
      <c r="E9" s="114" t="s">
        <v>506</v>
      </c>
      <c r="F9" s="80">
        <v>45313</v>
      </c>
      <c r="G9" s="115" t="s">
        <v>507</v>
      </c>
      <c r="H9" s="129">
        <v>45572</v>
      </c>
      <c r="I9" s="130">
        <v>45576</v>
      </c>
      <c r="J9" s="131">
        <v>45590</v>
      </c>
      <c r="K9" s="129">
        <v>45604</v>
      </c>
      <c r="L9" s="115" t="s">
        <v>18</v>
      </c>
      <c r="M9" s="114" t="s">
        <v>508</v>
      </c>
      <c r="N9" s="116"/>
      <c r="O9" s="114" t="s">
        <v>20</v>
      </c>
      <c r="P9" s="114" t="s">
        <v>509</v>
      </c>
      <c r="Q9" s="114" t="s">
        <v>510</v>
      </c>
      <c r="R9" s="115" t="s">
        <v>511</v>
      </c>
      <c r="S9" s="127">
        <v>45587</v>
      </c>
      <c r="T9" s="112" t="s">
        <v>512</v>
      </c>
      <c r="U9" s="103"/>
      <c r="V9" s="103"/>
      <c r="W9" s="103"/>
      <c r="X9" s="103"/>
      <c r="Y9" s="103"/>
      <c r="Z9" s="103"/>
      <c r="AA9" s="103"/>
    </row>
    <row r="10" spans="1:27">
      <c r="A10" s="111" t="s">
        <v>513</v>
      </c>
      <c r="B10" s="112" t="s">
        <v>514</v>
      </c>
      <c r="C10" s="113" t="s">
        <v>515</v>
      </c>
      <c r="D10" s="114" t="s">
        <v>516</v>
      </c>
      <c r="E10" s="114" t="s">
        <v>517</v>
      </c>
      <c r="F10" s="80">
        <v>45310</v>
      </c>
      <c r="G10" s="115" t="s">
        <v>518</v>
      </c>
      <c r="H10" s="116"/>
      <c r="I10" s="116"/>
      <c r="J10" s="116"/>
      <c r="K10" s="116"/>
      <c r="L10" s="115" t="s">
        <v>30</v>
      </c>
      <c r="M10" s="115" t="s">
        <v>481</v>
      </c>
      <c r="N10" s="116"/>
      <c r="O10" s="125" t="s">
        <v>47</v>
      </c>
      <c r="P10" s="114" t="s">
        <v>519</v>
      </c>
      <c r="Q10" s="114" t="s">
        <v>520</v>
      </c>
      <c r="R10" s="115" t="s">
        <v>521</v>
      </c>
      <c r="S10" s="80">
        <v>45415</v>
      </c>
      <c r="T10" s="112" t="s">
        <v>522</v>
      </c>
      <c r="U10" s="103"/>
      <c r="V10" s="103"/>
      <c r="W10" s="103"/>
      <c r="X10" s="103"/>
      <c r="Y10" s="103"/>
      <c r="Z10" s="103"/>
      <c r="AA10" s="103"/>
    </row>
    <row r="11" spans="1:27">
      <c r="A11" s="111" t="s">
        <v>308</v>
      </c>
      <c r="B11" s="112" t="s">
        <v>309</v>
      </c>
      <c r="C11" s="113" t="s">
        <v>515</v>
      </c>
      <c r="D11" s="114" t="s">
        <v>516</v>
      </c>
      <c r="E11" s="114" t="s">
        <v>517</v>
      </c>
      <c r="F11" s="80">
        <v>45315</v>
      </c>
      <c r="G11" s="115" t="s">
        <v>523</v>
      </c>
      <c r="H11" s="116"/>
      <c r="I11" s="116"/>
      <c r="J11" s="116"/>
      <c r="K11" s="116"/>
      <c r="L11" s="115" t="s">
        <v>30</v>
      </c>
      <c r="M11" s="115" t="s">
        <v>481</v>
      </c>
      <c r="N11" s="116"/>
      <c r="O11" s="117" t="s">
        <v>524</v>
      </c>
      <c r="P11" s="114" t="s">
        <v>519</v>
      </c>
      <c r="Q11" s="114" t="s">
        <v>520</v>
      </c>
      <c r="R11" s="115" t="s">
        <v>525</v>
      </c>
      <c r="S11" s="80">
        <v>45602</v>
      </c>
      <c r="T11" s="112" t="s">
        <v>526</v>
      </c>
      <c r="U11" s="132" t="s">
        <v>527</v>
      </c>
      <c r="V11" s="133" t="s">
        <v>528</v>
      </c>
      <c r="W11" s="103"/>
      <c r="X11" s="103"/>
      <c r="Y11" s="103"/>
      <c r="Z11" s="103"/>
      <c r="AA11" s="103"/>
    </row>
    <row r="12" spans="1:27">
      <c r="A12" s="111" t="s">
        <v>529</v>
      </c>
      <c r="B12" s="112" t="s">
        <v>530</v>
      </c>
      <c r="C12" s="113" t="s">
        <v>515</v>
      </c>
      <c r="D12" s="114" t="s">
        <v>516</v>
      </c>
      <c r="E12" s="114" t="s">
        <v>531</v>
      </c>
      <c r="F12" s="80">
        <v>45315</v>
      </c>
      <c r="G12" s="115" t="s">
        <v>532</v>
      </c>
      <c r="H12" s="116"/>
      <c r="I12" s="116"/>
      <c r="J12" s="116"/>
      <c r="K12" s="116"/>
      <c r="L12" s="115" t="s">
        <v>30</v>
      </c>
      <c r="M12" s="115" t="s">
        <v>481</v>
      </c>
      <c r="N12" s="116"/>
      <c r="O12" s="117" t="s">
        <v>27</v>
      </c>
      <c r="P12" s="114" t="s">
        <v>519</v>
      </c>
      <c r="Q12" s="114" t="s">
        <v>520</v>
      </c>
      <c r="R12" s="115" t="s">
        <v>533</v>
      </c>
      <c r="S12" s="80">
        <v>45602</v>
      </c>
      <c r="T12" s="112" t="s">
        <v>534</v>
      </c>
      <c r="U12" s="132" t="s">
        <v>535</v>
      </c>
      <c r="V12" s="133" t="s">
        <v>536</v>
      </c>
      <c r="W12" s="103"/>
      <c r="X12" s="103"/>
      <c r="Y12" s="103"/>
      <c r="Z12" s="103"/>
      <c r="AA12" s="103"/>
    </row>
    <row r="13" spans="1:27">
      <c r="A13" s="111" t="s">
        <v>537</v>
      </c>
      <c r="B13" s="112" t="s">
        <v>538</v>
      </c>
      <c r="C13" s="113" t="s">
        <v>539</v>
      </c>
      <c r="D13" s="114" t="s">
        <v>470</v>
      </c>
      <c r="E13" s="114" t="s">
        <v>540</v>
      </c>
      <c r="F13" s="80">
        <v>45310</v>
      </c>
      <c r="G13" s="115" t="s">
        <v>541</v>
      </c>
      <c r="H13" s="124">
        <v>45392</v>
      </c>
      <c r="I13" s="124">
        <v>45411</v>
      </c>
      <c r="J13" s="116"/>
      <c r="K13" s="124">
        <v>45441</v>
      </c>
      <c r="L13" s="115" t="s">
        <v>18</v>
      </c>
      <c r="M13" s="114" t="s">
        <v>44</v>
      </c>
      <c r="N13" s="116"/>
      <c r="O13" s="114" t="s">
        <v>20</v>
      </c>
      <c r="P13" s="114" t="s">
        <v>542</v>
      </c>
      <c r="Q13" s="114" t="s">
        <v>519</v>
      </c>
      <c r="R13" s="115" t="s">
        <v>491</v>
      </c>
      <c r="S13" s="80">
        <v>45498</v>
      </c>
      <c r="T13" s="112" t="s">
        <v>543</v>
      </c>
      <c r="U13" s="103"/>
      <c r="V13" s="103"/>
      <c r="W13" s="103"/>
      <c r="X13" s="103"/>
      <c r="Y13" s="103"/>
      <c r="Z13" s="103"/>
      <c r="AA13" s="103"/>
    </row>
    <row r="14" spans="1:27">
      <c r="A14" s="111" t="s">
        <v>544</v>
      </c>
      <c r="B14" s="112" t="s">
        <v>545</v>
      </c>
      <c r="C14" s="113" t="s">
        <v>546</v>
      </c>
      <c r="D14" s="114" t="s">
        <v>470</v>
      </c>
      <c r="E14" s="114" t="s">
        <v>479</v>
      </c>
      <c r="F14" s="80">
        <v>45317</v>
      </c>
      <c r="G14" s="115" t="s">
        <v>547</v>
      </c>
      <c r="H14" s="116"/>
      <c r="I14" s="116"/>
      <c r="J14" s="116"/>
      <c r="K14" s="116"/>
      <c r="L14" s="115" t="s">
        <v>18</v>
      </c>
      <c r="M14" s="115" t="s">
        <v>481</v>
      </c>
      <c r="N14" s="116"/>
      <c r="O14" s="125" t="s">
        <v>47</v>
      </c>
      <c r="P14" s="114" t="s">
        <v>548</v>
      </c>
      <c r="Q14" s="114" t="s">
        <v>549</v>
      </c>
      <c r="R14" s="115" t="s">
        <v>550</v>
      </c>
      <c r="S14" s="127">
        <v>45582</v>
      </c>
      <c r="T14" s="112" t="s">
        <v>551</v>
      </c>
      <c r="U14" s="132" t="s">
        <v>552</v>
      </c>
      <c r="V14" s="103"/>
      <c r="W14" s="103"/>
      <c r="X14" s="103"/>
      <c r="Y14" s="103"/>
      <c r="Z14" s="103"/>
      <c r="AA14" s="103"/>
    </row>
    <row r="15" spans="1:27">
      <c r="A15" s="111" t="s">
        <v>553</v>
      </c>
      <c r="B15" s="112" t="s">
        <v>554</v>
      </c>
      <c r="C15" s="113" t="s">
        <v>546</v>
      </c>
      <c r="D15" s="114" t="s">
        <v>470</v>
      </c>
      <c r="E15" s="114" t="s">
        <v>479</v>
      </c>
      <c r="F15" s="80">
        <v>45313</v>
      </c>
      <c r="G15" s="115" t="s">
        <v>555</v>
      </c>
      <c r="H15" s="114" t="s">
        <v>556</v>
      </c>
      <c r="I15" s="124">
        <v>45544</v>
      </c>
      <c r="J15" s="116"/>
      <c r="K15" s="116"/>
      <c r="L15" s="115" t="s">
        <v>18</v>
      </c>
      <c r="M15" s="115" t="s">
        <v>481</v>
      </c>
      <c r="N15" s="116"/>
      <c r="O15" s="117" t="s">
        <v>27</v>
      </c>
      <c r="P15" s="114" t="s">
        <v>557</v>
      </c>
      <c r="Q15" s="114" t="s">
        <v>549</v>
      </c>
      <c r="R15" s="115" t="s">
        <v>491</v>
      </c>
      <c r="S15" s="80">
        <v>45544</v>
      </c>
      <c r="T15" s="112" t="s">
        <v>558</v>
      </c>
      <c r="U15" s="103"/>
      <c r="V15" s="103"/>
      <c r="W15" s="103"/>
      <c r="X15" s="103"/>
      <c r="Y15" s="103"/>
      <c r="Z15" s="103"/>
      <c r="AA15" s="103"/>
    </row>
    <row r="16" spans="1:27">
      <c r="A16" s="111" t="s">
        <v>559</v>
      </c>
      <c r="B16" s="112" t="s">
        <v>560</v>
      </c>
      <c r="C16" s="113" t="s">
        <v>546</v>
      </c>
      <c r="D16" s="114" t="s">
        <v>521</v>
      </c>
      <c r="E16" s="114" t="s">
        <v>561</v>
      </c>
      <c r="F16" s="80">
        <v>45308</v>
      </c>
      <c r="G16" s="115" t="s">
        <v>562</v>
      </c>
      <c r="H16" s="124">
        <v>45463</v>
      </c>
      <c r="I16" s="124">
        <v>45468</v>
      </c>
      <c r="J16" s="116"/>
      <c r="K16" s="116"/>
      <c r="L16" s="115" t="s">
        <v>18</v>
      </c>
      <c r="M16" s="114" t="s">
        <v>563</v>
      </c>
      <c r="N16" s="116"/>
      <c r="O16" s="114" t="s">
        <v>20</v>
      </c>
      <c r="P16" s="114" t="s">
        <v>519</v>
      </c>
      <c r="Q16" s="114" t="s">
        <v>564</v>
      </c>
      <c r="R16" s="115" t="s">
        <v>521</v>
      </c>
      <c r="S16" s="80">
        <v>45469</v>
      </c>
      <c r="T16" s="112" t="s">
        <v>565</v>
      </c>
      <c r="U16" s="103"/>
      <c r="V16" s="103"/>
      <c r="W16" s="103"/>
      <c r="X16" s="103"/>
      <c r="Y16" s="103"/>
      <c r="Z16" s="103"/>
      <c r="AA16" s="103"/>
    </row>
    <row r="17" spans="1:27">
      <c r="A17" s="111" t="s">
        <v>566</v>
      </c>
      <c r="B17" s="112" t="s">
        <v>567</v>
      </c>
      <c r="C17" s="113" t="s">
        <v>546</v>
      </c>
      <c r="D17" s="114" t="s">
        <v>470</v>
      </c>
      <c r="E17" s="114" t="s">
        <v>479</v>
      </c>
      <c r="F17" s="127">
        <v>45250</v>
      </c>
      <c r="G17" s="115" t="s">
        <v>568</v>
      </c>
      <c r="H17" s="124">
        <v>45516</v>
      </c>
      <c r="I17" s="124">
        <v>45520</v>
      </c>
      <c r="J17" s="116"/>
      <c r="K17" s="114" t="s">
        <v>569</v>
      </c>
      <c r="L17" s="115" t="s">
        <v>18</v>
      </c>
      <c r="M17" s="114" t="s">
        <v>508</v>
      </c>
      <c r="N17" s="116"/>
      <c r="O17" s="114" t="s">
        <v>20</v>
      </c>
      <c r="P17" s="114" t="s">
        <v>570</v>
      </c>
      <c r="Q17" s="114" t="s">
        <v>571</v>
      </c>
      <c r="R17" s="115" t="s">
        <v>550</v>
      </c>
      <c r="S17" s="127">
        <v>45582</v>
      </c>
      <c r="T17" s="112" t="s">
        <v>572</v>
      </c>
      <c r="U17" s="103"/>
      <c r="V17" s="103"/>
      <c r="W17" s="103"/>
      <c r="X17" s="103"/>
      <c r="Y17" s="103"/>
      <c r="Z17" s="103"/>
      <c r="AA17" s="103"/>
    </row>
    <row r="18" spans="1:27">
      <c r="A18" s="111" t="s">
        <v>573</v>
      </c>
      <c r="B18" s="112" t="s">
        <v>574</v>
      </c>
      <c r="C18" s="113" t="s">
        <v>546</v>
      </c>
      <c r="D18" s="114" t="s">
        <v>575</v>
      </c>
      <c r="E18" s="114" t="s">
        <v>516</v>
      </c>
      <c r="F18" s="80">
        <v>45099</v>
      </c>
      <c r="G18" s="115" t="s">
        <v>576</v>
      </c>
      <c r="H18" s="124">
        <v>45665</v>
      </c>
      <c r="I18" s="124">
        <v>45686</v>
      </c>
      <c r="J18" s="116"/>
      <c r="K18" s="116"/>
      <c r="L18" s="115" t="s">
        <v>30</v>
      </c>
      <c r="M18" s="115" t="s">
        <v>481</v>
      </c>
      <c r="N18" s="116"/>
      <c r="O18" s="117" t="s">
        <v>27</v>
      </c>
      <c r="P18" s="114" t="s">
        <v>577</v>
      </c>
      <c r="Q18" s="114" t="s">
        <v>509</v>
      </c>
      <c r="R18" s="115" t="s">
        <v>511</v>
      </c>
      <c r="S18" s="80">
        <v>45691</v>
      </c>
      <c r="T18" s="112" t="s">
        <v>578</v>
      </c>
      <c r="U18" s="132" t="s">
        <v>579</v>
      </c>
      <c r="V18" s="133" t="s">
        <v>580</v>
      </c>
      <c r="W18" s="103"/>
      <c r="X18" s="134" t="s">
        <v>581</v>
      </c>
      <c r="Y18" s="103"/>
      <c r="Z18" s="103"/>
      <c r="AA18" s="103"/>
    </row>
    <row r="19" spans="1:27">
      <c r="A19" s="119" t="s">
        <v>582</v>
      </c>
      <c r="B19" s="112" t="s">
        <v>583</v>
      </c>
      <c r="C19" s="113" t="s">
        <v>584</v>
      </c>
      <c r="D19" s="114" t="s">
        <v>478</v>
      </c>
      <c r="E19" s="114" t="s">
        <v>479</v>
      </c>
      <c r="F19" s="80">
        <v>45049</v>
      </c>
      <c r="G19" s="115" t="s">
        <v>585</v>
      </c>
      <c r="H19" s="123"/>
      <c r="I19" s="123"/>
      <c r="J19" s="123"/>
      <c r="K19" s="123"/>
      <c r="L19" s="42" t="s">
        <v>30</v>
      </c>
      <c r="M19" s="114" t="s">
        <v>481</v>
      </c>
      <c r="N19" s="42" t="s">
        <v>586</v>
      </c>
      <c r="O19" s="117" t="s">
        <v>27</v>
      </c>
      <c r="P19" s="114" t="s">
        <v>577</v>
      </c>
      <c r="Q19" s="114" t="s">
        <v>587</v>
      </c>
      <c r="R19" s="115" t="s">
        <v>588</v>
      </c>
      <c r="S19" s="80">
        <v>45552</v>
      </c>
      <c r="T19" s="120" t="s">
        <v>589</v>
      </c>
      <c r="U19" s="132" t="s">
        <v>590</v>
      </c>
      <c r="V19" s="133" t="s">
        <v>591</v>
      </c>
      <c r="W19" s="103"/>
      <c r="X19" s="103"/>
      <c r="Y19" s="103"/>
      <c r="Z19" s="103"/>
      <c r="AA19" s="103"/>
    </row>
    <row r="20" spans="1:27">
      <c r="A20" s="111" t="s">
        <v>592</v>
      </c>
      <c r="B20" s="112" t="s">
        <v>593</v>
      </c>
      <c r="C20" s="113" t="s">
        <v>546</v>
      </c>
      <c r="D20" s="114" t="s">
        <v>470</v>
      </c>
      <c r="E20" s="114" t="s">
        <v>479</v>
      </c>
      <c r="F20" s="80">
        <v>45307</v>
      </c>
      <c r="G20" s="115" t="s">
        <v>594</v>
      </c>
      <c r="H20" s="116"/>
      <c r="I20" s="116"/>
      <c r="J20" s="116"/>
      <c r="K20" s="116"/>
      <c r="L20" s="42" t="s">
        <v>30</v>
      </c>
      <c r="M20" s="114" t="s">
        <v>481</v>
      </c>
      <c r="N20" s="116"/>
      <c r="O20" s="117" t="s">
        <v>27</v>
      </c>
      <c r="P20" s="114" t="s">
        <v>595</v>
      </c>
      <c r="Q20" s="114" t="s">
        <v>596</v>
      </c>
      <c r="R20" s="115" t="s">
        <v>597</v>
      </c>
      <c r="S20" s="124">
        <v>45574</v>
      </c>
      <c r="T20" s="112" t="s">
        <v>598</v>
      </c>
      <c r="U20" s="132" t="s">
        <v>599</v>
      </c>
      <c r="V20" s="135" t="s">
        <v>600</v>
      </c>
      <c r="W20" s="103"/>
      <c r="X20" s="103"/>
      <c r="Y20" s="103"/>
      <c r="Z20" s="103"/>
      <c r="AA20" s="103"/>
    </row>
    <row r="21" spans="1:27">
      <c r="A21" s="111" t="s">
        <v>601</v>
      </c>
      <c r="B21" s="112" t="s">
        <v>602</v>
      </c>
      <c r="C21" s="113" t="s">
        <v>546</v>
      </c>
      <c r="D21" s="114" t="s">
        <v>470</v>
      </c>
      <c r="E21" s="114" t="s">
        <v>603</v>
      </c>
      <c r="F21" s="80">
        <v>45231</v>
      </c>
      <c r="G21" s="115" t="s">
        <v>604</v>
      </c>
      <c r="H21" s="124">
        <v>45454</v>
      </c>
      <c r="I21" s="124">
        <v>45456</v>
      </c>
      <c r="J21" s="116"/>
      <c r="K21" s="124">
        <v>45569</v>
      </c>
      <c r="L21" s="42" t="s">
        <v>30</v>
      </c>
      <c r="M21" s="114" t="s">
        <v>563</v>
      </c>
      <c r="N21" s="116"/>
      <c r="O21" s="114" t="s">
        <v>20</v>
      </c>
      <c r="P21" s="114" t="s">
        <v>605</v>
      </c>
      <c r="Q21" s="114" t="s">
        <v>606</v>
      </c>
      <c r="R21" s="115" t="s">
        <v>491</v>
      </c>
      <c r="S21" s="130">
        <v>45587</v>
      </c>
      <c r="T21" s="112" t="s">
        <v>607</v>
      </c>
      <c r="U21" s="103"/>
      <c r="V21" s="103"/>
      <c r="W21" s="103"/>
      <c r="X21" s="103"/>
      <c r="Y21" s="103"/>
      <c r="Z21" s="103"/>
      <c r="AA21" s="103"/>
    </row>
    <row r="22" spans="1:27">
      <c r="A22" s="119" t="s">
        <v>608</v>
      </c>
      <c r="B22" s="112" t="s">
        <v>609</v>
      </c>
      <c r="C22" s="113" t="s">
        <v>584</v>
      </c>
      <c r="D22" s="114" t="s">
        <v>610</v>
      </c>
      <c r="E22" s="114" t="s">
        <v>611</v>
      </c>
      <c r="F22" s="39">
        <v>45098</v>
      </c>
      <c r="G22" s="115" t="s">
        <v>612</v>
      </c>
      <c r="H22" s="123"/>
      <c r="I22" s="123"/>
      <c r="J22" s="123"/>
      <c r="K22" s="123"/>
      <c r="L22" s="42" t="s">
        <v>30</v>
      </c>
      <c r="M22" s="42" t="s">
        <v>508</v>
      </c>
      <c r="N22" s="42" t="s">
        <v>613</v>
      </c>
      <c r="O22" s="125" t="s">
        <v>47</v>
      </c>
      <c r="P22" s="114" t="s">
        <v>614</v>
      </c>
      <c r="Q22" s="114" t="s">
        <v>615</v>
      </c>
      <c r="R22" s="115" t="s">
        <v>485</v>
      </c>
      <c r="S22" s="124">
        <v>45355</v>
      </c>
      <c r="T22" s="120" t="s">
        <v>616</v>
      </c>
      <c r="U22" s="103"/>
      <c r="V22" s="103"/>
      <c r="W22" s="103"/>
      <c r="X22" s="103"/>
      <c r="Y22" s="103"/>
      <c r="Z22" s="103"/>
      <c r="AA22" s="103"/>
    </row>
    <row r="23" spans="1:27">
      <c r="A23" s="119" t="s">
        <v>617</v>
      </c>
      <c r="B23" s="112" t="s">
        <v>618</v>
      </c>
      <c r="C23" s="113" t="s">
        <v>546</v>
      </c>
      <c r="D23" s="114" t="s">
        <v>478</v>
      </c>
      <c r="E23" s="114" t="s">
        <v>479</v>
      </c>
      <c r="F23" s="39">
        <v>45062</v>
      </c>
      <c r="G23" s="115" t="s">
        <v>619</v>
      </c>
      <c r="H23" s="123"/>
      <c r="I23" s="123"/>
      <c r="J23" s="123"/>
      <c r="K23" s="123"/>
      <c r="L23" s="42" t="s">
        <v>18</v>
      </c>
      <c r="M23" s="114" t="s">
        <v>481</v>
      </c>
      <c r="N23" s="123"/>
      <c r="O23" s="114" t="s">
        <v>620</v>
      </c>
      <c r="P23" s="114" t="s">
        <v>500</v>
      </c>
      <c r="Q23" s="114" t="s">
        <v>501</v>
      </c>
      <c r="R23" s="115" t="s">
        <v>597</v>
      </c>
      <c r="S23" s="39">
        <v>45539</v>
      </c>
      <c r="T23" s="120" t="s">
        <v>621</v>
      </c>
      <c r="U23" s="103"/>
      <c r="V23" s="103"/>
      <c r="W23" s="103"/>
      <c r="X23" s="103"/>
      <c r="Y23" s="103"/>
      <c r="Z23" s="103"/>
      <c r="AA23" s="103"/>
    </row>
    <row r="24" spans="1:27">
      <c r="A24" s="119" t="s">
        <v>622</v>
      </c>
      <c r="B24" s="112" t="s">
        <v>623</v>
      </c>
      <c r="C24" s="113" t="s">
        <v>624</v>
      </c>
      <c r="D24" s="114" t="s">
        <v>470</v>
      </c>
      <c r="E24" s="114" t="s">
        <v>479</v>
      </c>
      <c r="F24" s="39">
        <v>45324</v>
      </c>
      <c r="G24" s="115" t="s">
        <v>625</v>
      </c>
      <c r="H24" s="124">
        <v>45362</v>
      </c>
      <c r="I24" s="124">
        <v>45392</v>
      </c>
      <c r="J24" s="116"/>
      <c r="K24" s="114" t="s">
        <v>626</v>
      </c>
      <c r="L24" s="42" t="s">
        <v>18</v>
      </c>
      <c r="M24" s="114" t="s">
        <v>44</v>
      </c>
      <c r="N24" s="116"/>
      <c r="O24" s="114" t="s">
        <v>20</v>
      </c>
      <c r="P24" s="114" t="s">
        <v>627</v>
      </c>
      <c r="Q24" s="114" t="s">
        <v>549</v>
      </c>
      <c r="R24" s="115" t="s">
        <v>628</v>
      </c>
      <c r="S24" s="39">
        <v>45454</v>
      </c>
      <c r="T24" s="120" t="s">
        <v>629</v>
      </c>
      <c r="U24" s="103"/>
      <c r="V24" s="103"/>
      <c r="W24" s="103"/>
      <c r="X24" s="103"/>
      <c r="Y24" s="103"/>
      <c r="Z24" s="103"/>
      <c r="AA24" s="103"/>
    </row>
    <row r="25" spans="1:27">
      <c r="A25" s="119" t="s">
        <v>630</v>
      </c>
      <c r="B25" s="112" t="s">
        <v>631</v>
      </c>
      <c r="C25" s="113" t="s">
        <v>624</v>
      </c>
      <c r="D25" s="114" t="s">
        <v>470</v>
      </c>
      <c r="E25" s="114" t="s">
        <v>479</v>
      </c>
      <c r="F25" s="39">
        <v>45327</v>
      </c>
      <c r="G25" s="115" t="s">
        <v>632</v>
      </c>
      <c r="H25" s="124">
        <v>45377</v>
      </c>
      <c r="I25" s="124">
        <v>45393</v>
      </c>
      <c r="J25" s="116"/>
      <c r="K25" s="124">
        <v>45407</v>
      </c>
      <c r="L25" s="42" t="s">
        <v>18</v>
      </c>
      <c r="M25" s="114" t="s">
        <v>44</v>
      </c>
      <c r="N25" s="116"/>
      <c r="O25" s="114" t="s">
        <v>20</v>
      </c>
      <c r="P25" s="114" t="s">
        <v>627</v>
      </c>
      <c r="Q25" s="114" t="s">
        <v>549</v>
      </c>
      <c r="R25" s="115" t="s">
        <v>491</v>
      </c>
      <c r="S25" s="39">
        <v>45498</v>
      </c>
      <c r="T25" s="120" t="s">
        <v>633</v>
      </c>
      <c r="U25" s="103"/>
      <c r="V25" s="103"/>
      <c r="W25" s="103"/>
      <c r="X25" s="103"/>
      <c r="Y25" s="103"/>
      <c r="Z25" s="103"/>
      <c r="AA25" s="103"/>
    </row>
    <row r="26" spans="1:27">
      <c r="A26" s="119" t="s">
        <v>634</v>
      </c>
      <c r="B26" s="112" t="s">
        <v>635</v>
      </c>
      <c r="C26" s="113" t="s">
        <v>584</v>
      </c>
      <c r="D26" s="114" t="s">
        <v>636</v>
      </c>
      <c r="E26" s="114" t="s">
        <v>636</v>
      </c>
      <c r="F26" s="127">
        <v>45271</v>
      </c>
      <c r="G26" s="115" t="s">
        <v>637</v>
      </c>
      <c r="H26" s="124">
        <v>45434</v>
      </c>
      <c r="I26" s="124">
        <v>45453</v>
      </c>
      <c r="J26" s="116"/>
      <c r="K26" s="124">
        <v>45477</v>
      </c>
      <c r="L26" s="114" t="s">
        <v>18</v>
      </c>
      <c r="M26" s="114" t="s">
        <v>563</v>
      </c>
      <c r="N26" s="116"/>
      <c r="O26" s="114" t="s">
        <v>20</v>
      </c>
      <c r="P26" s="114" t="s">
        <v>638</v>
      </c>
      <c r="Q26" s="114" t="s">
        <v>639</v>
      </c>
      <c r="R26" s="115" t="s">
        <v>491</v>
      </c>
      <c r="S26" s="39">
        <v>45490</v>
      </c>
      <c r="T26" s="112" t="s">
        <v>640</v>
      </c>
      <c r="U26" s="103"/>
      <c r="V26" s="103"/>
      <c r="W26" s="103"/>
      <c r="X26" s="103"/>
      <c r="Y26" s="103"/>
      <c r="Z26" s="103"/>
      <c r="AA26" s="103"/>
    </row>
    <row r="27" spans="1:27">
      <c r="A27" s="119" t="s">
        <v>641</v>
      </c>
      <c r="B27" s="112" t="s">
        <v>642</v>
      </c>
      <c r="C27" s="113" t="s">
        <v>515</v>
      </c>
      <c r="D27" s="114" t="s">
        <v>643</v>
      </c>
      <c r="E27" s="114" t="s">
        <v>643</v>
      </c>
      <c r="F27" s="80">
        <v>45330</v>
      </c>
      <c r="G27" s="115" t="s">
        <v>644</v>
      </c>
      <c r="H27" s="116"/>
      <c r="I27" s="116"/>
      <c r="J27" s="116"/>
      <c r="K27" s="116"/>
      <c r="L27" s="114" t="s">
        <v>30</v>
      </c>
      <c r="M27" s="114" t="s">
        <v>481</v>
      </c>
      <c r="N27" s="116"/>
      <c r="O27" s="125" t="s">
        <v>47</v>
      </c>
      <c r="P27" s="114" t="s">
        <v>519</v>
      </c>
      <c r="Q27" s="114" t="s">
        <v>520</v>
      </c>
      <c r="R27" s="115" t="s">
        <v>645</v>
      </c>
      <c r="S27" s="39">
        <v>45491</v>
      </c>
      <c r="T27" s="113" t="s">
        <v>646</v>
      </c>
      <c r="U27" s="103"/>
      <c r="V27" s="103"/>
      <c r="W27" s="103"/>
      <c r="X27" s="103"/>
      <c r="Y27" s="103"/>
      <c r="Z27" s="103"/>
      <c r="AA27" s="103"/>
    </row>
    <row r="28" spans="1:27">
      <c r="A28" s="119" t="s">
        <v>647</v>
      </c>
      <c r="B28" s="112" t="s">
        <v>648</v>
      </c>
      <c r="C28" s="113" t="s">
        <v>515</v>
      </c>
      <c r="D28" s="114" t="s">
        <v>516</v>
      </c>
      <c r="E28" s="114" t="s">
        <v>649</v>
      </c>
      <c r="F28" s="80">
        <v>45330</v>
      </c>
      <c r="G28" s="115" t="s">
        <v>650</v>
      </c>
      <c r="H28" s="116"/>
      <c r="I28" s="116"/>
      <c r="J28" s="116"/>
      <c r="K28" s="116"/>
      <c r="L28" s="114" t="s">
        <v>30</v>
      </c>
      <c r="M28" s="114" t="s">
        <v>481</v>
      </c>
      <c r="N28" s="116"/>
      <c r="O28" s="117" t="s">
        <v>27</v>
      </c>
      <c r="P28" s="114" t="s">
        <v>519</v>
      </c>
      <c r="Q28" s="114" t="s">
        <v>651</v>
      </c>
      <c r="R28" s="115" t="s">
        <v>521</v>
      </c>
      <c r="S28" s="39">
        <v>45467</v>
      </c>
      <c r="T28" s="112" t="s">
        <v>652</v>
      </c>
      <c r="U28" s="132" t="s">
        <v>653</v>
      </c>
      <c r="V28" s="135" t="s">
        <v>600</v>
      </c>
      <c r="W28" s="103"/>
      <c r="X28" s="103"/>
      <c r="Y28" s="103"/>
      <c r="Z28" s="103"/>
      <c r="AA28" s="103"/>
    </row>
    <row r="29" spans="1:27">
      <c r="A29" s="119" t="s">
        <v>654</v>
      </c>
      <c r="B29" s="112" t="s">
        <v>655</v>
      </c>
      <c r="C29" s="113" t="s">
        <v>515</v>
      </c>
      <c r="D29" s="114" t="s">
        <v>516</v>
      </c>
      <c r="E29" s="114" t="s">
        <v>643</v>
      </c>
      <c r="F29" s="80">
        <v>45330</v>
      </c>
      <c r="G29" s="115" t="s">
        <v>656</v>
      </c>
      <c r="H29" s="116"/>
      <c r="I29" s="116"/>
      <c r="J29" s="116"/>
      <c r="K29" s="116"/>
      <c r="L29" s="114" t="s">
        <v>30</v>
      </c>
      <c r="M29" s="114" t="s">
        <v>481</v>
      </c>
      <c r="N29" s="116"/>
      <c r="O29" s="125" t="s">
        <v>47</v>
      </c>
      <c r="P29" s="114" t="s">
        <v>519</v>
      </c>
      <c r="Q29" s="114" t="s">
        <v>520</v>
      </c>
      <c r="R29" s="115" t="s">
        <v>645</v>
      </c>
      <c r="S29" s="39">
        <v>45491</v>
      </c>
      <c r="T29" s="113" t="s">
        <v>646</v>
      </c>
      <c r="U29" s="103"/>
      <c r="V29" s="103"/>
      <c r="W29" s="103"/>
      <c r="X29" s="103"/>
      <c r="Y29" s="103"/>
      <c r="Z29" s="103"/>
      <c r="AA29" s="103"/>
    </row>
    <row r="30" spans="1:27">
      <c r="A30" s="136" t="s">
        <v>657</v>
      </c>
      <c r="B30" s="137" t="s">
        <v>658</v>
      </c>
      <c r="C30" s="138" t="s">
        <v>539</v>
      </c>
      <c r="D30" s="139" t="s">
        <v>470</v>
      </c>
      <c r="E30" s="139" t="s">
        <v>659</v>
      </c>
      <c r="F30" s="140">
        <v>45338</v>
      </c>
      <c r="G30" s="141" t="s">
        <v>660</v>
      </c>
      <c r="H30" s="142"/>
      <c r="I30" s="142"/>
      <c r="J30" s="142"/>
      <c r="K30" s="142"/>
      <c r="L30" s="139" t="s">
        <v>18</v>
      </c>
      <c r="M30" s="139" t="s">
        <v>44</v>
      </c>
      <c r="N30" s="142"/>
      <c r="O30" s="139" t="s">
        <v>47</v>
      </c>
      <c r="P30" s="139" t="s">
        <v>548</v>
      </c>
      <c r="Q30" s="139" t="s">
        <v>549</v>
      </c>
      <c r="R30" s="141" t="s">
        <v>550</v>
      </c>
      <c r="S30" s="140">
        <v>45377</v>
      </c>
      <c r="T30" s="137" t="s">
        <v>661</v>
      </c>
      <c r="U30" s="143"/>
      <c r="V30" s="143"/>
      <c r="W30" s="143"/>
      <c r="X30" s="143"/>
      <c r="Y30" s="143"/>
      <c r="Z30" s="143"/>
      <c r="AA30" s="143"/>
    </row>
    <row r="31" spans="1:27">
      <c r="A31" s="119" t="s">
        <v>662</v>
      </c>
      <c r="B31" s="112" t="s">
        <v>663</v>
      </c>
      <c r="C31" s="113" t="s">
        <v>515</v>
      </c>
      <c r="D31" s="114" t="s">
        <v>516</v>
      </c>
      <c r="E31" s="114" t="s">
        <v>636</v>
      </c>
      <c r="F31" s="80">
        <v>45338</v>
      </c>
      <c r="G31" s="115" t="s">
        <v>664</v>
      </c>
      <c r="H31" s="116"/>
      <c r="I31" s="116"/>
      <c r="J31" s="116"/>
      <c r="K31" s="116"/>
      <c r="L31" s="114" t="s">
        <v>18</v>
      </c>
      <c r="M31" s="114" t="s">
        <v>563</v>
      </c>
      <c r="N31" s="116"/>
      <c r="O31" s="114" t="s">
        <v>665</v>
      </c>
      <c r="P31" s="114" t="s">
        <v>666</v>
      </c>
      <c r="Q31" s="114" t="s">
        <v>667</v>
      </c>
      <c r="R31" s="115" t="s">
        <v>668</v>
      </c>
      <c r="S31" s="39">
        <v>45544</v>
      </c>
      <c r="T31" s="120" t="s">
        <v>669</v>
      </c>
      <c r="U31" s="103"/>
      <c r="V31" s="103"/>
      <c r="W31" s="103"/>
      <c r="X31" s="103"/>
      <c r="Y31" s="103"/>
      <c r="Z31" s="103"/>
      <c r="AA31" s="103"/>
    </row>
    <row r="32" spans="1:27">
      <c r="A32" s="119" t="s">
        <v>670</v>
      </c>
      <c r="B32" s="112" t="s">
        <v>671</v>
      </c>
      <c r="C32" s="113" t="s">
        <v>515</v>
      </c>
      <c r="D32" s="114" t="s">
        <v>516</v>
      </c>
      <c r="E32" s="114" t="s">
        <v>672</v>
      </c>
      <c r="F32" s="80">
        <v>45314</v>
      </c>
      <c r="G32" s="115" t="s">
        <v>673</v>
      </c>
      <c r="H32" s="116"/>
      <c r="I32" s="116"/>
      <c r="J32" s="116"/>
      <c r="K32" s="116"/>
      <c r="L32" s="114" t="s">
        <v>30</v>
      </c>
      <c r="M32" s="42" t="s">
        <v>481</v>
      </c>
      <c r="N32" s="116"/>
      <c r="O32" s="125" t="s">
        <v>47</v>
      </c>
      <c r="P32" s="114" t="s">
        <v>520</v>
      </c>
      <c r="Q32" s="114" t="s">
        <v>519</v>
      </c>
      <c r="R32" s="115" t="s">
        <v>645</v>
      </c>
      <c r="S32" s="39">
        <v>45491</v>
      </c>
      <c r="T32" s="120" t="s">
        <v>674</v>
      </c>
      <c r="U32" s="103"/>
      <c r="V32" s="103"/>
      <c r="W32" s="103"/>
      <c r="X32" s="103"/>
      <c r="Y32" s="103"/>
      <c r="Z32" s="103"/>
      <c r="AA32" s="103"/>
    </row>
    <row r="33" spans="1:27">
      <c r="A33" s="111" t="s">
        <v>675</v>
      </c>
      <c r="B33" s="112" t="s">
        <v>676</v>
      </c>
      <c r="C33" s="113" t="s">
        <v>539</v>
      </c>
      <c r="D33" s="114" t="s">
        <v>470</v>
      </c>
      <c r="E33" s="114" t="s">
        <v>516</v>
      </c>
      <c r="F33" s="80">
        <v>45322</v>
      </c>
      <c r="G33" s="115" t="s">
        <v>677</v>
      </c>
      <c r="H33" s="124">
        <v>45509</v>
      </c>
      <c r="I33" s="124">
        <v>45510</v>
      </c>
      <c r="J33" s="116"/>
      <c r="K33" s="114" t="s">
        <v>678</v>
      </c>
      <c r="L33" s="114" t="s">
        <v>30</v>
      </c>
      <c r="M33" s="114" t="s">
        <v>44</v>
      </c>
      <c r="N33" s="116"/>
      <c r="O33" s="114" t="s">
        <v>20</v>
      </c>
      <c r="P33" s="114" t="s">
        <v>679</v>
      </c>
      <c r="Q33" s="114" t="s">
        <v>680</v>
      </c>
      <c r="R33" s="115" t="s">
        <v>491</v>
      </c>
      <c r="S33" s="39">
        <v>45559</v>
      </c>
      <c r="T33" s="112" t="s">
        <v>681</v>
      </c>
      <c r="U33" s="103"/>
      <c r="V33" s="103"/>
      <c r="W33" s="103"/>
      <c r="X33" s="103"/>
      <c r="Y33" s="103"/>
      <c r="Z33" s="103"/>
      <c r="AA33" s="103"/>
    </row>
    <row r="34" spans="1:27">
      <c r="A34" s="111" t="s">
        <v>682</v>
      </c>
      <c r="B34" s="112" t="s">
        <v>683</v>
      </c>
      <c r="C34" s="113" t="s">
        <v>546</v>
      </c>
      <c r="D34" s="114" t="s">
        <v>684</v>
      </c>
      <c r="E34" s="114" t="s">
        <v>685</v>
      </c>
      <c r="F34" s="80">
        <v>45173</v>
      </c>
      <c r="G34" s="115" t="s">
        <v>686</v>
      </c>
      <c r="H34" s="116"/>
      <c r="I34" s="116"/>
      <c r="J34" s="116"/>
      <c r="K34" s="116"/>
      <c r="L34" s="114" t="s">
        <v>30</v>
      </c>
      <c r="M34" s="114" t="s">
        <v>481</v>
      </c>
      <c r="N34" s="116"/>
      <c r="O34" s="117" t="s">
        <v>27</v>
      </c>
      <c r="P34" s="114" t="s">
        <v>687</v>
      </c>
      <c r="Q34" s="114" t="s">
        <v>688</v>
      </c>
      <c r="R34" s="115" t="s">
        <v>689</v>
      </c>
      <c r="S34" s="39">
        <v>45692</v>
      </c>
      <c r="T34" s="120" t="s">
        <v>690</v>
      </c>
      <c r="U34" s="132" t="s">
        <v>691</v>
      </c>
      <c r="V34" s="135" t="s">
        <v>600</v>
      </c>
      <c r="W34" s="103"/>
      <c r="X34" s="103"/>
      <c r="Y34" s="103"/>
      <c r="Z34" s="103"/>
      <c r="AA34" s="103"/>
    </row>
    <row r="35" spans="1:27">
      <c r="A35" s="111" t="s">
        <v>692</v>
      </c>
      <c r="B35" s="112" t="s">
        <v>693</v>
      </c>
      <c r="C35" s="113" t="s">
        <v>539</v>
      </c>
      <c r="D35" s="114" t="s">
        <v>470</v>
      </c>
      <c r="E35" s="114" t="s">
        <v>479</v>
      </c>
      <c r="F35" s="80">
        <v>45341</v>
      </c>
      <c r="G35" s="115" t="s">
        <v>694</v>
      </c>
      <c r="H35" s="124">
        <v>45425</v>
      </c>
      <c r="I35" s="116"/>
      <c r="J35" s="116"/>
      <c r="K35" s="116"/>
      <c r="L35" s="114" t="s">
        <v>18</v>
      </c>
      <c r="M35" s="114" t="s">
        <v>44</v>
      </c>
      <c r="N35" s="116"/>
      <c r="O35" s="117" t="s">
        <v>27</v>
      </c>
      <c r="P35" s="114" t="s">
        <v>548</v>
      </c>
      <c r="Q35" s="114" t="s">
        <v>549</v>
      </c>
      <c r="R35" s="115" t="s">
        <v>550</v>
      </c>
      <c r="S35" s="90">
        <v>45582</v>
      </c>
      <c r="T35" s="116"/>
      <c r="U35" s="103"/>
      <c r="V35" s="103"/>
      <c r="W35" s="103"/>
      <c r="X35" s="103"/>
      <c r="Y35" s="103"/>
      <c r="Z35" s="103"/>
      <c r="AA35" s="103"/>
    </row>
    <row r="36" spans="1:27">
      <c r="A36" s="111" t="s">
        <v>695</v>
      </c>
      <c r="B36" s="112" t="s">
        <v>696</v>
      </c>
      <c r="C36" s="113" t="s">
        <v>469</v>
      </c>
      <c r="D36" s="114" t="s">
        <v>470</v>
      </c>
      <c r="E36" s="114" t="s">
        <v>697</v>
      </c>
      <c r="F36" s="80">
        <v>45341</v>
      </c>
      <c r="G36" s="115" t="s">
        <v>698</v>
      </c>
      <c r="H36" s="124">
        <v>45425</v>
      </c>
      <c r="I36" s="124">
        <v>45433</v>
      </c>
      <c r="J36" s="116"/>
      <c r="K36" s="124">
        <v>45439</v>
      </c>
      <c r="L36" s="114" t="s">
        <v>18</v>
      </c>
      <c r="M36" s="114" t="s">
        <v>699</v>
      </c>
      <c r="N36" s="116"/>
      <c r="O36" s="114" t="s">
        <v>20</v>
      </c>
      <c r="P36" s="114" t="s">
        <v>700</v>
      </c>
      <c r="Q36" s="114" t="s">
        <v>701</v>
      </c>
      <c r="R36" s="115" t="s">
        <v>491</v>
      </c>
      <c r="S36" s="39">
        <v>45498</v>
      </c>
      <c r="T36" s="112" t="s">
        <v>702</v>
      </c>
      <c r="U36" s="103"/>
      <c r="V36" s="103"/>
      <c r="W36" s="103"/>
      <c r="X36" s="103"/>
      <c r="Y36" s="103"/>
      <c r="Z36" s="103"/>
      <c r="AA36" s="103"/>
    </row>
    <row r="37" spans="1:27">
      <c r="A37" s="111" t="s">
        <v>703</v>
      </c>
      <c r="B37" s="112" t="s">
        <v>704</v>
      </c>
      <c r="C37" s="113" t="s">
        <v>469</v>
      </c>
      <c r="D37" s="114" t="s">
        <v>470</v>
      </c>
      <c r="E37" s="114" t="s">
        <v>685</v>
      </c>
      <c r="F37" s="127">
        <v>45259</v>
      </c>
      <c r="G37" s="115" t="s">
        <v>705</v>
      </c>
      <c r="H37" s="124">
        <v>45567</v>
      </c>
      <c r="I37" s="124">
        <v>45512</v>
      </c>
      <c r="J37" s="116"/>
      <c r="K37" s="124">
        <v>45552</v>
      </c>
      <c r="L37" s="114" t="s">
        <v>18</v>
      </c>
      <c r="M37" s="114" t="s">
        <v>508</v>
      </c>
      <c r="N37" s="116"/>
      <c r="O37" s="114" t="s">
        <v>20</v>
      </c>
      <c r="P37" s="114" t="s">
        <v>706</v>
      </c>
      <c r="Q37" s="114" t="s">
        <v>707</v>
      </c>
      <c r="R37" s="115" t="s">
        <v>491</v>
      </c>
      <c r="S37" s="90">
        <v>45575</v>
      </c>
      <c r="T37" s="112" t="s">
        <v>708</v>
      </c>
      <c r="U37" s="103"/>
      <c r="V37" s="103"/>
      <c r="W37" s="103"/>
      <c r="X37" s="103"/>
      <c r="Y37" s="103"/>
      <c r="Z37" s="103"/>
      <c r="AA37" s="103"/>
    </row>
    <row r="38" spans="1:27">
      <c r="A38" s="111" t="s">
        <v>709</v>
      </c>
      <c r="B38" s="112" t="s">
        <v>710</v>
      </c>
      <c r="C38" s="113" t="s">
        <v>515</v>
      </c>
      <c r="D38" s="114" t="s">
        <v>516</v>
      </c>
      <c r="E38" s="114" t="s">
        <v>711</v>
      </c>
      <c r="F38" s="127">
        <v>45247</v>
      </c>
      <c r="G38" s="115" t="s">
        <v>712</v>
      </c>
      <c r="H38" s="124">
        <v>45434</v>
      </c>
      <c r="I38" s="124">
        <v>45436</v>
      </c>
      <c r="J38" s="116"/>
      <c r="K38" s="124">
        <v>45450</v>
      </c>
      <c r="L38" s="114" t="s">
        <v>18</v>
      </c>
      <c r="M38" s="114" t="s">
        <v>563</v>
      </c>
      <c r="N38" s="115" t="s">
        <v>713</v>
      </c>
      <c r="O38" s="114" t="s">
        <v>20</v>
      </c>
      <c r="P38" s="114" t="s">
        <v>638</v>
      </c>
      <c r="Q38" s="114" t="s">
        <v>714</v>
      </c>
      <c r="R38" s="115" t="s">
        <v>668</v>
      </c>
      <c r="S38" s="39">
        <v>45502</v>
      </c>
      <c r="T38" s="112" t="s">
        <v>715</v>
      </c>
      <c r="U38" s="103"/>
      <c r="V38" s="103"/>
      <c r="W38" s="103"/>
      <c r="X38" s="103"/>
      <c r="Y38" s="103"/>
      <c r="Z38" s="103"/>
      <c r="AA38" s="103"/>
    </row>
    <row r="39" spans="1:27">
      <c r="A39" s="111" t="s">
        <v>716</v>
      </c>
      <c r="B39" s="112" t="s">
        <v>717</v>
      </c>
      <c r="C39" s="113" t="s">
        <v>469</v>
      </c>
      <c r="D39" s="290" t="s">
        <v>470</v>
      </c>
      <c r="E39" s="291"/>
      <c r="F39" s="80">
        <v>45366</v>
      </c>
      <c r="G39" s="115" t="s">
        <v>718</v>
      </c>
      <c r="H39" s="116"/>
      <c r="I39" s="116"/>
      <c r="J39" s="116"/>
      <c r="K39" s="116"/>
      <c r="L39" s="114" t="s">
        <v>18</v>
      </c>
      <c r="M39" s="114" t="s">
        <v>44</v>
      </c>
      <c r="N39" s="116"/>
      <c r="O39" s="125" t="s">
        <v>47</v>
      </c>
      <c r="P39" s="114" t="s">
        <v>719</v>
      </c>
      <c r="Q39" s="114" t="s">
        <v>577</v>
      </c>
      <c r="R39" s="115" t="s">
        <v>550</v>
      </c>
      <c r="S39" s="90">
        <v>45588</v>
      </c>
      <c r="T39" s="112" t="s">
        <v>720</v>
      </c>
      <c r="U39" s="103"/>
      <c r="V39" s="103"/>
      <c r="W39" s="103"/>
      <c r="X39" s="103"/>
      <c r="Y39" s="103"/>
      <c r="Z39" s="103"/>
      <c r="AA39" s="103"/>
    </row>
    <row r="40" spans="1:27">
      <c r="A40" s="111" t="s">
        <v>721</v>
      </c>
      <c r="B40" s="112" t="s">
        <v>722</v>
      </c>
      <c r="C40" s="113" t="s">
        <v>469</v>
      </c>
      <c r="D40" s="114" t="s">
        <v>723</v>
      </c>
      <c r="E40" s="114" t="s">
        <v>724</v>
      </c>
      <c r="F40" s="80">
        <v>45338</v>
      </c>
      <c r="G40" s="115" t="s">
        <v>725</v>
      </c>
      <c r="H40" s="116"/>
      <c r="I40" s="116"/>
      <c r="J40" s="116"/>
      <c r="K40" s="116"/>
      <c r="L40" s="114" t="s">
        <v>30</v>
      </c>
      <c r="M40" s="114" t="s">
        <v>563</v>
      </c>
      <c r="N40" s="116"/>
      <c r="O40" s="125" t="s">
        <v>47</v>
      </c>
      <c r="P40" s="114" t="s">
        <v>726</v>
      </c>
      <c r="Q40" s="114" t="s">
        <v>727</v>
      </c>
      <c r="R40" s="115" t="s">
        <v>728</v>
      </c>
      <c r="S40" s="39">
        <v>45474</v>
      </c>
      <c r="T40" s="112" t="s">
        <v>729</v>
      </c>
      <c r="U40" s="103"/>
      <c r="V40" s="103"/>
      <c r="W40" s="103"/>
      <c r="X40" s="103"/>
      <c r="Y40" s="103"/>
      <c r="Z40" s="103"/>
      <c r="AA40" s="103"/>
    </row>
    <row r="41" spans="1:27">
      <c r="A41" s="111" t="s">
        <v>730</v>
      </c>
      <c r="B41" s="112" t="s">
        <v>731</v>
      </c>
      <c r="C41" s="113" t="s">
        <v>469</v>
      </c>
      <c r="D41" s="114" t="s">
        <v>516</v>
      </c>
      <c r="E41" s="114" t="s">
        <v>732</v>
      </c>
      <c r="F41" s="80">
        <v>45343</v>
      </c>
      <c r="G41" s="115" t="s">
        <v>733</v>
      </c>
      <c r="H41" s="116"/>
      <c r="I41" s="116"/>
      <c r="J41" s="116"/>
      <c r="K41" s="116"/>
      <c r="L41" s="114" t="s">
        <v>18</v>
      </c>
      <c r="M41" s="114" t="s">
        <v>699</v>
      </c>
      <c r="N41" s="116"/>
      <c r="O41" s="125" t="s">
        <v>47</v>
      </c>
      <c r="P41" s="116"/>
      <c r="Q41" s="116"/>
      <c r="R41" s="115" t="s">
        <v>645</v>
      </c>
      <c r="S41" s="39">
        <v>45362</v>
      </c>
      <c r="T41" s="113" t="s">
        <v>734</v>
      </c>
      <c r="U41" s="103"/>
      <c r="V41" s="103"/>
      <c r="W41" s="103"/>
      <c r="X41" s="103"/>
      <c r="Y41" s="103"/>
      <c r="Z41" s="103"/>
      <c r="AA41" s="103"/>
    </row>
    <row r="42" spans="1:27">
      <c r="A42" s="111" t="s">
        <v>735</v>
      </c>
      <c r="B42" s="112" t="s">
        <v>736</v>
      </c>
      <c r="C42" s="113" t="s">
        <v>624</v>
      </c>
      <c r="D42" s="114" t="s">
        <v>470</v>
      </c>
      <c r="E42" s="114" t="s">
        <v>685</v>
      </c>
      <c r="F42" s="80">
        <v>45350</v>
      </c>
      <c r="G42" s="115" t="s">
        <v>737</v>
      </c>
      <c r="H42" s="124">
        <v>45363</v>
      </c>
      <c r="I42" s="124">
        <v>45392</v>
      </c>
      <c r="J42" s="116"/>
      <c r="K42" s="124">
        <v>45398</v>
      </c>
      <c r="L42" s="114" t="s">
        <v>18</v>
      </c>
      <c r="M42" s="114" t="s">
        <v>44</v>
      </c>
      <c r="N42" s="116"/>
      <c r="O42" s="114" t="s">
        <v>20</v>
      </c>
      <c r="P42" s="114" t="s">
        <v>627</v>
      </c>
      <c r="Q42" s="114" t="s">
        <v>549</v>
      </c>
      <c r="R42" s="115" t="s">
        <v>491</v>
      </c>
      <c r="S42" s="39">
        <v>45489</v>
      </c>
      <c r="T42" s="120" t="s">
        <v>738</v>
      </c>
      <c r="U42" s="103"/>
      <c r="V42" s="103"/>
      <c r="W42" s="103"/>
      <c r="X42" s="103"/>
      <c r="Y42" s="103"/>
      <c r="Z42" s="103"/>
      <c r="AA42" s="103"/>
    </row>
    <row r="43" spans="1:27">
      <c r="A43" s="111" t="s">
        <v>739</v>
      </c>
      <c r="B43" s="112" t="s">
        <v>740</v>
      </c>
      <c r="C43" s="113" t="s">
        <v>469</v>
      </c>
      <c r="D43" s="114" t="s">
        <v>478</v>
      </c>
      <c r="E43" s="114" t="s">
        <v>741</v>
      </c>
      <c r="F43" s="80">
        <v>45007</v>
      </c>
      <c r="G43" s="115" t="s">
        <v>742</v>
      </c>
      <c r="H43" s="124">
        <v>45546</v>
      </c>
      <c r="I43" s="124">
        <v>45551</v>
      </c>
      <c r="J43" s="116"/>
      <c r="K43" s="116"/>
      <c r="L43" s="114" t="s">
        <v>30</v>
      </c>
      <c r="M43" s="114" t="s">
        <v>481</v>
      </c>
      <c r="N43" s="116"/>
      <c r="O43" s="117" t="s">
        <v>27</v>
      </c>
      <c r="P43" s="114" t="s">
        <v>743</v>
      </c>
      <c r="Q43" s="114" t="s">
        <v>744</v>
      </c>
      <c r="R43" s="115" t="s">
        <v>745</v>
      </c>
      <c r="S43" s="90">
        <v>45582</v>
      </c>
      <c r="T43" s="120" t="s">
        <v>746</v>
      </c>
      <c r="U43" s="103"/>
      <c r="V43" s="103"/>
      <c r="W43" s="103"/>
      <c r="X43" s="103"/>
      <c r="Y43" s="103"/>
      <c r="Z43" s="103"/>
      <c r="AA43" s="103"/>
    </row>
    <row r="44" spans="1:27">
      <c r="A44" s="111" t="s">
        <v>747</v>
      </c>
      <c r="B44" s="112" t="s">
        <v>748</v>
      </c>
      <c r="C44" s="113" t="s">
        <v>624</v>
      </c>
      <c r="D44" s="114" t="s">
        <v>470</v>
      </c>
      <c r="E44" s="114" t="s">
        <v>685</v>
      </c>
      <c r="F44" s="80">
        <v>45350</v>
      </c>
      <c r="G44" s="115" t="s">
        <v>749</v>
      </c>
      <c r="H44" s="124">
        <v>45371</v>
      </c>
      <c r="I44" s="124">
        <v>45392</v>
      </c>
      <c r="J44" s="116"/>
      <c r="K44" s="114" t="s">
        <v>750</v>
      </c>
      <c r="L44" s="114" t="s">
        <v>18</v>
      </c>
      <c r="M44" s="114" t="s">
        <v>44</v>
      </c>
      <c r="N44" s="116"/>
      <c r="O44" s="125" t="s">
        <v>47</v>
      </c>
      <c r="P44" s="114" t="s">
        <v>627</v>
      </c>
      <c r="Q44" s="114" t="s">
        <v>549</v>
      </c>
      <c r="R44" s="115" t="s">
        <v>491</v>
      </c>
      <c r="S44" s="39">
        <v>45499</v>
      </c>
      <c r="T44" s="120" t="s">
        <v>751</v>
      </c>
      <c r="U44" s="103"/>
      <c r="V44" s="103"/>
      <c r="W44" s="103"/>
      <c r="X44" s="103"/>
      <c r="Y44" s="103"/>
      <c r="Z44" s="103"/>
      <c r="AA44" s="103"/>
    </row>
    <row r="45" spans="1:27">
      <c r="A45" s="111" t="s">
        <v>752</v>
      </c>
      <c r="B45" s="112" t="s">
        <v>753</v>
      </c>
      <c r="C45" s="113" t="s">
        <v>539</v>
      </c>
      <c r="D45" s="114" t="s">
        <v>470</v>
      </c>
      <c r="E45" s="114" t="s">
        <v>516</v>
      </c>
      <c r="F45" s="80">
        <v>45345</v>
      </c>
      <c r="G45" s="115" t="s">
        <v>754</v>
      </c>
      <c r="H45" s="124">
        <v>45384</v>
      </c>
      <c r="I45" s="124">
        <v>45411</v>
      </c>
      <c r="J45" s="116"/>
      <c r="K45" s="124">
        <v>45441</v>
      </c>
      <c r="L45" s="114" t="s">
        <v>18</v>
      </c>
      <c r="M45" s="114" t="s">
        <v>44</v>
      </c>
      <c r="N45" s="116"/>
      <c r="O45" s="114" t="s">
        <v>20</v>
      </c>
      <c r="P45" s="116"/>
      <c r="Q45" s="116"/>
      <c r="R45" s="115" t="s">
        <v>491</v>
      </c>
      <c r="S45" s="39">
        <v>45488</v>
      </c>
      <c r="T45" s="112" t="s">
        <v>755</v>
      </c>
      <c r="U45" s="103"/>
      <c r="V45" s="103"/>
      <c r="W45" s="103"/>
      <c r="X45" s="103"/>
      <c r="Y45" s="103"/>
      <c r="Z45" s="103"/>
      <c r="AA45" s="103"/>
    </row>
    <row r="46" spans="1:27">
      <c r="A46" s="111" t="s">
        <v>756</v>
      </c>
      <c r="B46" s="112" t="s">
        <v>757</v>
      </c>
      <c r="C46" s="113" t="s">
        <v>515</v>
      </c>
      <c r="D46" s="114" t="s">
        <v>516</v>
      </c>
      <c r="E46" s="114" t="s">
        <v>758</v>
      </c>
      <c r="F46" s="80">
        <v>45349</v>
      </c>
      <c r="G46" s="115" t="s">
        <v>759</v>
      </c>
      <c r="H46" s="116"/>
      <c r="I46" s="116"/>
      <c r="J46" s="116"/>
      <c r="K46" s="116"/>
      <c r="L46" s="114" t="s">
        <v>18</v>
      </c>
      <c r="M46" s="114" t="s">
        <v>481</v>
      </c>
      <c r="N46" s="116"/>
      <c r="O46" s="117" t="s">
        <v>27</v>
      </c>
      <c r="P46" s="114" t="s">
        <v>701</v>
      </c>
      <c r="Q46" s="114" t="s">
        <v>760</v>
      </c>
      <c r="R46" s="115" t="s">
        <v>761</v>
      </c>
      <c r="S46" s="39">
        <v>45603</v>
      </c>
      <c r="T46" s="112" t="s">
        <v>762</v>
      </c>
      <c r="U46" s="132" t="s">
        <v>552</v>
      </c>
      <c r="V46" s="133" t="s">
        <v>591</v>
      </c>
      <c r="W46" s="103"/>
      <c r="X46" s="103"/>
      <c r="Y46" s="103"/>
      <c r="Z46" s="103"/>
      <c r="AA46" s="103"/>
    </row>
    <row r="47" spans="1:27">
      <c r="A47" s="111" t="s">
        <v>763</v>
      </c>
      <c r="B47" s="112" t="s">
        <v>764</v>
      </c>
      <c r="C47" s="113" t="s">
        <v>515</v>
      </c>
      <c r="D47" s="114" t="s">
        <v>516</v>
      </c>
      <c r="E47" s="114" t="s">
        <v>765</v>
      </c>
      <c r="F47" s="80">
        <v>45317</v>
      </c>
      <c r="G47" s="115" t="s">
        <v>766</v>
      </c>
      <c r="H47" s="124">
        <v>45337</v>
      </c>
      <c r="I47" s="124">
        <v>45351</v>
      </c>
      <c r="J47" s="116"/>
      <c r="K47" s="124">
        <v>45372</v>
      </c>
      <c r="L47" s="114" t="s">
        <v>30</v>
      </c>
      <c r="M47" s="114" t="s">
        <v>44</v>
      </c>
      <c r="N47" s="116"/>
      <c r="O47" s="114" t="s">
        <v>20</v>
      </c>
      <c r="P47" s="114" t="s">
        <v>519</v>
      </c>
      <c r="Q47" s="114" t="s">
        <v>520</v>
      </c>
      <c r="R47" s="115" t="s">
        <v>491</v>
      </c>
      <c r="S47" s="39">
        <v>45488</v>
      </c>
      <c r="T47" s="112" t="s">
        <v>767</v>
      </c>
      <c r="U47" s="103"/>
      <c r="V47" s="103"/>
      <c r="W47" s="103"/>
      <c r="X47" s="103"/>
      <c r="Y47" s="103"/>
      <c r="Z47" s="103"/>
      <c r="AA47" s="103"/>
    </row>
    <row r="48" spans="1:27">
      <c r="A48" s="111" t="s">
        <v>768</v>
      </c>
      <c r="B48" s="112" t="s">
        <v>769</v>
      </c>
      <c r="C48" s="113" t="s">
        <v>624</v>
      </c>
      <c r="D48" s="114" t="s">
        <v>470</v>
      </c>
      <c r="E48" s="114" t="s">
        <v>685</v>
      </c>
      <c r="F48" s="80">
        <v>45355</v>
      </c>
      <c r="G48" s="115" t="s">
        <v>770</v>
      </c>
      <c r="H48" s="124">
        <v>45369</v>
      </c>
      <c r="I48" s="124">
        <v>45392</v>
      </c>
      <c r="J48" s="116"/>
      <c r="K48" s="124">
        <v>45407</v>
      </c>
      <c r="L48" s="114" t="s">
        <v>18</v>
      </c>
      <c r="M48" s="114" t="s">
        <v>44</v>
      </c>
      <c r="N48" s="116"/>
      <c r="O48" s="114" t="s">
        <v>20</v>
      </c>
      <c r="P48" s="116"/>
      <c r="Q48" s="116"/>
      <c r="R48" s="115" t="s">
        <v>491</v>
      </c>
      <c r="S48" s="39">
        <v>45498</v>
      </c>
      <c r="T48" s="112" t="s">
        <v>771</v>
      </c>
      <c r="U48" s="103"/>
      <c r="V48" s="103"/>
      <c r="W48" s="103"/>
      <c r="X48" s="103"/>
      <c r="Y48" s="103"/>
      <c r="Z48" s="103"/>
      <c r="AA48" s="103"/>
    </row>
    <row r="49" spans="1:27">
      <c r="A49" s="111" t="s">
        <v>772</v>
      </c>
      <c r="B49" s="112" t="s">
        <v>773</v>
      </c>
      <c r="C49" s="113" t="s">
        <v>774</v>
      </c>
      <c r="D49" s="114" t="s">
        <v>470</v>
      </c>
      <c r="E49" s="114" t="s">
        <v>685</v>
      </c>
      <c r="F49" s="80">
        <v>45337</v>
      </c>
      <c r="G49" s="115" t="s">
        <v>775</v>
      </c>
      <c r="H49" s="124">
        <v>45506</v>
      </c>
      <c r="I49" s="124">
        <v>45509</v>
      </c>
      <c r="J49" s="116"/>
      <c r="K49" s="116"/>
      <c r="L49" s="114" t="s">
        <v>18</v>
      </c>
      <c r="M49" s="114" t="s">
        <v>508</v>
      </c>
      <c r="N49" s="116"/>
      <c r="O49" s="117" t="s">
        <v>27</v>
      </c>
      <c r="P49" s="114" t="s">
        <v>776</v>
      </c>
      <c r="Q49" s="114" t="s">
        <v>680</v>
      </c>
      <c r="R49" s="115" t="s">
        <v>728</v>
      </c>
      <c r="S49" s="39">
        <v>45565</v>
      </c>
      <c r="T49" s="112" t="s">
        <v>777</v>
      </c>
      <c r="U49" s="103"/>
      <c r="V49" s="103"/>
      <c r="W49" s="103"/>
      <c r="X49" s="103"/>
      <c r="Y49" s="103"/>
      <c r="Z49" s="103"/>
      <c r="AA49" s="103"/>
    </row>
    <row r="50" spans="1:27">
      <c r="A50" s="111" t="s">
        <v>778</v>
      </c>
      <c r="B50" s="112" t="s">
        <v>779</v>
      </c>
      <c r="C50" s="113" t="s">
        <v>469</v>
      </c>
      <c r="D50" s="114" t="s">
        <v>780</v>
      </c>
      <c r="E50" s="114" t="s">
        <v>685</v>
      </c>
      <c r="F50" s="127">
        <v>45226</v>
      </c>
      <c r="G50" s="115" t="s">
        <v>781</v>
      </c>
      <c r="H50" s="124">
        <v>45489</v>
      </c>
      <c r="I50" s="124">
        <v>45492</v>
      </c>
      <c r="J50" s="116"/>
      <c r="K50" s="124">
        <v>45506</v>
      </c>
      <c r="L50" s="114" t="s">
        <v>18</v>
      </c>
      <c r="M50" s="114" t="s">
        <v>481</v>
      </c>
      <c r="N50" s="116"/>
      <c r="O50" s="114" t="s">
        <v>20</v>
      </c>
      <c r="P50" s="114" t="s">
        <v>782</v>
      </c>
      <c r="Q50" s="114" t="s">
        <v>783</v>
      </c>
      <c r="R50" s="115" t="s">
        <v>491</v>
      </c>
      <c r="S50" s="39">
        <v>45518</v>
      </c>
      <c r="T50" s="120" t="s">
        <v>784</v>
      </c>
      <c r="U50" s="103"/>
      <c r="V50" s="103"/>
      <c r="W50" s="103"/>
      <c r="X50" s="103"/>
      <c r="Y50" s="103"/>
      <c r="Z50" s="103"/>
      <c r="AA50" s="103"/>
    </row>
    <row r="51" spans="1:27">
      <c r="A51" s="111" t="s">
        <v>785</v>
      </c>
      <c r="B51" s="112" t="s">
        <v>786</v>
      </c>
      <c r="C51" s="113" t="s">
        <v>469</v>
      </c>
      <c r="D51" s="114" t="s">
        <v>478</v>
      </c>
      <c r="E51" s="114" t="s">
        <v>478</v>
      </c>
      <c r="F51" s="80">
        <v>44994</v>
      </c>
      <c r="G51" s="115" t="s">
        <v>787</v>
      </c>
      <c r="H51" s="124">
        <v>45561</v>
      </c>
      <c r="I51" s="124">
        <v>45572</v>
      </c>
      <c r="J51" s="116"/>
      <c r="K51" s="116"/>
      <c r="L51" s="114" t="s">
        <v>30</v>
      </c>
      <c r="M51" s="114" t="s">
        <v>563</v>
      </c>
      <c r="N51" s="116"/>
      <c r="O51" s="117" t="s">
        <v>27</v>
      </c>
      <c r="P51" s="114" t="s">
        <v>743</v>
      </c>
      <c r="Q51" s="114" t="s">
        <v>744</v>
      </c>
      <c r="R51" s="115" t="s">
        <v>745</v>
      </c>
      <c r="S51" s="39">
        <v>45572</v>
      </c>
      <c r="T51" s="120" t="s">
        <v>788</v>
      </c>
      <c r="U51" s="103"/>
      <c r="V51" s="103"/>
      <c r="W51" s="103"/>
      <c r="X51" s="103"/>
      <c r="Y51" s="103"/>
      <c r="Z51" s="103"/>
      <c r="AA51" s="103"/>
    </row>
    <row r="52" spans="1:27">
      <c r="A52" s="111" t="s">
        <v>789</v>
      </c>
      <c r="B52" s="112" t="s">
        <v>790</v>
      </c>
      <c r="C52" s="113" t="s">
        <v>546</v>
      </c>
      <c r="D52" s="114" t="s">
        <v>479</v>
      </c>
      <c r="E52" s="114" t="s">
        <v>479</v>
      </c>
      <c r="F52" s="80">
        <v>45124</v>
      </c>
      <c r="G52" s="115" t="s">
        <v>791</v>
      </c>
      <c r="H52" s="124">
        <v>45364</v>
      </c>
      <c r="I52" s="124">
        <v>45366</v>
      </c>
      <c r="J52" s="116"/>
      <c r="K52" s="114" t="s">
        <v>792</v>
      </c>
      <c r="L52" s="114" t="s">
        <v>18</v>
      </c>
      <c r="M52" s="114" t="s">
        <v>481</v>
      </c>
      <c r="N52" s="116"/>
      <c r="O52" s="114" t="s">
        <v>20</v>
      </c>
      <c r="P52" s="114" t="s">
        <v>793</v>
      </c>
      <c r="Q52" s="114" t="s">
        <v>794</v>
      </c>
      <c r="R52" s="115" t="s">
        <v>491</v>
      </c>
      <c r="S52" s="39">
        <v>45498</v>
      </c>
      <c r="T52" s="120" t="s">
        <v>795</v>
      </c>
      <c r="U52" s="103"/>
      <c r="V52" s="103"/>
      <c r="W52" s="103"/>
      <c r="X52" s="103"/>
      <c r="Y52" s="103"/>
      <c r="Z52" s="103"/>
      <c r="AA52" s="103"/>
    </row>
    <row r="53" spans="1:27">
      <c r="A53" s="111" t="s">
        <v>796</v>
      </c>
      <c r="B53" s="112" t="s">
        <v>797</v>
      </c>
      <c r="C53" s="113" t="s">
        <v>624</v>
      </c>
      <c r="D53" s="114" t="s">
        <v>470</v>
      </c>
      <c r="E53" s="114" t="s">
        <v>685</v>
      </c>
      <c r="F53" s="80">
        <v>45370</v>
      </c>
      <c r="G53" s="115" t="s">
        <v>798</v>
      </c>
      <c r="H53" s="124">
        <v>45399</v>
      </c>
      <c r="I53" s="124">
        <v>45415</v>
      </c>
      <c r="J53" s="116"/>
      <c r="K53" s="124">
        <v>45422</v>
      </c>
      <c r="L53" s="114" t="s">
        <v>18</v>
      </c>
      <c r="M53" s="114" t="s">
        <v>44</v>
      </c>
      <c r="N53" s="116"/>
      <c r="O53" s="114" t="s">
        <v>20</v>
      </c>
      <c r="P53" s="116"/>
      <c r="Q53" s="116"/>
      <c r="R53" s="115" t="s">
        <v>491</v>
      </c>
      <c r="S53" s="39">
        <v>45498</v>
      </c>
      <c r="T53" s="112" t="s">
        <v>799</v>
      </c>
      <c r="U53" s="103"/>
      <c r="V53" s="103"/>
      <c r="W53" s="103"/>
      <c r="X53" s="103"/>
      <c r="Y53" s="103"/>
      <c r="Z53" s="103"/>
      <c r="AA53" s="103"/>
    </row>
    <row r="54" spans="1:27">
      <c r="A54" s="111" t="s">
        <v>800</v>
      </c>
      <c r="B54" s="112" t="s">
        <v>801</v>
      </c>
      <c r="C54" s="113" t="s">
        <v>469</v>
      </c>
      <c r="D54" s="114" t="s">
        <v>478</v>
      </c>
      <c r="E54" s="114" t="s">
        <v>516</v>
      </c>
      <c r="F54" s="80">
        <v>45033</v>
      </c>
      <c r="G54" s="115" t="s">
        <v>802</v>
      </c>
      <c r="H54" s="116"/>
      <c r="I54" s="116"/>
      <c r="J54" s="116"/>
      <c r="K54" s="116"/>
      <c r="L54" s="114" t="s">
        <v>30</v>
      </c>
      <c r="M54" s="114" t="s">
        <v>481</v>
      </c>
      <c r="N54" s="115" t="s">
        <v>586</v>
      </c>
      <c r="O54" s="125" t="s">
        <v>47</v>
      </c>
      <c r="P54" s="114" t="s">
        <v>803</v>
      </c>
      <c r="Q54" s="114" t="s">
        <v>519</v>
      </c>
      <c r="R54" s="115" t="s">
        <v>645</v>
      </c>
      <c r="S54" s="39">
        <v>45516</v>
      </c>
      <c r="T54" s="120" t="s">
        <v>804</v>
      </c>
      <c r="U54" s="103"/>
      <c r="V54" s="103"/>
      <c r="W54" s="103"/>
      <c r="X54" s="103"/>
      <c r="Y54" s="103"/>
      <c r="Z54" s="103"/>
      <c r="AA54" s="103"/>
    </row>
    <row r="55" spans="1:27">
      <c r="A55" s="111" t="s">
        <v>805</v>
      </c>
      <c r="B55" s="112" t="s">
        <v>806</v>
      </c>
      <c r="C55" s="113" t="s">
        <v>546</v>
      </c>
      <c r="D55" s="114" t="s">
        <v>685</v>
      </c>
      <c r="E55" s="114" t="s">
        <v>685</v>
      </c>
      <c r="F55" s="80">
        <v>45006</v>
      </c>
      <c r="G55" s="115" t="s">
        <v>807</v>
      </c>
      <c r="H55" s="124">
        <v>45544</v>
      </c>
      <c r="I55" s="124">
        <v>45546</v>
      </c>
      <c r="J55" s="116"/>
      <c r="K55" s="130">
        <v>45575</v>
      </c>
      <c r="L55" s="114" t="s">
        <v>30</v>
      </c>
      <c r="M55" s="114" t="s">
        <v>481</v>
      </c>
      <c r="N55" s="116"/>
      <c r="O55" s="114" t="s">
        <v>808</v>
      </c>
      <c r="P55" s="114" t="s">
        <v>809</v>
      </c>
      <c r="Q55" s="114" t="s">
        <v>810</v>
      </c>
      <c r="R55" s="115" t="s">
        <v>689</v>
      </c>
      <c r="S55" s="90">
        <v>45588</v>
      </c>
      <c r="T55" s="112" t="s">
        <v>811</v>
      </c>
      <c r="U55" s="103"/>
      <c r="V55" s="103"/>
      <c r="W55" s="103"/>
      <c r="X55" s="103"/>
      <c r="Y55" s="103"/>
      <c r="Z55" s="103"/>
      <c r="AA55" s="103"/>
    </row>
    <row r="56" spans="1:27">
      <c r="A56" s="111" t="s">
        <v>812</v>
      </c>
      <c r="B56" s="112" t="s">
        <v>813</v>
      </c>
      <c r="C56" s="113" t="s">
        <v>469</v>
      </c>
      <c r="D56" s="114" t="s">
        <v>814</v>
      </c>
      <c r="E56" s="114" t="s">
        <v>814</v>
      </c>
      <c r="F56" s="80">
        <v>45351</v>
      </c>
      <c r="G56" s="115" t="s">
        <v>815</v>
      </c>
      <c r="H56" s="124">
        <v>45561</v>
      </c>
      <c r="I56" s="124">
        <v>45572</v>
      </c>
      <c r="J56" s="116"/>
      <c r="K56" s="116"/>
      <c r="L56" s="114" t="s">
        <v>18</v>
      </c>
      <c r="M56" s="114" t="s">
        <v>563</v>
      </c>
      <c r="N56" s="116"/>
      <c r="O56" s="114" t="s">
        <v>816</v>
      </c>
      <c r="P56" s="114" t="s">
        <v>817</v>
      </c>
      <c r="Q56" s="114" t="s">
        <v>818</v>
      </c>
      <c r="R56" s="115" t="s">
        <v>761</v>
      </c>
      <c r="S56" s="39">
        <v>45603</v>
      </c>
      <c r="T56" s="112" t="s">
        <v>819</v>
      </c>
      <c r="U56" s="132" t="s">
        <v>820</v>
      </c>
      <c r="V56" s="135" t="s">
        <v>600</v>
      </c>
      <c r="W56" s="103"/>
      <c r="X56" s="103"/>
      <c r="Y56" s="103"/>
      <c r="Z56" s="103"/>
      <c r="AA56" s="103"/>
    </row>
    <row r="57" spans="1:27">
      <c r="A57" s="111" t="s">
        <v>821</v>
      </c>
      <c r="B57" s="112" t="s">
        <v>822</v>
      </c>
      <c r="C57" s="113" t="s">
        <v>546</v>
      </c>
      <c r="D57" s="114" t="s">
        <v>823</v>
      </c>
      <c r="E57" s="114" t="s">
        <v>824</v>
      </c>
      <c r="F57" s="80">
        <v>45117</v>
      </c>
      <c r="G57" s="115" t="s">
        <v>825</v>
      </c>
      <c r="H57" s="124">
        <v>45264</v>
      </c>
      <c r="I57" s="124">
        <v>45469</v>
      </c>
      <c r="J57" s="116"/>
      <c r="K57" s="131">
        <v>45747</v>
      </c>
      <c r="L57" s="114" t="s">
        <v>30</v>
      </c>
      <c r="M57" s="114" t="s">
        <v>563</v>
      </c>
      <c r="N57" s="116"/>
      <c r="O57" s="117" t="s">
        <v>826</v>
      </c>
      <c r="P57" s="114" t="s">
        <v>827</v>
      </c>
      <c r="Q57" s="114" t="s">
        <v>651</v>
      </c>
      <c r="R57" s="115" t="s">
        <v>668</v>
      </c>
      <c r="S57" s="39">
        <v>45474</v>
      </c>
      <c r="T57" s="120" t="s">
        <v>828</v>
      </c>
      <c r="U57" s="103"/>
      <c r="V57" s="103"/>
      <c r="W57" s="103"/>
      <c r="X57" s="103"/>
      <c r="Y57" s="103"/>
      <c r="Z57" s="103"/>
      <c r="AA57" s="103"/>
    </row>
    <row r="58" spans="1:27">
      <c r="A58" s="111" t="s">
        <v>829</v>
      </c>
      <c r="B58" s="112" t="s">
        <v>830</v>
      </c>
      <c r="C58" s="113" t="s">
        <v>469</v>
      </c>
      <c r="D58" s="114" t="s">
        <v>823</v>
      </c>
      <c r="E58" s="114" t="s">
        <v>765</v>
      </c>
      <c r="F58" s="80">
        <v>45366</v>
      </c>
      <c r="G58" s="115" t="s">
        <v>831</v>
      </c>
      <c r="H58" s="124">
        <v>45400</v>
      </c>
      <c r="I58" s="124">
        <v>45517</v>
      </c>
      <c r="J58" s="116"/>
      <c r="K58" s="116"/>
      <c r="L58" s="114" t="s">
        <v>18</v>
      </c>
      <c r="M58" s="114" t="s">
        <v>508</v>
      </c>
      <c r="N58" s="116"/>
      <c r="O58" s="117" t="s">
        <v>27</v>
      </c>
      <c r="P58" s="114" t="s">
        <v>564</v>
      </c>
      <c r="Q58" s="114" t="s">
        <v>832</v>
      </c>
      <c r="R58" s="115" t="s">
        <v>833</v>
      </c>
      <c r="S58" s="39">
        <v>45518</v>
      </c>
      <c r="T58" s="112" t="s">
        <v>834</v>
      </c>
      <c r="U58" s="103"/>
      <c r="V58" s="103"/>
      <c r="W58" s="103"/>
      <c r="X58" s="103"/>
      <c r="Y58" s="103"/>
      <c r="Z58" s="103"/>
      <c r="AA58" s="103"/>
    </row>
    <row r="59" spans="1:27">
      <c r="A59" s="111" t="s">
        <v>835</v>
      </c>
      <c r="B59" s="112" t="s">
        <v>836</v>
      </c>
      <c r="C59" s="113" t="s">
        <v>539</v>
      </c>
      <c r="D59" s="114" t="s">
        <v>470</v>
      </c>
      <c r="E59" s="114" t="s">
        <v>823</v>
      </c>
      <c r="F59" s="80">
        <v>45365</v>
      </c>
      <c r="G59" s="115" t="s">
        <v>837</v>
      </c>
      <c r="H59" s="124">
        <v>45392</v>
      </c>
      <c r="I59" s="124">
        <v>45415</v>
      </c>
      <c r="J59" s="116"/>
      <c r="K59" s="124">
        <v>45432</v>
      </c>
      <c r="L59" s="114" t="s">
        <v>18</v>
      </c>
      <c r="M59" s="114" t="s">
        <v>44</v>
      </c>
      <c r="N59" s="116"/>
      <c r="O59" s="114" t="s">
        <v>20</v>
      </c>
      <c r="P59" s="116"/>
      <c r="Q59" s="116"/>
      <c r="R59" s="115" t="s">
        <v>491</v>
      </c>
      <c r="S59" s="39">
        <v>45498</v>
      </c>
      <c r="T59" s="112" t="s">
        <v>838</v>
      </c>
      <c r="U59" s="103"/>
      <c r="V59" s="103"/>
      <c r="W59" s="103"/>
      <c r="X59" s="103"/>
      <c r="Y59" s="103"/>
      <c r="Z59" s="103"/>
      <c r="AA59" s="103"/>
    </row>
    <row r="60" spans="1:27">
      <c r="A60" s="111" t="s">
        <v>839</v>
      </c>
      <c r="B60" s="112" t="s">
        <v>840</v>
      </c>
      <c r="C60" s="113" t="s">
        <v>546</v>
      </c>
      <c r="D60" s="114" t="s">
        <v>470</v>
      </c>
      <c r="E60" s="114" t="s">
        <v>685</v>
      </c>
      <c r="F60" s="80">
        <v>45357</v>
      </c>
      <c r="G60" s="115" t="s">
        <v>841</v>
      </c>
      <c r="H60" s="116"/>
      <c r="I60" s="116"/>
      <c r="J60" s="116"/>
      <c r="K60" s="116"/>
      <c r="L60" s="114" t="s">
        <v>18</v>
      </c>
      <c r="M60" s="114" t="s">
        <v>481</v>
      </c>
      <c r="N60" s="116"/>
      <c r="O60" s="117" t="s">
        <v>27</v>
      </c>
      <c r="P60" s="114" t="s">
        <v>500</v>
      </c>
      <c r="Q60" s="114" t="s">
        <v>501</v>
      </c>
      <c r="R60" s="115" t="s">
        <v>842</v>
      </c>
      <c r="S60" s="39">
        <v>45603</v>
      </c>
      <c r="T60" s="112" t="s">
        <v>843</v>
      </c>
      <c r="U60" s="132" t="s">
        <v>820</v>
      </c>
      <c r="V60" s="135" t="s">
        <v>600</v>
      </c>
      <c r="W60" s="103"/>
      <c r="X60" s="103"/>
      <c r="Y60" s="103"/>
      <c r="Z60" s="103"/>
      <c r="AA60" s="103"/>
    </row>
    <row r="61" spans="1:27">
      <c r="A61" s="111" t="s">
        <v>844</v>
      </c>
      <c r="B61" s="112" t="s">
        <v>845</v>
      </c>
      <c r="C61" s="113" t="s">
        <v>846</v>
      </c>
      <c r="D61" s="114" t="s">
        <v>823</v>
      </c>
      <c r="E61" s="114" t="s">
        <v>685</v>
      </c>
      <c r="F61" s="80">
        <v>45385</v>
      </c>
      <c r="G61" s="115" t="s">
        <v>847</v>
      </c>
      <c r="H61" s="124">
        <v>45426</v>
      </c>
      <c r="I61" s="124">
        <v>45429</v>
      </c>
      <c r="J61" s="116"/>
      <c r="K61" s="124">
        <v>45450</v>
      </c>
      <c r="L61" s="114" t="s">
        <v>18</v>
      </c>
      <c r="M61" s="114" t="s">
        <v>44</v>
      </c>
      <c r="N61" s="116"/>
      <c r="O61" s="114" t="s">
        <v>20</v>
      </c>
      <c r="P61" s="116"/>
      <c r="Q61" s="116"/>
      <c r="R61" s="115" t="s">
        <v>491</v>
      </c>
      <c r="S61" s="39">
        <v>45498</v>
      </c>
      <c r="T61" s="112" t="s">
        <v>848</v>
      </c>
      <c r="U61" s="103"/>
      <c r="V61" s="103"/>
      <c r="W61" s="103"/>
      <c r="X61" s="103"/>
      <c r="Y61" s="103"/>
      <c r="Z61" s="103"/>
      <c r="AA61" s="103"/>
    </row>
    <row r="62" spans="1:27">
      <c r="A62" s="111" t="s">
        <v>849</v>
      </c>
      <c r="B62" s="112" t="s">
        <v>850</v>
      </c>
      <c r="C62" s="113" t="s">
        <v>469</v>
      </c>
      <c r="D62" s="114" t="s">
        <v>470</v>
      </c>
      <c r="E62" s="114" t="s">
        <v>685</v>
      </c>
      <c r="F62" s="80">
        <v>45387</v>
      </c>
      <c r="G62" s="115" t="s">
        <v>851</v>
      </c>
      <c r="H62" s="124">
        <v>45489</v>
      </c>
      <c r="I62" s="124">
        <v>45503</v>
      </c>
      <c r="J62" s="116"/>
      <c r="K62" s="116"/>
      <c r="L62" s="114" t="s">
        <v>30</v>
      </c>
      <c r="M62" s="114" t="s">
        <v>44</v>
      </c>
      <c r="N62" s="115" t="s">
        <v>852</v>
      </c>
      <c r="O62" s="114" t="s">
        <v>20</v>
      </c>
      <c r="P62" s="114" t="s">
        <v>853</v>
      </c>
      <c r="Q62" s="114" t="s">
        <v>854</v>
      </c>
      <c r="R62" s="115" t="s">
        <v>855</v>
      </c>
      <c r="S62" s="39">
        <v>45506</v>
      </c>
      <c r="T62" s="112" t="s">
        <v>856</v>
      </c>
      <c r="U62" s="103"/>
      <c r="V62" s="103"/>
      <c r="W62" s="103"/>
      <c r="X62" s="103"/>
      <c r="Y62" s="103"/>
      <c r="Z62" s="103"/>
      <c r="AA62" s="103"/>
    </row>
    <row r="63" spans="1:27">
      <c r="A63" s="111" t="s">
        <v>857</v>
      </c>
      <c r="B63" s="112" t="s">
        <v>858</v>
      </c>
      <c r="C63" s="113" t="s">
        <v>469</v>
      </c>
      <c r="D63" s="114" t="s">
        <v>588</v>
      </c>
      <c r="E63" s="114" t="s">
        <v>824</v>
      </c>
      <c r="F63" s="80">
        <v>45386</v>
      </c>
      <c r="G63" s="115" t="s">
        <v>664</v>
      </c>
      <c r="H63" s="124">
        <v>45540</v>
      </c>
      <c r="I63" s="124">
        <v>45541</v>
      </c>
      <c r="J63" s="116"/>
      <c r="K63" s="124">
        <v>45566</v>
      </c>
      <c r="L63" s="114" t="s">
        <v>18</v>
      </c>
      <c r="M63" s="114" t="s">
        <v>563</v>
      </c>
      <c r="N63" s="116"/>
      <c r="O63" s="114" t="s">
        <v>20</v>
      </c>
      <c r="P63" s="114" t="s">
        <v>666</v>
      </c>
      <c r="Q63" s="114" t="s">
        <v>667</v>
      </c>
      <c r="R63" s="115" t="s">
        <v>668</v>
      </c>
      <c r="S63" s="39">
        <v>45544</v>
      </c>
      <c r="T63" s="112" t="s">
        <v>859</v>
      </c>
      <c r="U63" s="103"/>
      <c r="V63" s="103"/>
      <c r="W63" s="103"/>
      <c r="X63" s="103"/>
      <c r="Y63" s="103"/>
      <c r="Z63" s="103"/>
      <c r="AA63" s="103"/>
    </row>
    <row r="64" spans="1:27">
      <c r="A64" s="111" t="s">
        <v>860</v>
      </c>
      <c r="B64" s="112" t="s">
        <v>861</v>
      </c>
      <c r="C64" s="113" t="s">
        <v>546</v>
      </c>
      <c r="D64" s="114" t="s">
        <v>470</v>
      </c>
      <c r="E64" s="114" t="s">
        <v>685</v>
      </c>
      <c r="F64" s="80">
        <v>45386</v>
      </c>
      <c r="G64" s="115" t="s">
        <v>862</v>
      </c>
      <c r="H64" s="114" t="s">
        <v>820</v>
      </c>
      <c r="I64" s="114" t="s">
        <v>820</v>
      </c>
      <c r="J64" s="116"/>
      <c r="K64" s="145">
        <v>45962</v>
      </c>
      <c r="L64" s="114" t="s">
        <v>18</v>
      </c>
      <c r="M64" s="114" t="s">
        <v>508</v>
      </c>
      <c r="N64" s="116"/>
      <c r="O64" s="114" t="s">
        <v>20</v>
      </c>
      <c r="P64" s="114" t="s">
        <v>863</v>
      </c>
      <c r="Q64" s="114" t="s">
        <v>864</v>
      </c>
      <c r="R64" s="115" t="s">
        <v>689</v>
      </c>
      <c r="S64" s="90">
        <v>45588</v>
      </c>
      <c r="T64" s="112" t="s">
        <v>865</v>
      </c>
      <c r="U64" s="103"/>
      <c r="V64" s="103"/>
      <c r="W64" s="103"/>
      <c r="X64" s="103"/>
      <c r="Y64" s="103"/>
      <c r="Z64" s="103"/>
      <c r="AA64" s="103"/>
    </row>
    <row r="65" spans="1:27">
      <c r="A65" s="111" t="s">
        <v>866</v>
      </c>
      <c r="B65" s="112" t="s">
        <v>867</v>
      </c>
      <c r="C65" s="113" t="s">
        <v>469</v>
      </c>
      <c r="D65" s="114" t="s">
        <v>470</v>
      </c>
      <c r="E65" s="114" t="s">
        <v>868</v>
      </c>
      <c r="F65" s="80">
        <v>45392</v>
      </c>
      <c r="G65" s="115" t="s">
        <v>869</v>
      </c>
      <c r="H65" s="130">
        <v>45575</v>
      </c>
      <c r="I65" s="130">
        <v>45579</v>
      </c>
      <c r="J65" s="116"/>
      <c r="K65" s="116"/>
      <c r="L65" s="114" t="s">
        <v>18</v>
      </c>
      <c r="M65" s="114" t="s">
        <v>508</v>
      </c>
      <c r="N65" s="116"/>
      <c r="O65" s="117" t="s">
        <v>27</v>
      </c>
      <c r="P65" s="114" t="s">
        <v>782</v>
      </c>
      <c r="Q65" s="114" t="s">
        <v>870</v>
      </c>
      <c r="R65" s="115" t="s">
        <v>871</v>
      </c>
      <c r="S65" s="90">
        <v>45579</v>
      </c>
      <c r="T65" s="112" t="s">
        <v>872</v>
      </c>
      <c r="U65" s="103"/>
      <c r="V65" s="103"/>
      <c r="W65" s="103"/>
      <c r="X65" s="103"/>
      <c r="Y65" s="103"/>
      <c r="Z65" s="103"/>
      <c r="AA65" s="103"/>
    </row>
    <row r="66" spans="1:27">
      <c r="A66" s="111" t="s">
        <v>237</v>
      </c>
      <c r="B66" s="112" t="s">
        <v>238</v>
      </c>
      <c r="C66" s="113" t="s">
        <v>706</v>
      </c>
      <c r="D66" s="114" t="s">
        <v>685</v>
      </c>
      <c r="E66" s="114" t="s">
        <v>685</v>
      </c>
      <c r="F66" s="80">
        <v>45397</v>
      </c>
      <c r="G66" s="115" t="s">
        <v>873</v>
      </c>
      <c r="H66" s="116"/>
      <c r="I66" s="116"/>
      <c r="J66" s="116"/>
      <c r="K66" s="116"/>
      <c r="L66" s="114" t="s">
        <v>30</v>
      </c>
      <c r="M66" s="114" t="s">
        <v>481</v>
      </c>
      <c r="N66" s="116"/>
      <c r="O66" s="117" t="s">
        <v>27</v>
      </c>
      <c r="P66" s="114" t="s">
        <v>874</v>
      </c>
      <c r="Q66" s="114" t="s">
        <v>875</v>
      </c>
      <c r="R66" s="115" t="s">
        <v>597</v>
      </c>
      <c r="S66" s="39">
        <v>45565</v>
      </c>
      <c r="T66" s="112" t="s">
        <v>876</v>
      </c>
      <c r="U66" s="132" t="s">
        <v>877</v>
      </c>
      <c r="V66" s="135" t="s">
        <v>600</v>
      </c>
      <c r="W66" s="103"/>
      <c r="X66" s="103"/>
      <c r="Y66" s="103"/>
      <c r="Z66" s="103"/>
      <c r="AA66" s="103"/>
    </row>
    <row r="67" spans="1:27">
      <c r="A67" s="111" t="s">
        <v>878</v>
      </c>
      <c r="B67" s="112" t="s">
        <v>879</v>
      </c>
      <c r="C67" s="113" t="s">
        <v>469</v>
      </c>
      <c r="D67" s="114" t="s">
        <v>880</v>
      </c>
      <c r="E67" s="114" t="s">
        <v>881</v>
      </c>
      <c r="F67" s="80">
        <v>45399</v>
      </c>
      <c r="G67" s="115" t="s">
        <v>882</v>
      </c>
      <c r="H67" s="116"/>
      <c r="I67" s="116"/>
      <c r="J67" s="116"/>
      <c r="K67" s="116"/>
      <c r="L67" s="114" t="s">
        <v>30</v>
      </c>
      <c r="M67" s="114" t="s">
        <v>481</v>
      </c>
      <c r="N67" s="116"/>
      <c r="O67" s="117" t="s">
        <v>27</v>
      </c>
      <c r="P67" s="114" t="s">
        <v>883</v>
      </c>
      <c r="Q67" s="114" t="s">
        <v>884</v>
      </c>
      <c r="R67" s="115" t="s">
        <v>597</v>
      </c>
      <c r="S67" s="90">
        <v>45583</v>
      </c>
      <c r="T67" s="112" t="s">
        <v>885</v>
      </c>
      <c r="U67" s="132" t="s">
        <v>886</v>
      </c>
      <c r="V67" s="135" t="s">
        <v>600</v>
      </c>
      <c r="W67" s="103"/>
      <c r="X67" s="103"/>
      <c r="Y67" s="103"/>
      <c r="Z67" s="103"/>
      <c r="AA67" s="103"/>
    </row>
    <row r="68" spans="1:27">
      <c r="A68" s="111" t="s">
        <v>887</v>
      </c>
      <c r="B68" s="112" t="s">
        <v>888</v>
      </c>
      <c r="C68" s="113" t="s">
        <v>469</v>
      </c>
      <c r="D68" s="114" t="s">
        <v>470</v>
      </c>
      <c r="E68" s="114" t="s">
        <v>889</v>
      </c>
      <c r="F68" s="80">
        <v>45404</v>
      </c>
      <c r="G68" s="115" t="s">
        <v>890</v>
      </c>
      <c r="H68" s="116"/>
      <c r="I68" s="116"/>
      <c r="J68" s="116"/>
      <c r="K68" s="116"/>
      <c r="L68" s="114" t="s">
        <v>30</v>
      </c>
      <c r="M68" s="114" t="s">
        <v>481</v>
      </c>
      <c r="N68" s="116"/>
      <c r="O68" s="117" t="s">
        <v>27</v>
      </c>
      <c r="P68" s="114" t="s">
        <v>483</v>
      </c>
      <c r="Q68" s="114" t="s">
        <v>484</v>
      </c>
      <c r="R68" s="115" t="s">
        <v>597</v>
      </c>
      <c r="S68" s="39">
        <v>45574</v>
      </c>
      <c r="T68" s="112" t="s">
        <v>891</v>
      </c>
      <c r="U68" s="132" t="s">
        <v>892</v>
      </c>
      <c r="V68" s="135" t="s">
        <v>600</v>
      </c>
      <c r="W68" s="103"/>
      <c r="X68" s="103"/>
      <c r="Y68" s="103"/>
      <c r="Z68" s="103"/>
      <c r="AA68" s="103"/>
    </row>
    <row r="69" spans="1:27">
      <c r="A69" s="111" t="s">
        <v>893</v>
      </c>
      <c r="B69" s="112" t="s">
        <v>894</v>
      </c>
      <c r="C69" s="113" t="s">
        <v>469</v>
      </c>
      <c r="D69" s="114" t="s">
        <v>470</v>
      </c>
      <c r="E69" s="114" t="s">
        <v>470</v>
      </c>
      <c r="F69" s="80">
        <v>45407</v>
      </c>
      <c r="G69" s="115" t="s">
        <v>895</v>
      </c>
      <c r="H69" s="116"/>
      <c r="I69" s="116"/>
      <c r="J69" s="116"/>
      <c r="K69" s="116"/>
      <c r="L69" s="114" t="s">
        <v>896</v>
      </c>
      <c r="M69" s="114" t="s">
        <v>896</v>
      </c>
      <c r="N69" s="116"/>
      <c r="O69" s="117" t="s">
        <v>27</v>
      </c>
      <c r="P69" s="116"/>
      <c r="Q69" s="116"/>
      <c r="R69" s="115" t="s">
        <v>897</v>
      </c>
      <c r="S69" s="90">
        <v>45588</v>
      </c>
      <c r="T69" s="113" t="s">
        <v>898</v>
      </c>
      <c r="U69" s="132" t="s">
        <v>490</v>
      </c>
      <c r="V69" s="135" t="s">
        <v>600</v>
      </c>
      <c r="W69" s="103"/>
      <c r="X69" s="103"/>
      <c r="Y69" s="103"/>
      <c r="Z69" s="103"/>
      <c r="AA69" s="103"/>
    </row>
    <row r="70" spans="1:27">
      <c r="A70" s="111" t="s">
        <v>899</v>
      </c>
      <c r="B70" s="112" t="s">
        <v>900</v>
      </c>
      <c r="C70" s="113" t="s">
        <v>624</v>
      </c>
      <c r="D70" s="114" t="s">
        <v>470</v>
      </c>
      <c r="E70" s="114" t="s">
        <v>685</v>
      </c>
      <c r="F70" s="80">
        <v>45408</v>
      </c>
      <c r="G70" s="115" t="s">
        <v>901</v>
      </c>
      <c r="H70" s="124">
        <v>45432</v>
      </c>
      <c r="I70" s="124">
        <v>45446</v>
      </c>
      <c r="J70" s="116"/>
      <c r="K70" s="124">
        <v>45448</v>
      </c>
      <c r="L70" s="114" t="s">
        <v>18</v>
      </c>
      <c r="M70" s="114" t="s">
        <v>44</v>
      </c>
      <c r="N70" s="116"/>
      <c r="O70" s="114" t="s">
        <v>20</v>
      </c>
      <c r="P70" s="116"/>
      <c r="Q70" s="116"/>
      <c r="R70" s="115" t="s">
        <v>491</v>
      </c>
      <c r="S70" s="39">
        <v>45498</v>
      </c>
      <c r="T70" s="112" t="s">
        <v>902</v>
      </c>
      <c r="U70" s="103"/>
      <c r="V70" s="103"/>
      <c r="W70" s="103"/>
      <c r="X70" s="103"/>
      <c r="Y70" s="103"/>
      <c r="Z70" s="103"/>
      <c r="AA70" s="103"/>
    </row>
    <row r="71" spans="1:27">
      <c r="A71" s="111" t="s">
        <v>903</v>
      </c>
      <c r="B71" s="112" t="s">
        <v>904</v>
      </c>
      <c r="C71" s="113" t="s">
        <v>624</v>
      </c>
      <c r="D71" s="114" t="s">
        <v>470</v>
      </c>
      <c r="E71" s="114" t="s">
        <v>685</v>
      </c>
      <c r="F71" s="80">
        <v>45411</v>
      </c>
      <c r="G71" s="115" t="s">
        <v>905</v>
      </c>
      <c r="H71" s="124">
        <v>45422</v>
      </c>
      <c r="I71" s="116"/>
      <c r="J71" s="116"/>
      <c r="K71" s="116"/>
      <c r="L71" s="114" t="s">
        <v>18</v>
      </c>
      <c r="M71" s="114" t="s">
        <v>44</v>
      </c>
      <c r="N71" s="116"/>
      <c r="O71" s="125" t="s">
        <v>47</v>
      </c>
      <c r="P71" s="116"/>
      <c r="Q71" s="116"/>
      <c r="R71" s="115" t="s">
        <v>550</v>
      </c>
      <c r="S71" s="39">
        <v>45432</v>
      </c>
      <c r="T71" s="112" t="s">
        <v>906</v>
      </c>
      <c r="U71" s="103"/>
      <c r="V71" s="103"/>
      <c r="W71" s="103"/>
      <c r="X71" s="103"/>
      <c r="Y71" s="103"/>
      <c r="Z71" s="103"/>
      <c r="AA71" s="103"/>
    </row>
    <row r="72" spans="1:27">
      <c r="A72" s="111" t="s">
        <v>907</v>
      </c>
      <c r="B72" s="112" t="s">
        <v>908</v>
      </c>
      <c r="C72" s="113" t="s">
        <v>909</v>
      </c>
      <c r="D72" s="114" t="s">
        <v>470</v>
      </c>
      <c r="E72" s="114" t="s">
        <v>910</v>
      </c>
      <c r="F72" s="80">
        <v>45421</v>
      </c>
      <c r="G72" s="115" t="s">
        <v>911</v>
      </c>
      <c r="H72" s="124">
        <v>45502</v>
      </c>
      <c r="I72" s="124">
        <v>45505</v>
      </c>
      <c r="J72" s="116"/>
      <c r="K72" s="124">
        <v>45482</v>
      </c>
      <c r="L72" s="114" t="s">
        <v>30</v>
      </c>
      <c r="M72" s="114" t="s">
        <v>44</v>
      </c>
      <c r="N72" s="116"/>
      <c r="O72" s="114" t="s">
        <v>20</v>
      </c>
      <c r="P72" s="116"/>
      <c r="Q72" s="116"/>
      <c r="R72" s="115" t="s">
        <v>550</v>
      </c>
      <c r="S72" s="39">
        <v>45567</v>
      </c>
      <c r="T72" s="112" t="s">
        <v>912</v>
      </c>
      <c r="U72" s="103"/>
      <c r="V72" s="103"/>
      <c r="W72" s="103"/>
      <c r="X72" s="103"/>
      <c r="Y72" s="103"/>
      <c r="Z72" s="103"/>
      <c r="AA72" s="103"/>
    </row>
    <row r="73" spans="1:27">
      <c r="A73" s="111" t="s">
        <v>913</v>
      </c>
      <c r="B73" s="112" t="s">
        <v>914</v>
      </c>
      <c r="C73" s="113" t="s">
        <v>546</v>
      </c>
      <c r="D73" s="114" t="s">
        <v>470</v>
      </c>
      <c r="E73" s="114" t="s">
        <v>685</v>
      </c>
      <c r="F73" s="80">
        <v>45412</v>
      </c>
      <c r="G73" s="115" t="s">
        <v>915</v>
      </c>
      <c r="H73" s="116"/>
      <c r="I73" s="116"/>
      <c r="J73" s="116"/>
      <c r="K73" s="116"/>
      <c r="L73" s="114" t="s">
        <v>18</v>
      </c>
      <c r="M73" s="114" t="s">
        <v>699</v>
      </c>
      <c r="N73" s="116"/>
      <c r="O73" s="125" t="s">
        <v>47</v>
      </c>
      <c r="P73" s="114" t="s">
        <v>577</v>
      </c>
      <c r="Q73" s="114" t="s">
        <v>916</v>
      </c>
      <c r="R73" s="115" t="s">
        <v>550</v>
      </c>
      <c r="S73" s="39">
        <v>45511</v>
      </c>
      <c r="T73" s="112" t="s">
        <v>917</v>
      </c>
      <c r="U73" s="103"/>
      <c r="V73" s="103"/>
      <c r="W73" s="103"/>
      <c r="X73" s="103"/>
      <c r="Y73" s="103"/>
      <c r="Z73" s="103"/>
      <c r="AA73" s="103"/>
    </row>
    <row r="74" spans="1:27">
      <c r="A74" s="111" t="s">
        <v>918</v>
      </c>
      <c r="B74" s="112" t="s">
        <v>919</v>
      </c>
      <c r="C74" s="113" t="s">
        <v>920</v>
      </c>
      <c r="D74" s="114" t="s">
        <v>478</v>
      </c>
      <c r="E74" s="114" t="s">
        <v>561</v>
      </c>
      <c r="F74" s="80">
        <v>45411</v>
      </c>
      <c r="G74" s="115" t="s">
        <v>921</v>
      </c>
      <c r="H74" s="116"/>
      <c r="I74" s="116"/>
      <c r="J74" s="116"/>
      <c r="K74" s="116"/>
      <c r="L74" s="114" t="s">
        <v>30</v>
      </c>
      <c r="M74" s="114" t="s">
        <v>481</v>
      </c>
      <c r="N74" s="116"/>
      <c r="O74" s="125" t="s">
        <v>47</v>
      </c>
      <c r="P74" s="114" t="s">
        <v>519</v>
      </c>
      <c r="Q74" s="114" t="s">
        <v>922</v>
      </c>
      <c r="R74" s="115" t="s">
        <v>645</v>
      </c>
      <c r="S74" s="39">
        <v>45516</v>
      </c>
      <c r="T74" s="112" t="s">
        <v>923</v>
      </c>
      <c r="U74" s="103"/>
      <c r="V74" s="103"/>
      <c r="W74" s="103"/>
      <c r="X74" s="103"/>
      <c r="Y74" s="103"/>
      <c r="Z74" s="103"/>
      <c r="AA74" s="103"/>
    </row>
    <row r="75" spans="1:27">
      <c r="A75" s="111" t="s">
        <v>924</v>
      </c>
      <c r="B75" s="112" t="s">
        <v>925</v>
      </c>
      <c r="C75" s="113" t="s">
        <v>546</v>
      </c>
      <c r="D75" s="114" t="s">
        <v>470</v>
      </c>
      <c r="E75" s="114" t="s">
        <v>685</v>
      </c>
      <c r="F75" s="80">
        <v>45403</v>
      </c>
      <c r="G75" s="115" t="s">
        <v>926</v>
      </c>
      <c r="H75" s="116"/>
      <c r="I75" s="116"/>
      <c r="J75" s="116"/>
      <c r="K75" s="116"/>
      <c r="L75" s="114" t="s">
        <v>18</v>
      </c>
      <c r="M75" s="114" t="s">
        <v>508</v>
      </c>
      <c r="N75" s="116"/>
      <c r="O75" s="125" t="s">
        <v>47</v>
      </c>
      <c r="P75" s="114" t="s">
        <v>627</v>
      </c>
      <c r="Q75" s="114" t="s">
        <v>916</v>
      </c>
      <c r="R75" s="115" t="s">
        <v>550</v>
      </c>
      <c r="S75" s="39">
        <v>45504</v>
      </c>
      <c r="T75" s="112" t="s">
        <v>927</v>
      </c>
      <c r="U75" s="103"/>
      <c r="V75" s="103"/>
      <c r="W75" s="103"/>
      <c r="X75" s="103"/>
      <c r="Y75" s="103"/>
      <c r="Z75" s="103"/>
      <c r="AA75" s="103"/>
    </row>
    <row r="76" spans="1:27">
      <c r="A76" s="111" t="s">
        <v>928</v>
      </c>
      <c r="B76" s="112" t="s">
        <v>929</v>
      </c>
      <c r="C76" s="113" t="s">
        <v>546</v>
      </c>
      <c r="D76" s="114" t="s">
        <v>470</v>
      </c>
      <c r="E76" s="114" t="s">
        <v>685</v>
      </c>
      <c r="F76" s="80">
        <v>45436</v>
      </c>
      <c r="G76" s="115" t="s">
        <v>930</v>
      </c>
      <c r="H76" s="124">
        <v>45533</v>
      </c>
      <c r="I76" s="124">
        <v>45539</v>
      </c>
      <c r="J76" s="116"/>
      <c r="K76" s="124">
        <v>45553</v>
      </c>
      <c r="L76" s="114" t="s">
        <v>18</v>
      </c>
      <c r="M76" s="114" t="s">
        <v>508</v>
      </c>
      <c r="N76" s="116"/>
      <c r="O76" s="114" t="s">
        <v>20</v>
      </c>
      <c r="P76" s="114" t="s">
        <v>931</v>
      </c>
      <c r="Q76" s="114" t="s">
        <v>577</v>
      </c>
      <c r="R76" s="115" t="s">
        <v>491</v>
      </c>
      <c r="S76" s="39">
        <v>45555</v>
      </c>
      <c r="T76" s="112" t="s">
        <v>932</v>
      </c>
      <c r="U76" s="103"/>
      <c r="V76" s="103"/>
      <c r="W76" s="103"/>
      <c r="X76" s="103"/>
      <c r="Y76" s="103"/>
      <c r="Z76" s="103"/>
      <c r="AA76" s="103"/>
    </row>
    <row r="77" spans="1:27">
      <c r="A77" s="111" t="s">
        <v>212</v>
      </c>
      <c r="B77" s="112" t="s">
        <v>213</v>
      </c>
      <c r="C77" s="113" t="s">
        <v>546</v>
      </c>
      <c r="D77" s="114" t="s">
        <v>470</v>
      </c>
      <c r="E77" s="114" t="s">
        <v>933</v>
      </c>
      <c r="F77" s="80">
        <v>45418</v>
      </c>
      <c r="G77" s="115" t="s">
        <v>934</v>
      </c>
      <c r="H77" s="116"/>
      <c r="I77" s="116"/>
      <c r="J77" s="116"/>
      <c r="K77" s="116"/>
      <c r="L77" s="114" t="s">
        <v>30</v>
      </c>
      <c r="M77" s="114" t="s">
        <v>481</v>
      </c>
      <c r="N77" s="115" t="s">
        <v>852</v>
      </c>
      <c r="O77" s="114" t="s">
        <v>808</v>
      </c>
      <c r="P77" s="114" t="s">
        <v>853</v>
      </c>
      <c r="Q77" s="114" t="s">
        <v>935</v>
      </c>
      <c r="R77" s="115" t="s">
        <v>597</v>
      </c>
      <c r="S77" s="39">
        <v>45532</v>
      </c>
      <c r="T77" s="112" t="s">
        <v>936</v>
      </c>
      <c r="U77" s="132" t="s">
        <v>937</v>
      </c>
      <c r="V77" s="135" t="s">
        <v>600</v>
      </c>
      <c r="W77" s="103"/>
      <c r="X77" s="103"/>
      <c r="Y77" s="103"/>
      <c r="Z77" s="103"/>
      <c r="AA77" s="103"/>
    </row>
    <row r="78" spans="1:27">
      <c r="A78" s="111" t="s">
        <v>938</v>
      </c>
      <c r="B78" s="112" t="s">
        <v>939</v>
      </c>
      <c r="C78" s="112" t="s">
        <v>940</v>
      </c>
      <c r="D78" s="114" t="s">
        <v>470</v>
      </c>
      <c r="E78" s="114" t="s">
        <v>685</v>
      </c>
      <c r="F78" s="80">
        <v>45440</v>
      </c>
      <c r="G78" s="115" t="s">
        <v>941</v>
      </c>
      <c r="H78" s="116"/>
      <c r="I78" s="116"/>
      <c r="J78" s="116"/>
      <c r="K78" s="116"/>
      <c r="L78" s="114" t="s">
        <v>18</v>
      </c>
      <c r="M78" s="114" t="s">
        <v>508</v>
      </c>
      <c r="N78" s="116"/>
      <c r="O78" s="114" t="s">
        <v>808</v>
      </c>
      <c r="P78" s="114" t="s">
        <v>577</v>
      </c>
      <c r="Q78" s="114" t="s">
        <v>509</v>
      </c>
      <c r="R78" s="115" t="s">
        <v>502</v>
      </c>
      <c r="S78" s="90">
        <v>45596</v>
      </c>
      <c r="T78" s="112" t="s">
        <v>942</v>
      </c>
      <c r="U78" s="132" t="s">
        <v>820</v>
      </c>
      <c r="V78" s="135" t="s">
        <v>600</v>
      </c>
      <c r="W78" s="103"/>
      <c r="X78" s="103"/>
      <c r="Y78" s="103"/>
      <c r="Z78" s="103"/>
      <c r="AA78" s="103"/>
    </row>
    <row r="79" spans="1:27">
      <c r="A79" s="111" t="s">
        <v>943</v>
      </c>
      <c r="B79" s="112" t="s">
        <v>944</v>
      </c>
      <c r="C79" s="113" t="s">
        <v>624</v>
      </c>
      <c r="D79" s="114" t="s">
        <v>470</v>
      </c>
      <c r="E79" s="114" t="s">
        <v>685</v>
      </c>
      <c r="F79" s="80">
        <v>45441</v>
      </c>
      <c r="G79" s="115" t="s">
        <v>945</v>
      </c>
      <c r="H79" s="124">
        <v>45467</v>
      </c>
      <c r="I79" s="124">
        <v>45469</v>
      </c>
      <c r="J79" s="116"/>
      <c r="K79" s="124">
        <v>45491</v>
      </c>
      <c r="L79" s="114" t="s">
        <v>18</v>
      </c>
      <c r="M79" s="114" t="s">
        <v>44</v>
      </c>
      <c r="N79" s="116"/>
      <c r="O79" s="114" t="s">
        <v>20</v>
      </c>
      <c r="P79" s="114" t="s">
        <v>577</v>
      </c>
      <c r="Q79" s="114" t="s">
        <v>707</v>
      </c>
      <c r="R79" s="115" t="s">
        <v>491</v>
      </c>
      <c r="S79" s="90">
        <v>45587</v>
      </c>
      <c r="T79" s="112" t="s">
        <v>946</v>
      </c>
      <c r="U79" s="103"/>
      <c r="V79" s="103"/>
      <c r="W79" s="103"/>
      <c r="X79" s="103"/>
      <c r="Y79" s="103"/>
      <c r="Z79" s="103"/>
      <c r="AA79" s="103"/>
    </row>
    <row r="80" spans="1:27">
      <c r="A80" s="111" t="s">
        <v>947</v>
      </c>
      <c r="B80" s="112" t="s">
        <v>948</v>
      </c>
      <c r="C80" s="113" t="s">
        <v>624</v>
      </c>
      <c r="D80" s="114" t="s">
        <v>470</v>
      </c>
      <c r="E80" s="114" t="s">
        <v>685</v>
      </c>
      <c r="F80" s="80">
        <v>45441</v>
      </c>
      <c r="G80" s="115" t="s">
        <v>949</v>
      </c>
      <c r="H80" s="124">
        <v>45509</v>
      </c>
      <c r="I80" s="124">
        <v>45516</v>
      </c>
      <c r="J80" s="116"/>
      <c r="K80" s="116"/>
      <c r="L80" s="114" t="s">
        <v>18</v>
      </c>
      <c r="M80" s="114" t="s">
        <v>44</v>
      </c>
      <c r="N80" s="116"/>
      <c r="O80" s="125" t="s">
        <v>47</v>
      </c>
      <c r="P80" s="116"/>
      <c r="Q80" s="116"/>
      <c r="R80" s="115" t="s">
        <v>950</v>
      </c>
      <c r="S80" s="39">
        <v>45516</v>
      </c>
      <c r="T80" s="116"/>
      <c r="U80" s="103"/>
      <c r="V80" s="103"/>
      <c r="W80" s="103"/>
      <c r="X80" s="103"/>
      <c r="Y80" s="103"/>
      <c r="Z80" s="103"/>
      <c r="AA80" s="103"/>
    </row>
    <row r="81" spans="1:27">
      <c r="A81" s="111" t="s">
        <v>141</v>
      </c>
      <c r="B81" s="112" t="s">
        <v>142</v>
      </c>
      <c r="C81" s="113" t="s">
        <v>515</v>
      </c>
      <c r="D81" s="114" t="s">
        <v>478</v>
      </c>
      <c r="E81" s="114" t="s">
        <v>951</v>
      </c>
      <c r="F81" s="80">
        <v>45357</v>
      </c>
      <c r="G81" s="115" t="s">
        <v>952</v>
      </c>
      <c r="H81" s="116"/>
      <c r="I81" s="116"/>
      <c r="J81" s="116"/>
      <c r="K81" s="130">
        <v>45757</v>
      </c>
      <c r="L81" s="114" t="s">
        <v>18</v>
      </c>
      <c r="M81" s="114" t="s">
        <v>481</v>
      </c>
      <c r="N81" s="116"/>
      <c r="O81" s="117" t="s">
        <v>27</v>
      </c>
      <c r="P81" s="114" t="s">
        <v>714</v>
      </c>
      <c r="Q81" s="114" t="s">
        <v>953</v>
      </c>
      <c r="R81" s="115" t="s">
        <v>954</v>
      </c>
      <c r="S81" s="90">
        <v>45596</v>
      </c>
      <c r="T81" s="116"/>
      <c r="U81" s="132" t="s">
        <v>955</v>
      </c>
      <c r="V81" s="135" t="s">
        <v>600</v>
      </c>
      <c r="W81" s="103"/>
      <c r="X81" s="103"/>
      <c r="Y81" s="103"/>
      <c r="Z81" s="103"/>
      <c r="AA81" s="103"/>
    </row>
    <row r="82" spans="1:27">
      <c r="A82" s="111" t="s">
        <v>956</v>
      </c>
      <c r="B82" s="112" t="s">
        <v>957</v>
      </c>
      <c r="C82" s="113" t="s">
        <v>469</v>
      </c>
      <c r="D82" s="114" t="s">
        <v>478</v>
      </c>
      <c r="E82" s="114" t="s">
        <v>958</v>
      </c>
      <c r="F82" s="80">
        <v>44974</v>
      </c>
      <c r="G82" s="115" t="s">
        <v>959</v>
      </c>
      <c r="H82" s="124">
        <v>45435</v>
      </c>
      <c r="I82" s="124">
        <v>45440</v>
      </c>
      <c r="J82" s="116"/>
      <c r="K82" s="116"/>
      <c r="L82" s="114" t="s">
        <v>30</v>
      </c>
      <c r="M82" s="114" t="s">
        <v>481</v>
      </c>
      <c r="N82" s="116"/>
      <c r="O82" s="114" t="s">
        <v>960</v>
      </c>
      <c r="P82" s="114" t="s">
        <v>519</v>
      </c>
      <c r="Q82" s="114" t="s">
        <v>803</v>
      </c>
      <c r="R82" s="115" t="s">
        <v>521</v>
      </c>
      <c r="S82" s="39">
        <v>45448</v>
      </c>
      <c r="T82" s="112" t="s">
        <v>961</v>
      </c>
      <c r="U82" s="103"/>
      <c r="V82" s="103"/>
      <c r="W82" s="103"/>
      <c r="X82" s="103"/>
      <c r="Y82" s="103"/>
      <c r="Z82" s="103"/>
      <c r="AA82" s="103"/>
    </row>
    <row r="83" spans="1:27">
      <c r="A83" s="111" t="s">
        <v>139</v>
      </c>
      <c r="B83" s="112" t="s">
        <v>140</v>
      </c>
      <c r="C83" s="113" t="s">
        <v>469</v>
      </c>
      <c r="D83" s="114" t="s">
        <v>478</v>
      </c>
      <c r="E83" s="114" t="s">
        <v>479</v>
      </c>
      <c r="F83" s="80">
        <v>45448</v>
      </c>
      <c r="G83" s="115" t="s">
        <v>962</v>
      </c>
      <c r="H83" s="116"/>
      <c r="I83" s="116"/>
      <c r="J83" s="116"/>
      <c r="K83" s="116"/>
      <c r="L83" s="114" t="s">
        <v>30</v>
      </c>
      <c r="M83" s="114" t="s">
        <v>481</v>
      </c>
      <c r="N83" s="116"/>
      <c r="O83" s="114" t="s">
        <v>808</v>
      </c>
      <c r="P83" s="114" t="s">
        <v>963</v>
      </c>
      <c r="Q83" s="114" t="s">
        <v>964</v>
      </c>
      <c r="R83" s="115" t="s">
        <v>965</v>
      </c>
      <c r="S83" s="39">
        <v>45691</v>
      </c>
      <c r="T83" s="112" t="s">
        <v>966</v>
      </c>
      <c r="U83" s="132" t="s">
        <v>967</v>
      </c>
      <c r="V83" s="135" t="s">
        <v>600</v>
      </c>
      <c r="W83" s="103"/>
      <c r="X83" s="103"/>
      <c r="Y83" s="103"/>
      <c r="Z83" s="103"/>
      <c r="AA83" s="103"/>
    </row>
    <row r="84" spans="1:27">
      <c r="A84" s="111" t="s">
        <v>968</v>
      </c>
      <c r="B84" s="112" t="s">
        <v>969</v>
      </c>
      <c r="C84" s="113" t="s">
        <v>469</v>
      </c>
      <c r="D84" s="114" t="s">
        <v>478</v>
      </c>
      <c r="E84" s="114" t="s">
        <v>970</v>
      </c>
      <c r="F84" s="80">
        <v>45418</v>
      </c>
      <c r="G84" s="115" t="s">
        <v>971</v>
      </c>
      <c r="H84" s="116"/>
      <c r="I84" s="116"/>
      <c r="J84" s="116"/>
      <c r="K84" s="116"/>
      <c r="L84" s="114" t="s">
        <v>18</v>
      </c>
      <c r="M84" s="114" t="s">
        <v>508</v>
      </c>
      <c r="N84" s="116"/>
      <c r="O84" s="114" t="s">
        <v>808</v>
      </c>
      <c r="P84" s="114" t="s">
        <v>577</v>
      </c>
      <c r="Q84" s="114" t="s">
        <v>509</v>
      </c>
      <c r="R84" s="115" t="s">
        <v>550</v>
      </c>
      <c r="S84" s="39">
        <v>45546</v>
      </c>
      <c r="T84" s="112" t="s">
        <v>972</v>
      </c>
      <c r="U84" s="132" t="s">
        <v>973</v>
      </c>
      <c r="V84" s="135" t="s">
        <v>600</v>
      </c>
      <c r="W84" s="103"/>
      <c r="X84" s="103"/>
      <c r="Y84" s="103"/>
      <c r="Z84" s="103"/>
      <c r="AA84" s="103"/>
    </row>
    <row r="85" spans="1:27">
      <c r="A85" s="111" t="s">
        <v>974</v>
      </c>
      <c r="B85" s="112" t="s">
        <v>975</v>
      </c>
      <c r="C85" s="113" t="s">
        <v>469</v>
      </c>
      <c r="D85" s="114" t="s">
        <v>478</v>
      </c>
      <c r="E85" s="114" t="s">
        <v>479</v>
      </c>
      <c r="F85" s="80">
        <v>45449</v>
      </c>
      <c r="G85" s="115" t="s">
        <v>976</v>
      </c>
      <c r="H85" s="116"/>
      <c r="I85" s="116"/>
      <c r="J85" s="116"/>
      <c r="K85" s="116"/>
      <c r="L85" s="114" t="s">
        <v>18</v>
      </c>
      <c r="M85" s="114" t="s">
        <v>508</v>
      </c>
      <c r="N85" s="116"/>
      <c r="O85" s="125" t="s">
        <v>47</v>
      </c>
      <c r="P85" s="114" t="s">
        <v>484</v>
      </c>
      <c r="Q85" s="114" t="s">
        <v>509</v>
      </c>
      <c r="R85" s="115" t="s">
        <v>575</v>
      </c>
      <c r="S85" s="39">
        <v>45506</v>
      </c>
      <c r="T85" s="112" t="s">
        <v>977</v>
      </c>
      <c r="U85" s="103"/>
      <c r="V85" s="103"/>
      <c r="W85" s="103"/>
      <c r="X85" s="103"/>
      <c r="Y85" s="103"/>
      <c r="Z85" s="103"/>
      <c r="AA85" s="103"/>
    </row>
    <row r="86" spans="1:27">
      <c r="A86" s="111" t="s">
        <v>978</v>
      </c>
      <c r="B86" s="112" t="s">
        <v>979</v>
      </c>
      <c r="C86" s="113" t="s">
        <v>469</v>
      </c>
      <c r="D86" s="114" t="s">
        <v>980</v>
      </c>
      <c r="E86" s="114" t="s">
        <v>981</v>
      </c>
      <c r="F86" s="80">
        <v>45435</v>
      </c>
      <c r="G86" s="115" t="s">
        <v>982</v>
      </c>
      <c r="H86" s="114" t="s">
        <v>556</v>
      </c>
      <c r="I86" s="145">
        <v>45878</v>
      </c>
      <c r="J86" s="116"/>
      <c r="K86" s="114" t="s">
        <v>556</v>
      </c>
      <c r="L86" s="114" t="s">
        <v>18</v>
      </c>
      <c r="M86" s="114" t="s">
        <v>44</v>
      </c>
      <c r="N86" s="116"/>
      <c r="O86" s="114" t="s">
        <v>20</v>
      </c>
      <c r="P86" s="114" t="s">
        <v>490</v>
      </c>
      <c r="Q86" s="114" t="s">
        <v>490</v>
      </c>
      <c r="R86" s="115" t="s">
        <v>983</v>
      </c>
      <c r="S86" s="39">
        <v>45516</v>
      </c>
      <c r="T86" s="112" t="s">
        <v>984</v>
      </c>
      <c r="U86" s="103"/>
      <c r="V86" s="103"/>
      <c r="W86" s="103"/>
      <c r="X86" s="103"/>
      <c r="Y86" s="103"/>
      <c r="Z86" s="103"/>
      <c r="AA86" s="103"/>
    </row>
    <row r="87" spans="1:27">
      <c r="A87" s="111" t="s">
        <v>985</v>
      </c>
      <c r="B87" s="112" t="s">
        <v>986</v>
      </c>
      <c r="C87" s="113" t="s">
        <v>546</v>
      </c>
      <c r="D87" s="114" t="s">
        <v>478</v>
      </c>
      <c r="E87" s="114" t="s">
        <v>970</v>
      </c>
      <c r="F87" s="80">
        <v>45362</v>
      </c>
      <c r="G87" s="115" t="s">
        <v>987</v>
      </c>
      <c r="H87" s="124">
        <v>45573</v>
      </c>
      <c r="I87" s="130">
        <v>45575</v>
      </c>
      <c r="J87" s="116"/>
      <c r="K87" s="116"/>
      <c r="L87" s="114" t="s">
        <v>18</v>
      </c>
      <c r="M87" s="114" t="s">
        <v>508</v>
      </c>
      <c r="N87" s="116"/>
      <c r="O87" s="117" t="s">
        <v>27</v>
      </c>
      <c r="P87" s="114" t="s">
        <v>519</v>
      </c>
      <c r="Q87" s="114" t="s">
        <v>520</v>
      </c>
      <c r="R87" s="115" t="s">
        <v>521</v>
      </c>
      <c r="S87" s="90">
        <v>45581</v>
      </c>
      <c r="T87" s="116"/>
      <c r="U87" s="103"/>
      <c r="V87" s="103"/>
      <c r="W87" s="103"/>
      <c r="X87" s="103"/>
      <c r="Y87" s="103"/>
      <c r="Z87" s="103"/>
      <c r="AA87" s="103"/>
    </row>
    <row r="88" spans="1:27">
      <c r="A88" s="111" t="s">
        <v>988</v>
      </c>
      <c r="B88" s="112" t="s">
        <v>989</v>
      </c>
      <c r="C88" s="113" t="s">
        <v>539</v>
      </c>
      <c r="D88" s="114" t="s">
        <v>478</v>
      </c>
      <c r="E88" s="114" t="s">
        <v>970</v>
      </c>
      <c r="F88" s="80">
        <v>45447</v>
      </c>
      <c r="G88" s="115" t="s">
        <v>990</v>
      </c>
      <c r="H88" s="124">
        <v>45492</v>
      </c>
      <c r="I88" s="124">
        <v>45496</v>
      </c>
      <c r="J88" s="116"/>
      <c r="K88" s="116"/>
      <c r="L88" s="114" t="s">
        <v>18</v>
      </c>
      <c r="M88" s="114" t="s">
        <v>44</v>
      </c>
      <c r="N88" s="116"/>
      <c r="O88" s="117" t="s">
        <v>27</v>
      </c>
      <c r="P88" s="114" t="s">
        <v>519</v>
      </c>
      <c r="Q88" s="114" t="s">
        <v>520</v>
      </c>
      <c r="R88" s="115" t="s">
        <v>521</v>
      </c>
      <c r="S88" s="39">
        <v>45554</v>
      </c>
      <c r="T88" s="113" t="s">
        <v>991</v>
      </c>
      <c r="U88" s="103"/>
      <c r="V88" s="103"/>
      <c r="W88" s="103"/>
      <c r="X88" s="103"/>
      <c r="Y88" s="103"/>
      <c r="Z88" s="103"/>
      <c r="AA88" s="103"/>
    </row>
    <row r="89" spans="1:27">
      <c r="A89" s="111" t="s">
        <v>992</v>
      </c>
      <c r="B89" s="112" t="s">
        <v>993</v>
      </c>
      <c r="C89" s="113" t="s">
        <v>469</v>
      </c>
      <c r="D89" s="114" t="s">
        <v>478</v>
      </c>
      <c r="E89" s="114" t="s">
        <v>994</v>
      </c>
      <c r="F89" s="80">
        <v>45432</v>
      </c>
      <c r="G89" s="115" t="s">
        <v>995</v>
      </c>
      <c r="H89" s="116"/>
      <c r="I89" s="116"/>
      <c r="J89" s="116"/>
      <c r="K89" s="116"/>
      <c r="L89" s="114" t="s">
        <v>996</v>
      </c>
      <c r="M89" s="114" t="s">
        <v>508</v>
      </c>
      <c r="N89" s="116"/>
      <c r="O89" s="117" t="s">
        <v>816</v>
      </c>
      <c r="P89" s="114" t="s">
        <v>997</v>
      </c>
      <c r="Q89" s="114" t="s">
        <v>483</v>
      </c>
      <c r="R89" s="115" t="s">
        <v>485</v>
      </c>
      <c r="S89" s="39">
        <v>45456</v>
      </c>
      <c r="T89" s="113" t="s">
        <v>998</v>
      </c>
      <c r="U89" s="132" t="s">
        <v>590</v>
      </c>
      <c r="V89" s="133" t="s">
        <v>591</v>
      </c>
      <c r="W89" s="103"/>
      <c r="X89" s="103"/>
      <c r="Y89" s="103"/>
      <c r="Z89" s="103"/>
      <c r="AA89" s="103"/>
    </row>
    <row r="90" spans="1:27">
      <c r="A90" s="111" t="s">
        <v>999</v>
      </c>
      <c r="B90" s="112" t="s">
        <v>1000</v>
      </c>
      <c r="C90" s="113" t="s">
        <v>469</v>
      </c>
      <c r="D90" s="114" t="s">
        <v>478</v>
      </c>
      <c r="E90" s="114" t="s">
        <v>994</v>
      </c>
      <c r="F90" s="80">
        <v>45454</v>
      </c>
      <c r="G90" s="115" t="s">
        <v>1001</v>
      </c>
      <c r="H90" s="130">
        <v>45975</v>
      </c>
      <c r="I90" s="130">
        <v>45978</v>
      </c>
      <c r="J90" s="124">
        <v>46157</v>
      </c>
      <c r="K90" s="116"/>
      <c r="L90" s="114" t="s">
        <v>30</v>
      </c>
      <c r="M90" s="114" t="s">
        <v>481</v>
      </c>
      <c r="N90" s="116"/>
      <c r="O90" s="117" t="s">
        <v>816</v>
      </c>
      <c r="P90" s="114" t="s">
        <v>997</v>
      </c>
      <c r="Q90" s="114" t="s">
        <v>483</v>
      </c>
      <c r="R90" s="115" t="s">
        <v>525</v>
      </c>
      <c r="S90" s="39">
        <v>45602</v>
      </c>
      <c r="T90" s="112" t="s">
        <v>1002</v>
      </c>
      <c r="U90" s="132" t="s">
        <v>1003</v>
      </c>
      <c r="V90" s="135" t="s">
        <v>600</v>
      </c>
      <c r="W90" s="103"/>
      <c r="X90" s="103"/>
      <c r="Y90" s="103"/>
      <c r="Z90" s="103"/>
      <c r="AA90" s="103"/>
    </row>
    <row r="91" spans="1:27">
      <c r="A91" s="111" t="s">
        <v>1004</v>
      </c>
      <c r="B91" s="112" t="s">
        <v>1005</v>
      </c>
      <c r="C91" s="113" t="s">
        <v>469</v>
      </c>
      <c r="D91" s="114" t="s">
        <v>1006</v>
      </c>
      <c r="E91" s="114" t="s">
        <v>1007</v>
      </c>
      <c r="F91" s="80">
        <v>45454</v>
      </c>
      <c r="G91" s="115" t="s">
        <v>1008</v>
      </c>
      <c r="H91" s="116"/>
      <c r="I91" s="116"/>
      <c r="J91" s="116"/>
      <c r="K91" s="116"/>
      <c r="L91" s="114" t="s">
        <v>30</v>
      </c>
      <c r="M91" s="114" t="s">
        <v>508</v>
      </c>
      <c r="N91" s="116"/>
      <c r="O91" s="117" t="s">
        <v>816</v>
      </c>
      <c r="P91" s="114" t="s">
        <v>853</v>
      </c>
      <c r="Q91" s="114" t="s">
        <v>935</v>
      </c>
      <c r="R91" s="115" t="s">
        <v>950</v>
      </c>
      <c r="S91" s="39">
        <v>45601</v>
      </c>
      <c r="T91" s="112" t="s">
        <v>1009</v>
      </c>
      <c r="U91" s="132" t="s">
        <v>556</v>
      </c>
      <c r="V91" s="135" t="s">
        <v>600</v>
      </c>
      <c r="W91" s="103"/>
      <c r="X91" s="103"/>
      <c r="Y91" s="103"/>
      <c r="Z91" s="103"/>
      <c r="AA91" s="103"/>
    </row>
    <row r="92" spans="1:27">
      <c r="A92" s="111" t="s">
        <v>1010</v>
      </c>
      <c r="B92" s="112" t="s">
        <v>1011</v>
      </c>
      <c r="C92" s="113" t="s">
        <v>1012</v>
      </c>
      <c r="D92" s="114" t="s">
        <v>478</v>
      </c>
      <c r="E92" s="114" t="s">
        <v>1013</v>
      </c>
      <c r="F92" s="80">
        <v>45475</v>
      </c>
      <c r="G92" s="115" t="s">
        <v>1014</v>
      </c>
      <c r="H92" s="130">
        <v>45586</v>
      </c>
      <c r="I92" s="116"/>
      <c r="J92" s="116"/>
      <c r="K92" s="116"/>
      <c r="L92" s="114" t="s">
        <v>30</v>
      </c>
      <c r="M92" s="114" t="s">
        <v>563</v>
      </c>
      <c r="N92" s="116"/>
      <c r="O92" s="117" t="s">
        <v>816</v>
      </c>
      <c r="P92" s="114" t="s">
        <v>1012</v>
      </c>
      <c r="Q92" s="114" t="s">
        <v>1015</v>
      </c>
      <c r="R92" s="115" t="s">
        <v>1016</v>
      </c>
      <c r="S92" s="90">
        <v>45587</v>
      </c>
      <c r="T92" s="112" t="s">
        <v>1017</v>
      </c>
      <c r="U92" s="103"/>
      <c r="V92" s="103"/>
      <c r="W92" s="103"/>
      <c r="X92" s="103"/>
      <c r="Y92" s="103"/>
      <c r="Z92" s="103"/>
      <c r="AA92" s="103"/>
    </row>
    <row r="93" spans="1:27">
      <c r="A93" s="111" t="s">
        <v>204</v>
      </c>
      <c r="B93" s="112" t="s">
        <v>205</v>
      </c>
      <c r="C93" s="113" t="s">
        <v>854</v>
      </c>
      <c r="D93" s="114" t="s">
        <v>1006</v>
      </c>
      <c r="E93" s="114" t="s">
        <v>1007</v>
      </c>
      <c r="F93" s="80">
        <v>45441</v>
      </c>
      <c r="G93" s="115" t="s">
        <v>1018</v>
      </c>
      <c r="H93" s="116"/>
      <c r="I93" s="116"/>
      <c r="J93" s="116"/>
      <c r="K93" s="116"/>
      <c r="L93" s="114" t="s">
        <v>30</v>
      </c>
      <c r="M93" s="114" t="s">
        <v>481</v>
      </c>
      <c r="N93" s="116"/>
      <c r="O93" s="117" t="s">
        <v>816</v>
      </c>
      <c r="P93" s="114" t="s">
        <v>853</v>
      </c>
      <c r="Q93" s="114" t="s">
        <v>935</v>
      </c>
      <c r="R93" s="115" t="s">
        <v>954</v>
      </c>
      <c r="S93" s="39">
        <v>45597</v>
      </c>
      <c r="T93" s="112" t="s">
        <v>1019</v>
      </c>
      <c r="U93" s="132" t="s">
        <v>1020</v>
      </c>
      <c r="V93" s="135" t="s">
        <v>600</v>
      </c>
      <c r="W93" s="103"/>
      <c r="X93" s="103"/>
      <c r="Y93" s="103"/>
      <c r="Z93" s="103"/>
      <c r="AA93" s="103"/>
    </row>
    <row r="94" spans="1:27">
      <c r="A94" s="111" t="s">
        <v>1021</v>
      </c>
      <c r="B94" s="112" t="s">
        <v>1022</v>
      </c>
      <c r="C94" s="113" t="s">
        <v>624</v>
      </c>
      <c r="D94" s="114" t="s">
        <v>470</v>
      </c>
      <c r="E94" s="114" t="s">
        <v>479</v>
      </c>
      <c r="F94" s="80">
        <v>45484</v>
      </c>
      <c r="G94" s="115" t="s">
        <v>1023</v>
      </c>
      <c r="H94" s="116"/>
      <c r="I94" s="116"/>
      <c r="J94" s="116"/>
      <c r="K94" s="116"/>
      <c r="L94" s="114" t="s">
        <v>18</v>
      </c>
      <c r="M94" s="114" t="s">
        <v>481</v>
      </c>
      <c r="N94" s="116"/>
      <c r="O94" s="117" t="s">
        <v>816</v>
      </c>
      <c r="P94" s="114" t="s">
        <v>706</v>
      </c>
      <c r="Q94" s="114" t="s">
        <v>483</v>
      </c>
      <c r="R94" s="115" t="s">
        <v>597</v>
      </c>
      <c r="S94" s="39">
        <v>45566</v>
      </c>
      <c r="T94" s="112" t="s">
        <v>1024</v>
      </c>
      <c r="U94" s="132" t="s">
        <v>1025</v>
      </c>
      <c r="V94" s="135" t="s">
        <v>600</v>
      </c>
      <c r="W94" s="103"/>
      <c r="X94" s="103"/>
      <c r="Y94" s="103"/>
      <c r="Z94" s="103"/>
      <c r="AA94" s="103"/>
    </row>
    <row r="95" spans="1:27">
      <c r="A95" s="111" t="s">
        <v>198</v>
      </c>
      <c r="B95" s="112" t="s">
        <v>199</v>
      </c>
      <c r="C95" s="113" t="s">
        <v>519</v>
      </c>
      <c r="D95" s="114" t="s">
        <v>478</v>
      </c>
      <c r="E95" s="114" t="s">
        <v>970</v>
      </c>
      <c r="F95" s="80">
        <v>45484</v>
      </c>
      <c r="G95" s="115" t="s">
        <v>1026</v>
      </c>
      <c r="H95" s="116"/>
      <c r="I95" s="116"/>
      <c r="J95" s="116"/>
      <c r="K95" s="116"/>
      <c r="L95" s="114" t="s">
        <v>30</v>
      </c>
      <c r="M95" s="114" t="s">
        <v>481</v>
      </c>
      <c r="N95" s="116"/>
      <c r="O95" s="117" t="s">
        <v>816</v>
      </c>
      <c r="P95" s="114" t="s">
        <v>520</v>
      </c>
      <c r="Q95" s="114" t="s">
        <v>920</v>
      </c>
      <c r="R95" s="115" t="s">
        <v>597</v>
      </c>
      <c r="S95" s="39">
        <v>45568</v>
      </c>
      <c r="T95" s="112" t="s">
        <v>1027</v>
      </c>
      <c r="U95" s="132" t="s">
        <v>1028</v>
      </c>
      <c r="V95" s="135" t="s">
        <v>600</v>
      </c>
      <c r="W95" s="103"/>
      <c r="X95" s="103"/>
      <c r="Y95" s="103"/>
      <c r="Z95" s="103"/>
      <c r="AA95" s="103"/>
    </row>
    <row r="96" spans="1:27">
      <c r="A96" s="111" t="s">
        <v>1029</v>
      </c>
      <c r="B96" s="112" t="s">
        <v>1030</v>
      </c>
      <c r="C96" s="113" t="s">
        <v>539</v>
      </c>
      <c r="D96" s="114" t="s">
        <v>470</v>
      </c>
      <c r="E96" s="114" t="s">
        <v>881</v>
      </c>
      <c r="F96" s="80">
        <v>45477</v>
      </c>
      <c r="G96" s="115" t="s">
        <v>1031</v>
      </c>
      <c r="H96" s="124">
        <v>45554</v>
      </c>
      <c r="I96" s="124">
        <v>45560</v>
      </c>
      <c r="J96" s="116"/>
      <c r="K96" s="130">
        <v>45576</v>
      </c>
      <c r="L96" s="114" t="s">
        <v>30</v>
      </c>
      <c r="M96" s="114" t="s">
        <v>44</v>
      </c>
      <c r="N96" s="116"/>
      <c r="O96" s="117" t="s">
        <v>816</v>
      </c>
      <c r="P96" s="114" t="s">
        <v>743</v>
      </c>
      <c r="Q96" s="114" t="s">
        <v>883</v>
      </c>
      <c r="R96" s="115" t="s">
        <v>855</v>
      </c>
      <c r="S96" s="127">
        <v>45583</v>
      </c>
      <c r="T96" s="113" t="s">
        <v>1032</v>
      </c>
      <c r="U96" s="103"/>
      <c r="V96" s="103"/>
      <c r="W96" s="103"/>
      <c r="X96" s="103"/>
      <c r="Y96" s="103"/>
      <c r="Z96" s="103"/>
      <c r="AA96" s="103"/>
    </row>
    <row r="97" spans="1:27">
      <c r="A97" s="111" t="s">
        <v>1033</v>
      </c>
      <c r="B97" s="112" t="s">
        <v>1034</v>
      </c>
      <c r="C97" s="113" t="s">
        <v>624</v>
      </c>
      <c r="D97" s="114" t="s">
        <v>470</v>
      </c>
      <c r="E97" s="114" t="s">
        <v>1035</v>
      </c>
      <c r="F97" s="80">
        <v>45435</v>
      </c>
      <c r="G97" s="115" t="s">
        <v>1036</v>
      </c>
      <c r="H97" s="116"/>
      <c r="I97" s="116"/>
      <c r="J97" s="116"/>
      <c r="K97" s="116"/>
      <c r="L97" s="114" t="s">
        <v>18</v>
      </c>
      <c r="M97" s="114" t="s">
        <v>481</v>
      </c>
      <c r="N97" s="116"/>
      <c r="O97" s="117" t="s">
        <v>816</v>
      </c>
      <c r="P97" s="114" t="s">
        <v>500</v>
      </c>
      <c r="Q97" s="114" t="s">
        <v>501</v>
      </c>
      <c r="R97" s="115" t="s">
        <v>597</v>
      </c>
      <c r="S97" s="90">
        <v>45581</v>
      </c>
      <c r="T97" s="112" t="s">
        <v>1037</v>
      </c>
      <c r="U97" s="132" t="s">
        <v>1038</v>
      </c>
      <c r="V97" s="135" t="s">
        <v>600</v>
      </c>
      <c r="W97" s="103"/>
      <c r="X97" s="103"/>
      <c r="Y97" s="103"/>
      <c r="Z97" s="103"/>
      <c r="AA97" s="103"/>
    </row>
    <row r="98" spans="1:27">
      <c r="A98" s="111" t="s">
        <v>1039</v>
      </c>
      <c r="B98" s="112" t="s">
        <v>1040</v>
      </c>
      <c r="C98" s="113" t="s">
        <v>539</v>
      </c>
      <c r="D98" s="114" t="s">
        <v>470</v>
      </c>
      <c r="E98" s="114" t="s">
        <v>1041</v>
      </c>
      <c r="F98" s="124">
        <v>45490</v>
      </c>
      <c r="G98" s="115" t="s">
        <v>1042</v>
      </c>
      <c r="H98" s="124">
        <v>45681</v>
      </c>
      <c r="I98" s="124">
        <v>45686</v>
      </c>
      <c r="J98" s="116"/>
      <c r="K98" s="116"/>
      <c r="L98" s="114" t="s">
        <v>30</v>
      </c>
      <c r="M98" s="114" t="s">
        <v>44</v>
      </c>
      <c r="N98" s="116"/>
      <c r="O98" s="117" t="s">
        <v>816</v>
      </c>
      <c r="P98" s="114" t="s">
        <v>1043</v>
      </c>
      <c r="Q98" s="114" t="s">
        <v>1044</v>
      </c>
      <c r="R98" s="115" t="s">
        <v>1045</v>
      </c>
      <c r="S98" s="80">
        <v>45688</v>
      </c>
      <c r="T98" s="112" t="s">
        <v>1046</v>
      </c>
      <c r="U98" s="132" t="s">
        <v>1047</v>
      </c>
      <c r="V98" s="135" t="s">
        <v>600</v>
      </c>
      <c r="W98" s="103"/>
      <c r="X98" s="103"/>
      <c r="Y98" s="103"/>
      <c r="Z98" s="103"/>
      <c r="AA98" s="103"/>
    </row>
    <row r="99" spans="1:27">
      <c r="A99" s="111" t="s">
        <v>1048</v>
      </c>
      <c r="B99" s="112" t="s">
        <v>1049</v>
      </c>
      <c r="C99" s="113" t="s">
        <v>539</v>
      </c>
      <c r="D99" s="114" t="s">
        <v>470</v>
      </c>
      <c r="E99" s="114" t="s">
        <v>881</v>
      </c>
      <c r="F99" s="127">
        <v>44881</v>
      </c>
      <c r="G99" s="115" t="s">
        <v>1050</v>
      </c>
      <c r="H99" s="116"/>
      <c r="I99" s="116"/>
      <c r="J99" s="116"/>
      <c r="K99" s="116"/>
      <c r="L99" s="114" t="s">
        <v>30</v>
      </c>
      <c r="M99" s="114" t="s">
        <v>44</v>
      </c>
      <c r="N99" s="116"/>
      <c r="O99" s="117" t="s">
        <v>816</v>
      </c>
      <c r="P99" s="114" t="s">
        <v>743</v>
      </c>
      <c r="Q99" s="114" t="s">
        <v>883</v>
      </c>
      <c r="R99" s="115" t="s">
        <v>502</v>
      </c>
      <c r="S99" s="80">
        <v>45603</v>
      </c>
      <c r="T99" s="112" t="s">
        <v>1051</v>
      </c>
      <c r="U99" s="132" t="s">
        <v>1052</v>
      </c>
      <c r="V99" s="135" t="s">
        <v>600</v>
      </c>
      <c r="W99" s="103"/>
      <c r="X99" s="103"/>
      <c r="Y99" s="103"/>
      <c r="Z99" s="103"/>
      <c r="AA99" s="103"/>
    </row>
    <row r="100" spans="1:27">
      <c r="A100" s="111" t="s">
        <v>1053</v>
      </c>
      <c r="B100" s="112" t="s">
        <v>1054</v>
      </c>
      <c r="C100" s="113" t="s">
        <v>539</v>
      </c>
      <c r="D100" s="114" t="s">
        <v>470</v>
      </c>
      <c r="E100" s="114" t="s">
        <v>881</v>
      </c>
      <c r="F100" s="80">
        <v>45485</v>
      </c>
      <c r="G100" s="115" t="s">
        <v>1055</v>
      </c>
      <c r="H100" s="124">
        <v>45554</v>
      </c>
      <c r="I100" s="124">
        <v>45569</v>
      </c>
      <c r="J100" s="116"/>
      <c r="K100" s="116"/>
      <c r="L100" s="114" t="s">
        <v>30</v>
      </c>
      <c r="M100" s="114" t="s">
        <v>44</v>
      </c>
      <c r="N100" s="116"/>
      <c r="O100" s="117" t="s">
        <v>816</v>
      </c>
      <c r="P100" s="114" t="s">
        <v>743</v>
      </c>
      <c r="Q100" s="114" t="s">
        <v>883</v>
      </c>
      <c r="R100" s="115" t="s">
        <v>745</v>
      </c>
      <c r="S100" s="80">
        <v>45574</v>
      </c>
      <c r="T100" s="113" t="s">
        <v>1056</v>
      </c>
      <c r="U100" s="103"/>
      <c r="V100" s="103"/>
      <c r="W100" s="103"/>
      <c r="X100" s="103"/>
      <c r="Y100" s="103"/>
      <c r="Z100" s="103"/>
      <c r="AA100" s="103"/>
    </row>
    <row r="101" spans="1:27">
      <c r="A101" s="111" t="s">
        <v>188</v>
      </c>
      <c r="B101" s="112" t="s">
        <v>189</v>
      </c>
      <c r="C101" s="113" t="s">
        <v>546</v>
      </c>
      <c r="D101" s="115" t="s">
        <v>1057</v>
      </c>
      <c r="E101" s="114" t="s">
        <v>1058</v>
      </c>
      <c r="F101" s="80">
        <v>45477</v>
      </c>
      <c r="G101" s="115" t="s">
        <v>1059</v>
      </c>
      <c r="H101" s="116"/>
      <c r="I101" s="116"/>
      <c r="J101" s="116"/>
      <c r="K101" s="116"/>
      <c r="L101" s="114" t="s">
        <v>30</v>
      </c>
      <c r="M101" s="115" t="s">
        <v>481</v>
      </c>
      <c r="N101" s="116"/>
      <c r="O101" s="117" t="s">
        <v>816</v>
      </c>
      <c r="P101" s="114" t="s">
        <v>1060</v>
      </c>
      <c r="Q101" s="114" t="s">
        <v>1061</v>
      </c>
      <c r="R101" s="115" t="s">
        <v>1062</v>
      </c>
      <c r="S101" s="80">
        <v>45601</v>
      </c>
      <c r="T101" s="112" t="s">
        <v>1063</v>
      </c>
      <c r="U101" s="132" t="s">
        <v>1064</v>
      </c>
      <c r="V101" s="135" t="s">
        <v>600</v>
      </c>
      <c r="W101" s="103"/>
      <c r="X101" s="103"/>
      <c r="Y101" s="103"/>
      <c r="Z101" s="103"/>
      <c r="AA101" s="103"/>
    </row>
    <row r="102" spans="1:27">
      <c r="A102" s="111" t="s">
        <v>1065</v>
      </c>
      <c r="B102" s="112" t="s">
        <v>1066</v>
      </c>
      <c r="C102" s="113" t="s">
        <v>546</v>
      </c>
      <c r="D102" s="115" t="s">
        <v>1057</v>
      </c>
      <c r="E102" s="114" t="s">
        <v>1067</v>
      </c>
      <c r="F102" s="80">
        <v>45415</v>
      </c>
      <c r="G102" s="115" t="s">
        <v>1068</v>
      </c>
      <c r="H102" s="124">
        <v>45681</v>
      </c>
      <c r="I102" s="124">
        <v>45687</v>
      </c>
      <c r="J102" s="116"/>
      <c r="K102" s="116"/>
      <c r="L102" s="114" t="s">
        <v>30</v>
      </c>
      <c r="M102" s="115" t="s">
        <v>481</v>
      </c>
      <c r="N102" s="116"/>
      <c r="O102" s="117" t="s">
        <v>816</v>
      </c>
      <c r="P102" s="114" t="s">
        <v>1069</v>
      </c>
      <c r="Q102" s="114" t="s">
        <v>1070</v>
      </c>
      <c r="R102" s="115" t="s">
        <v>1071</v>
      </c>
      <c r="S102" s="80">
        <v>45692</v>
      </c>
      <c r="T102" s="112" t="s">
        <v>1072</v>
      </c>
      <c r="U102" s="132" t="s">
        <v>1073</v>
      </c>
      <c r="V102" s="135" t="s">
        <v>600</v>
      </c>
      <c r="W102" s="103"/>
      <c r="X102" s="103"/>
      <c r="Y102" s="103"/>
      <c r="Z102" s="103"/>
      <c r="AA102" s="103"/>
    </row>
    <row r="103" spans="1:27">
      <c r="A103" s="111" t="s">
        <v>193</v>
      </c>
      <c r="B103" s="112" t="s">
        <v>194</v>
      </c>
      <c r="C103" s="113" t="s">
        <v>469</v>
      </c>
      <c r="D103" s="115" t="s">
        <v>970</v>
      </c>
      <c r="E103" s="114" t="s">
        <v>1058</v>
      </c>
      <c r="F103" s="80">
        <v>45492</v>
      </c>
      <c r="G103" s="115" t="s">
        <v>1074</v>
      </c>
      <c r="H103" s="116"/>
      <c r="I103" s="116"/>
      <c r="J103" s="116"/>
      <c r="K103" s="116"/>
      <c r="L103" s="114" t="s">
        <v>30</v>
      </c>
      <c r="M103" s="115" t="s">
        <v>481</v>
      </c>
      <c r="N103" s="115" t="s">
        <v>1075</v>
      </c>
      <c r="O103" s="114" t="s">
        <v>808</v>
      </c>
      <c r="P103" s="114" t="s">
        <v>1060</v>
      </c>
      <c r="Q103" s="114" t="s">
        <v>1061</v>
      </c>
      <c r="R103" s="115" t="s">
        <v>645</v>
      </c>
      <c r="S103" s="127">
        <v>45586</v>
      </c>
      <c r="T103" s="112" t="s">
        <v>1076</v>
      </c>
      <c r="U103" s="132" t="s">
        <v>1077</v>
      </c>
      <c r="V103" s="135" t="s">
        <v>600</v>
      </c>
      <c r="W103" s="103"/>
      <c r="X103" s="103"/>
      <c r="Y103" s="103"/>
      <c r="Z103" s="103"/>
      <c r="AA103" s="103"/>
    </row>
    <row r="104" spans="1:27">
      <c r="A104" s="111" t="s">
        <v>1078</v>
      </c>
      <c r="B104" s="112" t="s">
        <v>1079</v>
      </c>
      <c r="C104" s="113" t="s">
        <v>624</v>
      </c>
      <c r="D104" s="114" t="s">
        <v>470</v>
      </c>
      <c r="E104" s="114" t="s">
        <v>659</v>
      </c>
      <c r="F104" s="80">
        <v>45496</v>
      </c>
      <c r="G104" s="115" t="s">
        <v>1080</v>
      </c>
      <c r="H104" s="124">
        <v>45510</v>
      </c>
      <c r="I104" s="124">
        <v>45512</v>
      </c>
      <c r="J104" s="116"/>
      <c r="K104" s="124">
        <v>45519</v>
      </c>
      <c r="L104" s="114" t="s">
        <v>18</v>
      </c>
      <c r="M104" s="114" t="s">
        <v>44</v>
      </c>
      <c r="N104" s="116"/>
      <c r="O104" s="114" t="s">
        <v>20</v>
      </c>
      <c r="P104" s="116"/>
      <c r="Q104" s="116"/>
      <c r="R104" s="115" t="s">
        <v>491</v>
      </c>
      <c r="S104" s="80">
        <v>45569</v>
      </c>
      <c r="T104" s="112" t="s">
        <v>1081</v>
      </c>
      <c r="U104" s="103"/>
      <c r="V104" s="103"/>
      <c r="W104" s="103"/>
      <c r="X104" s="103"/>
      <c r="Y104" s="103"/>
      <c r="Z104" s="103"/>
      <c r="AA104" s="103"/>
    </row>
    <row r="105" spans="1:27">
      <c r="A105" s="111" t="s">
        <v>141</v>
      </c>
      <c r="B105" s="112" t="s">
        <v>142</v>
      </c>
      <c r="C105" s="113" t="s">
        <v>515</v>
      </c>
      <c r="D105" s="114" t="s">
        <v>1082</v>
      </c>
      <c r="E105" s="114" t="s">
        <v>1083</v>
      </c>
      <c r="F105" s="80">
        <v>45357</v>
      </c>
      <c r="G105" s="115" t="s">
        <v>952</v>
      </c>
      <c r="H105" s="116"/>
      <c r="I105" s="116"/>
      <c r="J105" s="116"/>
      <c r="K105" s="116"/>
      <c r="L105" s="114" t="s">
        <v>30</v>
      </c>
      <c r="M105" s="114" t="s">
        <v>481</v>
      </c>
      <c r="N105" s="114" t="s">
        <v>1084</v>
      </c>
      <c r="O105" s="114" t="s">
        <v>1085</v>
      </c>
      <c r="P105" s="114" t="s">
        <v>1086</v>
      </c>
      <c r="Q105" s="114" t="s">
        <v>1087</v>
      </c>
      <c r="R105" s="114" t="s">
        <v>954</v>
      </c>
      <c r="S105" s="127">
        <v>45596</v>
      </c>
      <c r="T105" s="112" t="s">
        <v>1088</v>
      </c>
      <c r="U105" s="132" t="s">
        <v>1089</v>
      </c>
      <c r="V105" s="103"/>
      <c r="W105" s="103"/>
      <c r="X105" s="103"/>
      <c r="Y105" s="103"/>
      <c r="Z105" s="103"/>
      <c r="AA105" s="103"/>
    </row>
    <row r="106" spans="1:27">
      <c r="A106" s="111" t="s">
        <v>1090</v>
      </c>
      <c r="B106" s="112" t="s">
        <v>1091</v>
      </c>
      <c r="C106" s="113" t="s">
        <v>469</v>
      </c>
      <c r="D106" s="114" t="s">
        <v>1092</v>
      </c>
      <c r="E106" s="114" t="s">
        <v>1093</v>
      </c>
      <c r="F106" s="80">
        <v>45492</v>
      </c>
      <c r="G106" s="115" t="s">
        <v>1094</v>
      </c>
      <c r="H106" s="116"/>
      <c r="I106" s="116"/>
      <c r="J106" s="116"/>
      <c r="K106" s="116"/>
      <c r="L106" s="114" t="s">
        <v>18</v>
      </c>
      <c r="M106" s="114" t="s">
        <v>508</v>
      </c>
      <c r="N106" s="116"/>
      <c r="O106" s="114" t="s">
        <v>996</v>
      </c>
      <c r="P106" s="114" t="s">
        <v>1095</v>
      </c>
      <c r="Q106" s="114" t="s">
        <v>1096</v>
      </c>
      <c r="R106" s="114" t="s">
        <v>1097</v>
      </c>
      <c r="S106" s="80">
        <v>45532</v>
      </c>
      <c r="T106" s="113" t="s">
        <v>1098</v>
      </c>
      <c r="U106" s="103"/>
      <c r="V106" s="103"/>
      <c r="W106" s="103"/>
      <c r="X106" s="103"/>
      <c r="Y106" s="103"/>
      <c r="Z106" s="103"/>
      <c r="AA106" s="103"/>
    </row>
    <row r="107" spans="1:27">
      <c r="A107" s="111" t="s">
        <v>1099</v>
      </c>
      <c r="B107" s="112" t="s">
        <v>1100</v>
      </c>
      <c r="C107" s="113" t="s">
        <v>546</v>
      </c>
      <c r="D107" s="114" t="s">
        <v>470</v>
      </c>
      <c r="E107" s="114" t="s">
        <v>1101</v>
      </c>
      <c r="F107" s="80">
        <v>45489</v>
      </c>
      <c r="G107" s="115" t="s">
        <v>1102</v>
      </c>
      <c r="H107" s="116"/>
      <c r="I107" s="116"/>
      <c r="J107" s="116"/>
      <c r="K107" s="116"/>
      <c r="L107" s="114" t="s">
        <v>18</v>
      </c>
      <c r="M107" s="114" t="s">
        <v>481</v>
      </c>
      <c r="N107" s="116"/>
      <c r="O107" s="114" t="s">
        <v>808</v>
      </c>
      <c r="P107" s="114" t="s">
        <v>1103</v>
      </c>
      <c r="Q107" s="115" t="s">
        <v>1104</v>
      </c>
      <c r="R107" s="115" t="s">
        <v>1105</v>
      </c>
      <c r="S107" s="80">
        <v>45772</v>
      </c>
      <c r="T107" s="112" t="s">
        <v>1106</v>
      </c>
      <c r="U107" s="132" t="s">
        <v>1107</v>
      </c>
      <c r="V107" s="135" t="s">
        <v>600</v>
      </c>
      <c r="W107" s="103"/>
      <c r="X107" s="103"/>
      <c r="Y107" s="103"/>
      <c r="Z107" s="103"/>
      <c r="AA107" s="103"/>
    </row>
    <row r="108" spans="1:27">
      <c r="A108" s="111" t="s">
        <v>1108</v>
      </c>
      <c r="B108" s="112" t="s">
        <v>1109</v>
      </c>
      <c r="C108" s="113" t="s">
        <v>546</v>
      </c>
      <c r="D108" s="115" t="s">
        <v>478</v>
      </c>
      <c r="E108" s="114" t="s">
        <v>1110</v>
      </c>
      <c r="F108" s="80">
        <v>45432</v>
      </c>
      <c r="G108" s="115" t="s">
        <v>1111</v>
      </c>
      <c r="H108" s="116"/>
      <c r="I108" s="116"/>
      <c r="J108" s="116"/>
      <c r="K108" s="116"/>
      <c r="L108" s="114" t="s">
        <v>30</v>
      </c>
      <c r="M108" s="114" t="s">
        <v>481</v>
      </c>
      <c r="N108" s="116"/>
      <c r="O108" s="114" t="s">
        <v>808</v>
      </c>
      <c r="P108" s="115" t="s">
        <v>680</v>
      </c>
      <c r="Q108" s="114" t="s">
        <v>1112</v>
      </c>
      <c r="R108" s="115" t="s">
        <v>597</v>
      </c>
      <c r="S108" s="127">
        <v>45581</v>
      </c>
      <c r="T108" s="112" t="s">
        <v>1113</v>
      </c>
      <c r="U108" s="132" t="s">
        <v>1114</v>
      </c>
      <c r="V108" s="135" t="s">
        <v>600</v>
      </c>
      <c r="W108" s="103"/>
      <c r="X108" s="103"/>
      <c r="Y108" s="103"/>
      <c r="Z108" s="103"/>
      <c r="AA108" s="103"/>
    </row>
    <row r="109" spans="1:27">
      <c r="A109" s="111" t="s">
        <v>1115</v>
      </c>
      <c r="B109" s="112" t="s">
        <v>1116</v>
      </c>
      <c r="C109" s="113" t="s">
        <v>624</v>
      </c>
      <c r="D109" s="114" t="s">
        <v>470</v>
      </c>
      <c r="E109" s="114" t="s">
        <v>659</v>
      </c>
      <c r="F109" s="80">
        <v>45503</v>
      </c>
      <c r="G109" s="115" t="s">
        <v>1117</v>
      </c>
      <c r="H109" s="124">
        <v>45533</v>
      </c>
      <c r="I109" s="124">
        <v>45537</v>
      </c>
      <c r="J109" s="116"/>
      <c r="K109" s="116"/>
      <c r="L109" s="114" t="s">
        <v>18</v>
      </c>
      <c r="M109" s="114" t="s">
        <v>44</v>
      </c>
      <c r="N109" s="116"/>
      <c r="O109" s="117" t="s">
        <v>816</v>
      </c>
      <c r="P109" s="116"/>
      <c r="Q109" s="116"/>
      <c r="R109" s="115" t="s">
        <v>628</v>
      </c>
      <c r="S109" s="80">
        <v>45538</v>
      </c>
      <c r="T109" s="112" t="s">
        <v>1118</v>
      </c>
      <c r="U109" s="103"/>
      <c r="V109" s="103"/>
      <c r="W109" s="103"/>
      <c r="X109" s="103"/>
      <c r="Y109" s="103"/>
      <c r="Z109" s="103"/>
      <c r="AA109" s="103"/>
    </row>
    <row r="110" spans="1:27">
      <c r="A110" s="111" t="s">
        <v>1119</v>
      </c>
      <c r="B110" s="112" t="s">
        <v>1120</v>
      </c>
      <c r="C110" s="113" t="s">
        <v>624</v>
      </c>
      <c r="D110" s="114" t="s">
        <v>470</v>
      </c>
      <c r="E110" s="114" t="s">
        <v>506</v>
      </c>
      <c r="F110" s="80">
        <v>45512</v>
      </c>
      <c r="G110" s="115" t="s">
        <v>1121</v>
      </c>
      <c r="H110" s="124">
        <v>45541</v>
      </c>
      <c r="I110" s="124">
        <v>45552</v>
      </c>
      <c r="J110" s="116"/>
      <c r="K110" s="114" t="s">
        <v>820</v>
      </c>
      <c r="L110" s="114" t="s">
        <v>18</v>
      </c>
      <c r="M110" s="114" t="s">
        <v>44</v>
      </c>
      <c r="N110" s="116"/>
      <c r="O110" s="114" t="s">
        <v>20</v>
      </c>
      <c r="P110" s="115" t="s">
        <v>490</v>
      </c>
      <c r="Q110" s="115" t="s">
        <v>490</v>
      </c>
      <c r="R110" s="114" t="s">
        <v>550</v>
      </c>
      <c r="S110" s="80">
        <v>45631</v>
      </c>
      <c r="T110" s="112" t="s">
        <v>1122</v>
      </c>
      <c r="U110" s="103"/>
      <c r="V110" s="103"/>
      <c r="W110" s="103"/>
      <c r="X110" s="103"/>
      <c r="Y110" s="103"/>
      <c r="Z110" s="103"/>
      <c r="AA110" s="103"/>
    </row>
    <row r="111" spans="1:27">
      <c r="A111" s="111" t="s">
        <v>1123</v>
      </c>
      <c r="B111" s="112" t="s">
        <v>1124</v>
      </c>
      <c r="C111" s="113" t="s">
        <v>546</v>
      </c>
      <c r="D111" s="114" t="s">
        <v>470</v>
      </c>
      <c r="E111" s="114" t="s">
        <v>724</v>
      </c>
      <c r="F111" s="80">
        <v>45463</v>
      </c>
      <c r="G111" s="115" t="s">
        <v>1125</v>
      </c>
      <c r="H111" s="114" t="s">
        <v>820</v>
      </c>
      <c r="I111" s="124">
        <v>45603</v>
      </c>
      <c r="J111" s="116"/>
      <c r="K111" s="116"/>
      <c r="L111" s="114" t="s">
        <v>30</v>
      </c>
      <c r="M111" s="114" t="s">
        <v>563</v>
      </c>
      <c r="N111" s="116"/>
      <c r="O111" s="114" t="s">
        <v>20</v>
      </c>
      <c r="P111" s="114" t="s">
        <v>1112</v>
      </c>
      <c r="Q111" s="114" t="s">
        <v>853</v>
      </c>
      <c r="R111" s="114" t="s">
        <v>950</v>
      </c>
      <c r="S111" s="127">
        <v>45588</v>
      </c>
      <c r="T111" s="112" t="s">
        <v>1126</v>
      </c>
      <c r="U111" s="103"/>
      <c r="V111" s="103"/>
      <c r="W111" s="103"/>
      <c r="X111" s="103"/>
      <c r="Y111" s="103"/>
      <c r="Z111" s="103"/>
      <c r="AA111" s="103"/>
    </row>
    <row r="112" spans="1:27">
      <c r="A112" s="111" t="s">
        <v>1127</v>
      </c>
      <c r="B112" s="112" t="s">
        <v>1128</v>
      </c>
      <c r="C112" s="113" t="s">
        <v>1129</v>
      </c>
      <c r="D112" s="115" t="s">
        <v>1129</v>
      </c>
      <c r="E112" s="115" t="s">
        <v>1129</v>
      </c>
      <c r="F112" s="80">
        <v>45504</v>
      </c>
      <c r="G112" s="115" t="s">
        <v>1130</v>
      </c>
      <c r="H112" s="116"/>
      <c r="I112" s="116"/>
      <c r="J112" s="116"/>
      <c r="K112" s="116"/>
      <c r="L112" s="115" t="s">
        <v>30</v>
      </c>
      <c r="M112" s="114" t="s">
        <v>1131</v>
      </c>
      <c r="N112" s="116"/>
      <c r="O112" s="117" t="s">
        <v>27</v>
      </c>
      <c r="P112" s="114" t="s">
        <v>1132</v>
      </c>
      <c r="Q112" s="114" t="s">
        <v>803</v>
      </c>
      <c r="R112" s="114" t="s">
        <v>1133</v>
      </c>
      <c r="S112" s="127">
        <v>45636</v>
      </c>
      <c r="T112" s="112" t="s">
        <v>1134</v>
      </c>
      <c r="U112" s="132" t="s">
        <v>1135</v>
      </c>
      <c r="V112" s="135" t="s">
        <v>600</v>
      </c>
      <c r="W112" s="103"/>
      <c r="X112" s="103"/>
      <c r="Y112" s="103"/>
      <c r="Z112" s="103"/>
      <c r="AA112" s="103"/>
    </row>
    <row r="113" spans="1:27">
      <c r="A113" s="111" t="s">
        <v>1136</v>
      </c>
      <c r="B113" s="112" t="s">
        <v>1137</v>
      </c>
      <c r="C113" s="113" t="s">
        <v>1138</v>
      </c>
      <c r="D113" s="115" t="s">
        <v>1139</v>
      </c>
      <c r="E113" s="114" t="s">
        <v>1139</v>
      </c>
      <c r="F113" s="80">
        <v>45516</v>
      </c>
      <c r="G113" s="115" t="s">
        <v>1140</v>
      </c>
      <c r="H113" s="116"/>
      <c r="I113" s="116"/>
      <c r="J113" s="116"/>
      <c r="K113" s="116"/>
      <c r="L113" s="115" t="s">
        <v>18</v>
      </c>
      <c r="M113" s="114" t="s">
        <v>508</v>
      </c>
      <c r="N113" s="116"/>
      <c r="O113" s="117" t="s">
        <v>27</v>
      </c>
      <c r="P113" s="114" t="s">
        <v>484</v>
      </c>
      <c r="Q113" s="114" t="s">
        <v>509</v>
      </c>
      <c r="R113" s="114" t="s">
        <v>550</v>
      </c>
      <c r="S113" s="80">
        <v>45604</v>
      </c>
      <c r="T113" s="112" t="s">
        <v>1141</v>
      </c>
      <c r="U113" s="132" t="s">
        <v>1142</v>
      </c>
      <c r="V113" s="135" t="s">
        <v>600</v>
      </c>
      <c r="W113" s="103"/>
      <c r="X113" s="103"/>
      <c r="Y113" s="103"/>
      <c r="Z113" s="103"/>
      <c r="AA113" s="103"/>
    </row>
    <row r="114" spans="1:27">
      <c r="A114" s="111" t="s">
        <v>1143</v>
      </c>
      <c r="B114" s="112" t="s">
        <v>1144</v>
      </c>
      <c r="C114" s="113" t="s">
        <v>624</v>
      </c>
      <c r="D114" s="114" t="s">
        <v>470</v>
      </c>
      <c r="E114" s="114" t="s">
        <v>1145</v>
      </c>
      <c r="F114" s="80">
        <v>45517</v>
      </c>
      <c r="G114" s="115" t="s">
        <v>1146</v>
      </c>
      <c r="H114" s="124">
        <v>45545</v>
      </c>
      <c r="I114" s="124">
        <v>45551</v>
      </c>
      <c r="J114" s="116"/>
      <c r="K114" s="116"/>
      <c r="L114" s="114" t="s">
        <v>18</v>
      </c>
      <c r="M114" s="114" t="s">
        <v>44</v>
      </c>
      <c r="N114" s="116"/>
      <c r="O114" s="114" t="s">
        <v>808</v>
      </c>
      <c r="P114" s="116"/>
      <c r="Q114" s="116"/>
      <c r="R114" s="114" t="s">
        <v>550</v>
      </c>
      <c r="S114" s="80">
        <v>45551</v>
      </c>
      <c r="T114" s="112" t="s">
        <v>1147</v>
      </c>
      <c r="U114" s="103"/>
      <c r="V114" s="103"/>
      <c r="W114" s="103"/>
      <c r="X114" s="103"/>
      <c r="Y114" s="103"/>
      <c r="Z114" s="103"/>
      <c r="AA114" s="103"/>
    </row>
    <row r="115" spans="1:27">
      <c r="A115" s="111" t="s">
        <v>1148</v>
      </c>
      <c r="B115" s="112" t="s">
        <v>1149</v>
      </c>
      <c r="C115" s="113" t="s">
        <v>1150</v>
      </c>
      <c r="D115" s="115" t="s">
        <v>1139</v>
      </c>
      <c r="E115" s="114" t="s">
        <v>1139</v>
      </c>
      <c r="F115" s="80">
        <v>45518</v>
      </c>
      <c r="G115" s="115" t="s">
        <v>1151</v>
      </c>
      <c r="H115" s="116"/>
      <c r="I115" s="116"/>
      <c r="J115" s="116"/>
      <c r="K115" s="116"/>
      <c r="L115" s="114" t="s">
        <v>18</v>
      </c>
      <c r="M115" s="114" t="s">
        <v>481</v>
      </c>
      <c r="N115" s="116"/>
      <c r="O115" s="117" t="s">
        <v>27</v>
      </c>
      <c r="P115" s="116"/>
      <c r="Q115" s="116"/>
      <c r="R115" s="114" t="s">
        <v>597</v>
      </c>
      <c r="S115" s="80">
        <v>45601</v>
      </c>
      <c r="T115" s="112" t="s">
        <v>1152</v>
      </c>
      <c r="U115" s="132" t="s">
        <v>1153</v>
      </c>
      <c r="V115" s="135" t="s">
        <v>600</v>
      </c>
      <c r="W115" s="103"/>
      <c r="X115" s="103"/>
      <c r="Y115" s="103"/>
      <c r="Z115" s="103"/>
      <c r="AA115" s="103"/>
    </row>
    <row r="116" spans="1:27">
      <c r="A116" s="111" t="s">
        <v>214</v>
      </c>
      <c r="B116" s="112" t="s">
        <v>1154</v>
      </c>
      <c r="C116" s="113" t="s">
        <v>515</v>
      </c>
      <c r="D116" s="114" t="s">
        <v>1155</v>
      </c>
      <c r="E116" s="114" t="s">
        <v>643</v>
      </c>
      <c r="F116" s="80">
        <v>45518</v>
      </c>
      <c r="G116" s="115" t="s">
        <v>1156</v>
      </c>
      <c r="H116" s="116"/>
      <c r="I116" s="116"/>
      <c r="J116" s="116"/>
      <c r="K116" s="116"/>
      <c r="L116" s="114" t="s">
        <v>30</v>
      </c>
      <c r="M116" s="114" t="s">
        <v>481</v>
      </c>
      <c r="N116" s="116"/>
      <c r="O116" s="114" t="s">
        <v>808</v>
      </c>
      <c r="P116" s="114" t="s">
        <v>1095</v>
      </c>
      <c r="Q116" s="114" t="s">
        <v>614</v>
      </c>
      <c r="R116" s="114" t="s">
        <v>645</v>
      </c>
      <c r="S116" s="127">
        <v>45587</v>
      </c>
      <c r="T116" s="112" t="s">
        <v>1157</v>
      </c>
      <c r="U116" s="132" t="s">
        <v>552</v>
      </c>
      <c r="V116" s="133" t="s">
        <v>591</v>
      </c>
      <c r="W116" s="103"/>
      <c r="X116" s="103"/>
      <c r="Y116" s="103"/>
      <c r="Z116" s="103"/>
      <c r="AA116" s="103"/>
    </row>
    <row r="117" spans="1:27">
      <c r="A117" s="119" t="s">
        <v>1158</v>
      </c>
      <c r="B117" s="120" t="s">
        <v>1159</v>
      </c>
      <c r="C117" s="113" t="s">
        <v>539</v>
      </c>
      <c r="D117" s="114" t="s">
        <v>1057</v>
      </c>
      <c r="E117" s="114" t="s">
        <v>479</v>
      </c>
      <c r="F117" s="80">
        <v>45208</v>
      </c>
      <c r="G117" s="115" t="s">
        <v>1160</v>
      </c>
      <c r="H117" s="130">
        <v>45582</v>
      </c>
      <c r="I117" s="124">
        <v>45236</v>
      </c>
      <c r="J117" s="116"/>
      <c r="K117" s="124">
        <v>45429</v>
      </c>
      <c r="L117" s="114" t="s">
        <v>18</v>
      </c>
      <c r="M117" s="114" t="s">
        <v>44</v>
      </c>
      <c r="N117" s="116"/>
      <c r="O117" s="114" t="s">
        <v>20</v>
      </c>
      <c r="P117" s="114" t="s">
        <v>1161</v>
      </c>
      <c r="Q117" s="114" t="s">
        <v>1161</v>
      </c>
      <c r="R117" s="115" t="s">
        <v>491</v>
      </c>
      <c r="S117" s="39">
        <v>45498</v>
      </c>
      <c r="T117" s="120" t="s">
        <v>1162</v>
      </c>
      <c r="U117" s="103"/>
      <c r="V117" s="103"/>
      <c r="W117" s="103"/>
      <c r="X117" s="103"/>
      <c r="Y117" s="103"/>
      <c r="Z117" s="103"/>
      <c r="AA117" s="103"/>
    </row>
    <row r="118" spans="1:27">
      <c r="A118" s="111" t="s">
        <v>1163</v>
      </c>
      <c r="B118" s="112" t="s">
        <v>1164</v>
      </c>
      <c r="C118" s="113" t="s">
        <v>539</v>
      </c>
      <c r="D118" s="114" t="s">
        <v>1057</v>
      </c>
      <c r="E118" s="114" t="s">
        <v>672</v>
      </c>
      <c r="F118" s="80">
        <v>45490</v>
      </c>
      <c r="G118" s="115" t="s">
        <v>1165</v>
      </c>
      <c r="H118" s="116"/>
      <c r="I118" s="116"/>
      <c r="J118" s="116"/>
      <c r="K118" s="116"/>
      <c r="L118" s="114" t="s">
        <v>18</v>
      </c>
      <c r="M118" s="114" t="s">
        <v>44</v>
      </c>
      <c r="N118" s="116"/>
      <c r="O118" s="117" t="s">
        <v>27</v>
      </c>
      <c r="P118" s="116"/>
      <c r="Q118" s="116"/>
      <c r="R118" s="114" t="s">
        <v>645</v>
      </c>
      <c r="S118" s="80">
        <v>45701</v>
      </c>
      <c r="T118" s="112" t="s">
        <v>1166</v>
      </c>
      <c r="U118" s="132" t="s">
        <v>1167</v>
      </c>
      <c r="V118" s="135" t="s">
        <v>600</v>
      </c>
      <c r="W118" s="103"/>
      <c r="X118" s="103"/>
      <c r="Y118" s="103"/>
      <c r="Z118" s="103"/>
      <c r="AA118" s="103"/>
    </row>
    <row r="119" spans="1:27">
      <c r="A119" s="111" t="s">
        <v>1168</v>
      </c>
      <c r="B119" s="120" t="s">
        <v>1169</v>
      </c>
      <c r="C119" s="113" t="s">
        <v>624</v>
      </c>
      <c r="D119" s="114" t="s">
        <v>470</v>
      </c>
      <c r="E119" s="114" t="s">
        <v>659</v>
      </c>
      <c r="F119" s="80">
        <v>45527</v>
      </c>
      <c r="G119" s="115" t="s">
        <v>1170</v>
      </c>
      <c r="H119" s="124">
        <v>45548</v>
      </c>
      <c r="I119" s="124">
        <v>45552</v>
      </c>
      <c r="J119" s="116"/>
      <c r="K119" s="116"/>
      <c r="L119" s="114" t="s">
        <v>18</v>
      </c>
      <c r="M119" s="114" t="s">
        <v>44</v>
      </c>
      <c r="N119" s="116"/>
      <c r="O119" s="117" t="s">
        <v>27</v>
      </c>
      <c r="P119" s="114" t="s">
        <v>1161</v>
      </c>
      <c r="Q119" s="114" t="s">
        <v>1161</v>
      </c>
      <c r="R119" s="114" t="s">
        <v>628</v>
      </c>
      <c r="S119" s="80">
        <v>45567</v>
      </c>
      <c r="T119" s="112" t="s">
        <v>1171</v>
      </c>
      <c r="U119" s="103"/>
      <c r="V119" s="103"/>
      <c r="W119" s="103"/>
      <c r="X119" s="103"/>
      <c r="Y119" s="103"/>
      <c r="Z119" s="103"/>
      <c r="AA119" s="103"/>
    </row>
    <row r="120" spans="1:27">
      <c r="A120" s="111" t="s">
        <v>1172</v>
      </c>
      <c r="B120" s="120" t="s">
        <v>1173</v>
      </c>
      <c r="C120" s="113" t="s">
        <v>469</v>
      </c>
      <c r="D120" s="114" t="s">
        <v>1174</v>
      </c>
      <c r="E120" s="114" t="s">
        <v>684</v>
      </c>
      <c r="F120" s="80">
        <v>45531</v>
      </c>
      <c r="G120" s="115" t="s">
        <v>1175</v>
      </c>
      <c r="H120" s="116"/>
      <c r="I120" s="116"/>
      <c r="J120" s="116"/>
      <c r="K120" s="116"/>
      <c r="L120" s="114" t="s">
        <v>30</v>
      </c>
      <c r="M120" s="114" t="s">
        <v>563</v>
      </c>
      <c r="N120" s="115" t="s">
        <v>1176</v>
      </c>
      <c r="O120" s="117" t="s">
        <v>27</v>
      </c>
      <c r="P120" s="114" t="s">
        <v>1177</v>
      </c>
      <c r="Q120" s="114" t="s">
        <v>1178</v>
      </c>
      <c r="R120" s="146" t="s">
        <v>1179</v>
      </c>
      <c r="S120" s="80">
        <v>45602</v>
      </c>
      <c r="T120" s="112" t="s">
        <v>1180</v>
      </c>
      <c r="U120" s="132" t="s">
        <v>1181</v>
      </c>
      <c r="V120" s="135" t="s">
        <v>600</v>
      </c>
      <c r="W120" s="103"/>
      <c r="X120" s="103"/>
      <c r="Y120" s="103"/>
      <c r="Z120" s="103"/>
      <c r="AA120" s="103"/>
    </row>
    <row r="121" spans="1:27">
      <c r="A121" s="119" t="s">
        <v>1182</v>
      </c>
      <c r="B121" s="112" t="s">
        <v>1183</v>
      </c>
      <c r="C121" s="121" t="s">
        <v>546</v>
      </c>
      <c r="D121" s="42" t="s">
        <v>610</v>
      </c>
      <c r="E121" s="42" t="s">
        <v>1184</v>
      </c>
      <c r="F121" s="39">
        <v>45111</v>
      </c>
      <c r="G121" s="122" t="s">
        <v>1185</v>
      </c>
      <c r="H121" s="45">
        <v>45525</v>
      </c>
      <c r="I121" s="45">
        <v>45530</v>
      </c>
      <c r="J121" s="123"/>
      <c r="K121" s="45">
        <v>45545</v>
      </c>
      <c r="L121" s="42" t="s">
        <v>30</v>
      </c>
      <c r="M121" s="114" t="s">
        <v>481</v>
      </c>
      <c r="N121" s="42" t="s">
        <v>1186</v>
      </c>
      <c r="O121" s="42" t="s">
        <v>20</v>
      </c>
      <c r="P121" s="42" t="s">
        <v>997</v>
      </c>
      <c r="Q121" s="122" t="s">
        <v>614</v>
      </c>
      <c r="R121" s="114" t="s">
        <v>1187</v>
      </c>
      <c r="S121" s="90">
        <v>45587</v>
      </c>
      <c r="T121" s="120" t="s">
        <v>1188</v>
      </c>
      <c r="U121" s="118"/>
      <c r="V121" s="118"/>
      <c r="W121" s="118"/>
      <c r="X121" s="118"/>
      <c r="Y121" s="118"/>
      <c r="Z121" s="118"/>
      <c r="AA121" s="118"/>
    </row>
    <row r="122" spans="1:27">
      <c r="A122" s="119" t="s">
        <v>208</v>
      </c>
      <c r="B122" s="120" t="s">
        <v>209</v>
      </c>
      <c r="C122" s="123"/>
      <c r="D122" s="42" t="s">
        <v>516</v>
      </c>
      <c r="E122" s="42" t="s">
        <v>636</v>
      </c>
      <c r="F122" s="39">
        <v>45495</v>
      </c>
      <c r="G122" s="122" t="s">
        <v>1189</v>
      </c>
      <c r="H122" s="123"/>
      <c r="I122" s="123"/>
      <c r="J122" s="123"/>
      <c r="K122" s="123"/>
      <c r="L122" s="42" t="s">
        <v>30</v>
      </c>
      <c r="M122" s="114" t="s">
        <v>563</v>
      </c>
      <c r="N122" s="42" t="s">
        <v>1190</v>
      </c>
      <c r="O122" s="117" t="s">
        <v>27</v>
      </c>
      <c r="P122" s="123"/>
      <c r="Q122" s="123"/>
      <c r="R122" s="114" t="s">
        <v>1191</v>
      </c>
      <c r="S122" s="39">
        <v>45602</v>
      </c>
      <c r="T122" s="123"/>
      <c r="U122" s="147" t="s">
        <v>1192</v>
      </c>
      <c r="V122" s="135" t="s">
        <v>600</v>
      </c>
      <c r="W122" s="118"/>
      <c r="X122" s="118"/>
      <c r="Y122" s="118"/>
      <c r="Z122" s="118"/>
      <c r="AA122" s="118"/>
    </row>
    <row r="123" spans="1:27">
      <c r="A123" s="111" t="s">
        <v>1193</v>
      </c>
      <c r="B123" s="112" t="s">
        <v>1194</v>
      </c>
      <c r="C123" s="113" t="s">
        <v>624</v>
      </c>
      <c r="D123" s="114" t="s">
        <v>470</v>
      </c>
      <c r="E123" s="114" t="s">
        <v>659</v>
      </c>
      <c r="F123" s="80">
        <v>45531</v>
      </c>
      <c r="G123" s="115" t="s">
        <v>1195</v>
      </c>
      <c r="H123" s="124">
        <v>45565</v>
      </c>
      <c r="I123" s="124">
        <v>45573</v>
      </c>
      <c r="J123" s="116"/>
      <c r="K123" s="116"/>
      <c r="L123" s="114" t="s">
        <v>18</v>
      </c>
      <c r="M123" s="114" t="s">
        <v>44</v>
      </c>
      <c r="N123" s="116"/>
      <c r="O123" s="117" t="s">
        <v>27</v>
      </c>
      <c r="P123" s="116"/>
      <c r="Q123" s="116"/>
      <c r="R123" s="114" t="s">
        <v>628</v>
      </c>
      <c r="S123" s="127">
        <v>45575</v>
      </c>
      <c r="T123" s="116"/>
      <c r="U123" s="103"/>
      <c r="V123" s="103"/>
      <c r="W123" s="103"/>
      <c r="X123" s="103"/>
      <c r="Y123" s="103"/>
      <c r="Z123" s="103"/>
      <c r="AA123" s="103"/>
    </row>
    <row r="124" spans="1:27">
      <c r="A124" s="111" t="s">
        <v>1196</v>
      </c>
      <c r="B124" s="112" t="s">
        <v>1197</v>
      </c>
      <c r="C124" s="113" t="s">
        <v>469</v>
      </c>
      <c r="D124" s="114" t="s">
        <v>1198</v>
      </c>
      <c r="E124" s="114" t="s">
        <v>1198</v>
      </c>
      <c r="F124" s="116"/>
      <c r="G124" s="115" t="s">
        <v>1199</v>
      </c>
      <c r="H124" s="116"/>
      <c r="I124" s="116"/>
      <c r="J124" s="116"/>
      <c r="K124" s="116"/>
      <c r="L124" s="114" t="s">
        <v>18</v>
      </c>
      <c r="M124" s="114" t="s">
        <v>508</v>
      </c>
      <c r="N124" s="116"/>
      <c r="O124" s="117" t="s">
        <v>27</v>
      </c>
      <c r="P124" s="114" t="s">
        <v>1200</v>
      </c>
      <c r="Q124" s="115" t="s">
        <v>1201</v>
      </c>
      <c r="R124" s="114" t="s">
        <v>1202</v>
      </c>
      <c r="S124" s="80">
        <v>45603</v>
      </c>
      <c r="T124" s="112" t="s">
        <v>1203</v>
      </c>
      <c r="U124" s="132" t="s">
        <v>1181</v>
      </c>
      <c r="V124" s="135" t="s">
        <v>600</v>
      </c>
      <c r="W124" s="103"/>
      <c r="X124" s="103"/>
      <c r="Y124" s="103"/>
      <c r="Z124" s="103"/>
      <c r="AA124" s="103"/>
    </row>
    <row r="125" spans="1:27">
      <c r="A125" s="111" t="s">
        <v>1204</v>
      </c>
      <c r="B125" s="112" t="s">
        <v>1205</v>
      </c>
      <c r="C125" s="113" t="s">
        <v>624</v>
      </c>
      <c r="D125" s="114" t="s">
        <v>470</v>
      </c>
      <c r="E125" s="114" t="s">
        <v>1206</v>
      </c>
      <c r="F125" s="116"/>
      <c r="G125" s="115" t="s">
        <v>1207</v>
      </c>
      <c r="H125" s="116"/>
      <c r="I125" s="116"/>
      <c r="J125" s="116"/>
      <c r="K125" s="116"/>
      <c r="L125" s="42" t="s">
        <v>30</v>
      </c>
      <c r="M125" s="114" t="s">
        <v>44</v>
      </c>
      <c r="N125" s="116"/>
      <c r="O125" s="117" t="s">
        <v>27</v>
      </c>
      <c r="P125" s="42" t="s">
        <v>714</v>
      </c>
      <c r="Q125" s="115" t="s">
        <v>1208</v>
      </c>
      <c r="R125" s="114" t="s">
        <v>550</v>
      </c>
      <c r="S125" s="127">
        <v>45587</v>
      </c>
      <c r="T125" s="112" t="s">
        <v>1209</v>
      </c>
      <c r="U125" s="132" t="s">
        <v>1210</v>
      </c>
      <c r="V125" s="135" t="s">
        <v>600</v>
      </c>
      <c r="W125" s="103"/>
      <c r="X125" s="103"/>
      <c r="Y125" s="103"/>
      <c r="Z125" s="103"/>
      <c r="AA125" s="103"/>
    </row>
    <row r="126" spans="1:27">
      <c r="A126" s="111" t="s">
        <v>190</v>
      </c>
      <c r="B126" s="112" t="s">
        <v>191</v>
      </c>
      <c r="C126" s="113" t="s">
        <v>1211</v>
      </c>
      <c r="D126" s="114" t="s">
        <v>645</v>
      </c>
      <c r="E126" s="114" t="s">
        <v>1206</v>
      </c>
      <c r="F126" s="116"/>
      <c r="G126" s="115" t="s">
        <v>1212</v>
      </c>
      <c r="H126" s="116"/>
      <c r="I126" s="116"/>
      <c r="J126" s="116"/>
      <c r="K126" s="116"/>
      <c r="L126" s="114" t="s">
        <v>18</v>
      </c>
      <c r="M126" s="114" t="s">
        <v>508</v>
      </c>
      <c r="N126" s="116"/>
      <c r="O126" s="117" t="s">
        <v>27</v>
      </c>
      <c r="P126" s="114" t="s">
        <v>920</v>
      </c>
      <c r="Q126" s="114" t="s">
        <v>1208</v>
      </c>
      <c r="R126" s="114" t="s">
        <v>689</v>
      </c>
      <c r="S126" s="80">
        <v>45784</v>
      </c>
      <c r="T126" s="112" t="s">
        <v>1213</v>
      </c>
      <c r="U126" s="132" t="s">
        <v>1214</v>
      </c>
      <c r="V126" s="135" t="s">
        <v>600</v>
      </c>
      <c r="W126" s="103"/>
      <c r="X126" s="103"/>
      <c r="Y126" s="103"/>
      <c r="Z126" s="103"/>
      <c r="AA126" s="103"/>
    </row>
    <row r="127" spans="1:27">
      <c r="A127" s="111" t="s">
        <v>1215</v>
      </c>
      <c r="B127" s="112" t="s">
        <v>1216</v>
      </c>
      <c r="C127" s="113" t="s">
        <v>1211</v>
      </c>
      <c r="D127" s="114" t="s">
        <v>645</v>
      </c>
      <c r="E127" s="114" t="s">
        <v>1206</v>
      </c>
      <c r="F127" s="80">
        <v>45541</v>
      </c>
      <c r="G127" s="115" t="s">
        <v>1217</v>
      </c>
      <c r="H127" s="116"/>
      <c r="I127" s="116"/>
      <c r="J127" s="116"/>
      <c r="K127" s="116"/>
      <c r="L127" s="114" t="s">
        <v>18</v>
      </c>
      <c r="M127" s="114" t="s">
        <v>508</v>
      </c>
      <c r="N127" s="116"/>
      <c r="O127" s="117" t="s">
        <v>27</v>
      </c>
      <c r="P127" s="114" t="s">
        <v>1208</v>
      </c>
      <c r="Q127" s="114" t="s">
        <v>1218</v>
      </c>
      <c r="R127" s="114" t="s">
        <v>1219</v>
      </c>
      <c r="S127" s="127">
        <v>45609</v>
      </c>
      <c r="T127" s="112" t="s">
        <v>1220</v>
      </c>
      <c r="U127" s="132" t="s">
        <v>1214</v>
      </c>
      <c r="V127" s="135" t="s">
        <v>600</v>
      </c>
      <c r="W127" s="103"/>
      <c r="X127" s="103"/>
      <c r="Y127" s="103"/>
      <c r="Z127" s="103"/>
      <c r="AA127" s="103"/>
    </row>
    <row r="128" spans="1:27">
      <c r="A128" s="111" t="s">
        <v>210</v>
      </c>
      <c r="B128" s="112" t="s">
        <v>1221</v>
      </c>
      <c r="C128" s="116"/>
      <c r="D128" s="116"/>
      <c r="E128" s="116"/>
      <c r="F128" s="116"/>
      <c r="G128" s="116"/>
      <c r="H128" s="116"/>
      <c r="I128" s="116"/>
      <c r="J128" s="116"/>
      <c r="K128" s="116"/>
      <c r="L128" s="115" t="s">
        <v>18</v>
      </c>
      <c r="M128" s="115" t="s">
        <v>481</v>
      </c>
      <c r="N128" s="116"/>
      <c r="O128" s="117" t="s">
        <v>27</v>
      </c>
      <c r="P128" s="116"/>
      <c r="Q128" s="116"/>
      <c r="R128" s="114" t="s">
        <v>950</v>
      </c>
      <c r="S128" s="80">
        <v>45758</v>
      </c>
      <c r="T128" s="116"/>
      <c r="U128" s="132" t="s">
        <v>1222</v>
      </c>
      <c r="V128" s="133" t="s">
        <v>591</v>
      </c>
      <c r="W128" s="103"/>
      <c r="X128" s="103"/>
      <c r="Y128" s="103"/>
      <c r="Z128" s="103"/>
      <c r="AA128" s="103"/>
    </row>
    <row r="129" spans="1:27">
      <c r="A129" s="111" t="s">
        <v>241</v>
      </c>
      <c r="B129" s="112" t="s">
        <v>242</v>
      </c>
      <c r="C129" s="113" t="s">
        <v>515</v>
      </c>
      <c r="D129" s="42" t="s">
        <v>516</v>
      </c>
      <c r="E129" s="42" t="s">
        <v>636</v>
      </c>
      <c r="F129" s="116"/>
      <c r="G129" s="115" t="s">
        <v>1223</v>
      </c>
      <c r="H129" s="124">
        <v>45832</v>
      </c>
      <c r="I129" s="124">
        <v>45833</v>
      </c>
      <c r="J129" s="116"/>
      <c r="K129" s="116"/>
      <c r="L129" s="42" t="s">
        <v>30</v>
      </c>
      <c r="M129" s="114" t="s">
        <v>563</v>
      </c>
      <c r="N129" s="114" t="s">
        <v>1224</v>
      </c>
      <c r="O129" s="117" t="s">
        <v>27</v>
      </c>
      <c r="P129" s="114" t="s">
        <v>1225</v>
      </c>
      <c r="Q129" s="114" t="s">
        <v>638</v>
      </c>
      <c r="R129" s="114" t="s">
        <v>1191</v>
      </c>
      <c r="S129" s="127">
        <v>45645</v>
      </c>
      <c r="T129" s="112" t="s">
        <v>1226</v>
      </c>
      <c r="U129" s="132" t="s">
        <v>1227</v>
      </c>
      <c r="V129" s="135" t="s">
        <v>600</v>
      </c>
      <c r="W129" s="103"/>
      <c r="X129" s="103"/>
      <c r="Y129" s="103"/>
      <c r="Z129" s="103"/>
      <c r="AA129" s="103"/>
    </row>
    <row r="130" spans="1:27">
      <c r="A130" s="111" t="s">
        <v>1228</v>
      </c>
      <c r="B130" s="112" t="s">
        <v>1229</v>
      </c>
      <c r="C130" s="113" t="s">
        <v>469</v>
      </c>
      <c r="D130" s="115" t="s">
        <v>1230</v>
      </c>
      <c r="E130" s="114" t="s">
        <v>1231</v>
      </c>
      <c r="F130" s="116"/>
      <c r="G130" s="115" t="s">
        <v>1232</v>
      </c>
      <c r="H130" s="124">
        <v>45729</v>
      </c>
      <c r="I130" s="124">
        <v>45733</v>
      </c>
      <c r="J130" s="116"/>
      <c r="K130" s="116"/>
      <c r="L130" s="115" t="s">
        <v>18</v>
      </c>
      <c r="M130" s="114" t="s">
        <v>563</v>
      </c>
      <c r="N130" s="116"/>
      <c r="O130" s="117" t="s">
        <v>27</v>
      </c>
      <c r="P130" s="114" t="s">
        <v>817</v>
      </c>
      <c r="Q130" s="114" t="s">
        <v>818</v>
      </c>
      <c r="R130" s="114" t="s">
        <v>1233</v>
      </c>
      <c r="S130" s="124">
        <v>45601</v>
      </c>
      <c r="T130" s="112" t="s">
        <v>1234</v>
      </c>
      <c r="U130" s="132" t="s">
        <v>1235</v>
      </c>
      <c r="V130" s="135" t="s">
        <v>600</v>
      </c>
      <c r="W130" s="103"/>
      <c r="X130" s="103"/>
      <c r="Y130" s="103"/>
      <c r="Z130" s="103"/>
      <c r="AA130" s="103"/>
    </row>
    <row r="131" spans="1:27">
      <c r="A131" s="111" t="s">
        <v>180</v>
      </c>
      <c r="B131" s="112" t="s">
        <v>1236</v>
      </c>
      <c r="C131" s="113" t="s">
        <v>539</v>
      </c>
      <c r="D131" s="116"/>
      <c r="E131" s="116"/>
      <c r="F131" s="80">
        <v>45553</v>
      </c>
      <c r="G131" s="115" t="s">
        <v>1237</v>
      </c>
      <c r="H131" s="116"/>
      <c r="I131" s="116"/>
      <c r="J131" s="116"/>
      <c r="K131" s="116"/>
      <c r="L131" s="115" t="s">
        <v>30</v>
      </c>
      <c r="M131" s="114" t="s">
        <v>44</v>
      </c>
      <c r="N131" s="116"/>
      <c r="O131" s="117" t="s">
        <v>27</v>
      </c>
      <c r="P131" s="116"/>
      <c r="Q131" s="116"/>
      <c r="R131" s="115" t="s">
        <v>1238</v>
      </c>
      <c r="S131" s="127">
        <v>45604</v>
      </c>
      <c r="T131" s="116"/>
      <c r="U131" s="132" t="s">
        <v>1227</v>
      </c>
      <c r="V131" s="135" t="s">
        <v>600</v>
      </c>
      <c r="W131" s="103"/>
      <c r="X131" s="103"/>
      <c r="Y131" s="103"/>
      <c r="Z131" s="103"/>
      <c r="AA131" s="103"/>
    </row>
    <row r="132" spans="1:27">
      <c r="A132" s="119" t="s">
        <v>1239</v>
      </c>
      <c r="B132" s="120" t="s">
        <v>1240</v>
      </c>
      <c r="C132" s="121" t="s">
        <v>546</v>
      </c>
      <c r="D132" s="42" t="s">
        <v>1241</v>
      </c>
      <c r="E132" s="42" t="s">
        <v>1242</v>
      </c>
      <c r="F132" s="39">
        <v>45187</v>
      </c>
      <c r="G132" s="122" t="s">
        <v>1243</v>
      </c>
      <c r="H132" s="123"/>
      <c r="I132" s="123"/>
      <c r="J132" s="123"/>
      <c r="K132" s="123"/>
      <c r="L132" s="42" t="s">
        <v>18</v>
      </c>
      <c r="M132" s="114" t="s">
        <v>481</v>
      </c>
      <c r="N132" s="123"/>
      <c r="O132" s="117" t="s">
        <v>27</v>
      </c>
      <c r="P132" s="42" t="s">
        <v>1244</v>
      </c>
      <c r="Q132" s="42" t="s">
        <v>1245</v>
      </c>
      <c r="R132" s="42" t="s">
        <v>597</v>
      </c>
      <c r="S132" s="39">
        <v>45567</v>
      </c>
      <c r="T132" s="120" t="s">
        <v>1246</v>
      </c>
      <c r="U132" s="132" t="s">
        <v>1247</v>
      </c>
      <c r="V132" s="135" t="s">
        <v>600</v>
      </c>
      <c r="W132" s="103"/>
      <c r="X132" s="103"/>
      <c r="Y132" s="103"/>
      <c r="Z132" s="103"/>
      <c r="AA132" s="103"/>
    </row>
    <row r="133" spans="1:27">
      <c r="A133" s="119" t="s">
        <v>1248</v>
      </c>
      <c r="B133" s="120" t="s">
        <v>1249</v>
      </c>
      <c r="C133" s="113" t="s">
        <v>515</v>
      </c>
      <c r="D133" s="42" t="s">
        <v>823</v>
      </c>
      <c r="E133" s="42" t="s">
        <v>636</v>
      </c>
      <c r="F133" s="80">
        <v>45554</v>
      </c>
      <c r="G133" s="122" t="s">
        <v>1250</v>
      </c>
      <c r="H133" s="45">
        <v>45832</v>
      </c>
      <c r="I133" s="39">
        <v>45833</v>
      </c>
      <c r="J133" s="123"/>
      <c r="K133" s="123"/>
      <c r="L133" s="42" t="s">
        <v>30</v>
      </c>
      <c r="M133" s="114" t="s">
        <v>563</v>
      </c>
      <c r="N133" s="42" t="s">
        <v>1224</v>
      </c>
      <c r="O133" s="125" t="s">
        <v>47</v>
      </c>
      <c r="P133" s="114" t="s">
        <v>1225</v>
      </c>
      <c r="Q133" s="114" t="s">
        <v>638</v>
      </c>
      <c r="R133" s="42" t="s">
        <v>668</v>
      </c>
      <c r="S133" s="80">
        <v>45573</v>
      </c>
      <c r="T133" s="120" t="s">
        <v>1251</v>
      </c>
      <c r="U133" s="103"/>
      <c r="V133" s="103"/>
      <c r="W133" s="103"/>
      <c r="X133" s="103"/>
      <c r="Y133" s="103"/>
      <c r="Z133" s="103"/>
      <c r="AA133" s="103"/>
    </row>
    <row r="134" spans="1:27">
      <c r="A134" s="111" t="s">
        <v>302</v>
      </c>
      <c r="B134" s="112" t="s">
        <v>303</v>
      </c>
      <c r="C134" s="113" t="s">
        <v>539</v>
      </c>
      <c r="D134" s="114" t="s">
        <v>470</v>
      </c>
      <c r="E134" s="115" t="s">
        <v>610</v>
      </c>
      <c r="F134" s="80">
        <v>45558</v>
      </c>
      <c r="G134" s="115" t="s">
        <v>1252</v>
      </c>
      <c r="H134" s="116"/>
      <c r="I134" s="116"/>
      <c r="J134" s="116"/>
      <c r="K134" s="116"/>
      <c r="L134" s="42" t="s">
        <v>30</v>
      </c>
      <c r="M134" s="114" t="s">
        <v>1131</v>
      </c>
      <c r="N134" s="116"/>
      <c r="O134" s="117" t="s">
        <v>27</v>
      </c>
      <c r="P134" s="114" t="s">
        <v>1253</v>
      </c>
      <c r="Q134" s="115" t="s">
        <v>1254</v>
      </c>
      <c r="R134" s="115" t="s">
        <v>1255</v>
      </c>
      <c r="S134" s="127">
        <v>45614</v>
      </c>
      <c r="T134" s="113" t="s">
        <v>1256</v>
      </c>
      <c r="U134" s="132" t="s">
        <v>1257</v>
      </c>
      <c r="V134" s="135" t="s">
        <v>600</v>
      </c>
      <c r="W134" s="103"/>
      <c r="X134" s="103"/>
      <c r="Y134" s="103"/>
      <c r="Z134" s="103"/>
      <c r="AA134" s="103"/>
    </row>
    <row r="135" spans="1:27">
      <c r="A135" s="148" t="s">
        <v>1258</v>
      </c>
      <c r="B135" s="112" t="s">
        <v>1259</v>
      </c>
      <c r="C135" s="113" t="s">
        <v>1260</v>
      </c>
      <c r="D135" s="115" t="s">
        <v>1261</v>
      </c>
      <c r="E135" s="114" t="s">
        <v>1262</v>
      </c>
      <c r="F135" s="80">
        <v>45559</v>
      </c>
      <c r="G135" s="115" t="s">
        <v>1263</v>
      </c>
      <c r="H135" s="130">
        <v>45642</v>
      </c>
      <c r="I135" s="130">
        <v>45642</v>
      </c>
      <c r="J135" s="116"/>
      <c r="K135" s="116"/>
      <c r="L135" s="115" t="s">
        <v>18</v>
      </c>
      <c r="M135" s="115" t="s">
        <v>563</v>
      </c>
      <c r="N135" s="116"/>
      <c r="O135" s="117" t="s">
        <v>27</v>
      </c>
      <c r="P135" s="114" t="s">
        <v>1264</v>
      </c>
      <c r="Q135" s="114" t="s">
        <v>1265</v>
      </c>
      <c r="R135" s="115" t="s">
        <v>1233</v>
      </c>
      <c r="S135" s="80">
        <v>45604</v>
      </c>
      <c r="T135" s="112" t="s">
        <v>1266</v>
      </c>
      <c r="U135" s="132" t="s">
        <v>1267</v>
      </c>
      <c r="V135" s="135" t="s">
        <v>600</v>
      </c>
      <c r="W135" s="103"/>
      <c r="X135" s="103"/>
      <c r="Y135" s="103"/>
      <c r="Z135" s="103"/>
      <c r="AA135" s="103"/>
    </row>
    <row r="136" spans="1:27">
      <c r="A136" s="113" t="s">
        <v>300</v>
      </c>
      <c r="B136" s="112" t="s">
        <v>301</v>
      </c>
      <c r="C136" s="113" t="s">
        <v>539</v>
      </c>
      <c r="D136" s="116"/>
      <c r="E136" s="116"/>
      <c r="F136" s="80">
        <v>45562</v>
      </c>
      <c r="G136" s="116"/>
      <c r="H136" s="116"/>
      <c r="I136" s="116"/>
      <c r="J136" s="116"/>
      <c r="K136" s="116"/>
      <c r="L136" s="116"/>
      <c r="M136" s="116"/>
      <c r="N136" s="116"/>
      <c r="O136" s="117" t="s">
        <v>27</v>
      </c>
      <c r="P136" s="116"/>
      <c r="Q136" s="116"/>
      <c r="R136" s="115" t="s">
        <v>1268</v>
      </c>
      <c r="S136" s="127">
        <v>45588</v>
      </c>
      <c r="T136" s="116"/>
      <c r="U136" s="132" t="s">
        <v>1269</v>
      </c>
      <c r="V136" s="135" t="s">
        <v>600</v>
      </c>
      <c r="W136" s="103"/>
      <c r="X136" s="103"/>
      <c r="Y136" s="103"/>
      <c r="Z136" s="103"/>
      <c r="AA136" s="103"/>
    </row>
    <row r="137" spans="1:27">
      <c r="A137" s="111" t="s">
        <v>1270</v>
      </c>
      <c r="B137" s="112" t="s">
        <v>1271</v>
      </c>
      <c r="C137" s="113" t="s">
        <v>1211</v>
      </c>
      <c r="D137" s="42" t="s">
        <v>823</v>
      </c>
      <c r="E137" s="114" t="s">
        <v>1272</v>
      </c>
      <c r="F137" s="80">
        <v>45565</v>
      </c>
      <c r="G137" s="115" t="s">
        <v>1273</v>
      </c>
      <c r="H137" s="114" t="s">
        <v>556</v>
      </c>
      <c r="I137" s="130">
        <v>45590</v>
      </c>
      <c r="J137" s="116"/>
      <c r="K137" s="116"/>
      <c r="L137" s="115" t="s">
        <v>18</v>
      </c>
      <c r="M137" s="114" t="s">
        <v>123</v>
      </c>
      <c r="N137" s="116"/>
      <c r="O137" s="114" t="s">
        <v>20</v>
      </c>
      <c r="P137" s="114" t="s">
        <v>803</v>
      </c>
      <c r="Q137" s="114" t="s">
        <v>1132</v>
      </c>
      <c r="R137" s="115" t="s">
        <v>1274</v>
      </c>
      <c r="S137" s="127">
        <v>45590</v>
      </c>
      <c r="T137" s="116"/>
      <c r="U137" s="103"/>
      <c r="V137" s="103"/>
      <c r="W137" s="103"/>
      <c r="X137" s="103"/>
      <c r="Y137" s="103"/>
      <c r="Z137" s="103"/>
      <c r="AA137" s="103"/>
    </row>
    <row r="138" spans="1:27">
      <c r="A138" s="111" t="s">
        <v>1275</v>
      </c>
      <c r="B138" s="112" t="s">
        <v>1276</v>
      </c>
      <c r="C138" s="113" t="s">
        <v>469</v>
      </c>
      <c r="D138" s="114" t="s">
        <v>470</v>
      </c>
      <c r="E138" s="114" t="s">
        <v>659</v>
      </c>
      <c r="F138" s="80">
        <v>45567</v>
      </c>
      <c r="G138" s="115" t="s">
        <v>1277</v>
      </c>
      <c r="H138" s="116"/>
      <c r="I138" s="116"/>
      <c r="J138" s="116"/>
      <c r="K138" s="116"/>
      <c r="L138" s="115" t="s">
        <v>18</v>
      </c>
      <c r="M138" s="114" t="s">
        <v>44</v>
      </c>
      <c r="N138" s="116"/>
      <c r="O138" s="125" t="s">
        <v>47</v>
      </c>
      <c r="P138" s="144" t="s">
        <v>1278</v>
      </c>
      <c r="Q138" s="42" t="s">
        <v>1265</v>
      </c>
      <c r="R138" s="115" t="s">
        <v>1279</v>
      </c>
      <c r="S138" s="127">
        <v>45588</v>
      </c>
      <c r="T138" s="113" t="s">
        <v>1280</v>
      </c>
      <c r="U138" s="103"/>
      <c r="V138" s="103"/>
      <c r="W138" s="103"/>
      <c r="X138" s="103"/>
      <c r="Y138" s="103"/>
      <c r="Z138" s="103"/>
      <c r="AA138" s="103"/>
    </row>
    <row r="139" spans="1:27">
      <c r="A139" s="111" t="s">
        <v>1281</v>
      </c>
      <c r="B139" s="112" t="s">
        <v>1282</v>
      </c>
      <c r="C139" s="113" t="s">
        <v>1211</v>
      </c>
      <c r="D139" s="42" t="s">
        <v>823</v>
      </c>
      <c r="E139" s="114" t="s">
        <v>1283</v>
      </c>
      <c r="F139" s="80">
        <v>45568</v>
      </c>
      <c r="G139" s="116"/>
      <c r="H139" s="116"/>
      <c r="I139" s="116"/>
      <c r="J139" s="116"/>
      <c r="K139" s="116"/>
      <c r="L139" s="115" t="s">
        <v>18</v>
      </c>
      <c r="M139" s="149" t="s">
        <v>508</v>
      </c>
      <c r="N139" s="116"/>
      <c r="O139" s="117" t="s">
        <v>27</v>
      </c>
      <c r="P139" s="116"/>
      <c r="Q139" s="150"/>
      <c r="R139" s="151" t="s">
        <v>1284</v>
      </c>
      <c r="S139" s="127">
        <v>45602</v>
      </c>
      <c r="T139" s="116"/>
      <c r="U139" s="132" t="s">
        <v>1285</v>
      </c>
      <c r="V139" s="135" t="s">
        <v>600</v>
      </c>
      <c r="W139" s="103"/>
      <c r="X139" s="103"/>
      <c r="Y139" s="103"/>
      <c r="Z139" s="103"/>
      <c r="AA139" s="103"/>
    </row>
    <row r="140" spans="1:27">
      <c r="A140" s="111" t="s">
        <v>210</v>
      </c>
      <c r="B140" s="112" t="s">
        <v>211</v>
      </c>
      <c r="C140" s="113" t="s">
        <v>1286</v>
      </c>
      <c r="D140" s="115" t="s">
        <v>1057</v>
      </c>
      <c r="E140" s="114" t="s">
        <v>1287</v>
      </c>
      <c r="F140" s="80">
        <v>45435</v>
      </c>
      <c r="G140" s="115" t="s">
        <v>1288</v>
      </c>
      <c r="H140" s="116"/>
      <c r="I140" s="116"/>
      <c r="J140" s="116"/>
      <c r="K140" s="116"/>
      <c r="L140" s="115" t="s">
        <v>18</v>
      </c>
      <c r="M140" s="115" t="s">
        <v>481</v>
      </c>
      <c r="N140" s="116"/>
      <c r="O140" s="117" t="s">
        <v>27</v>
      </c>
      <c r="P140" s="114" t="s">
        <v>793</v>
      </c>
      <c r="Q140" s="114" t="s">
        <v>1289</v>
      </c>
      <c r="R140" s="115" t="s">
        <v>954</v>
      </c>
      <c r="S140" s="80">
        <v>45602</v>
      </c>
      <c r="T140" s="120" t="s">
        <v>1290</v>
      </c>
      <c r="U140" s="132" t="s">
        <v>1291</v>
      </c>
      <c r="V140" s="135" t="s">
        <v>600</v>
      </c>
      <c r="W140" s="103"/>
      <c r="X140" s="103"/>
      <c r="Y140" s="103"/>
      <c r="Z140" s="103"/>
      <c r="AA140" s="103"/>
    </row>
    <row r="141" spans="1:27">
      <c r="A141" s="111" t="s">
        <v>1292</v>
      </c>
      <c r="B141" s="112" t="s">
        <v>1293</v>
      </c>
      <c r="C141" s="113" t="s">
        <v>469</v>
      </c>
      <c r="D141" s="115" t="s">
        <v>823</v>
      </c>
      <c r="E141" s="114" t="s">
        <v>1294</v>
      </c>
      <c r="F141" s="80">
        <v>45572</v>
      </c>
      <c r="G141" s="114" t="s">
        <v>1161</v>
      </c>
      <c r="H141" s="116"/>
      <c r="I141" s="116"/>
      <c r="J141" s="116"/>
      <c r="K141" s="116"/>
      <c r="L141" s="42" t="s">
        <v>30</v>
      </c>
      <c r="M141" s="115" t="s">
        <v>1295</v>
      </c>
      <c r="N141" s="116"/>
      <c r="O141" s="125" t="s">
        <v>47</v>
      </c>
      <c r="P141" s="114" t="s">
        <v>1161</v>
      </c>
      <c r="Q141" s="114" t="s">
        <v>1161</v>
      </c>
      <c r="R141" s="115" t="s">
        <v>1296</v>
      </c>
      <c r="S141" s="127">
        <v>45579</v>
      </c>
      <c r="T141" s="112" t="s">
        <v>1297</v>
      </c>
      <c r="U141" s="103"/>
      <c r="V141" s="103"/>
      <c r="W141" s="103"/>
      <c r="X141" s="103"/>
      <c r="Y141" s="103"/>
      <c r="Z141" s="103"/>
      <c r="AA141" s="103"/>
    </row>
    <row r="142" spans="1:27">
      <c r="A142" s="111" t="s">
        <v>1298</v>
      </c>
      <c r="B142" s="112" t="s">
        <v>1299</v>
      </c>
      <c r="C142" s="113" t="s">
        <v>469</v>
      </c>
      <c r="D142" s="115" t="s">
        <v>1174</v>
      </c>
      <c r="E142" s="114" t="s">
        <v>1300</v>
      </c>
      <c r="F142" s="80">
        <v>45572</v>
      </c>
      <c r="G142" s="114" t="s">
        <v>1161</v>
      </c>
      <c r="H142" s="116"/>
      <c r="I142" s="116"/>
      <c r="J142" s="116"/>
      <c r="K142" s="116"/>
      <c r="L142" s="42" t="s">
        <v>30</v>
      </c>
      <c r="M142" s="115" t="s">
        <v>1295</v>
      </c>
      <c r="N142" s="116"/>
      <c r="O142" s="114" t="s">
        <v>47</v>
      </c>
      <c r="P142" s="114" t="s">
        <v>1161</v>
      </c>
      <c r="Q142" s="114" t="s">
        <v>1161</v>
      </c>
      <c r="R142" s="115" t="s">
        <v>1301</v>
      </c>
      <c r="S142" s="127">
        <v>45586</v>
      </c>
      <c r="T142" s="112" t="s">
        <v>1297</v>
      </c>
      <c r="U142" s="103"/>
      <c r="V142" s="103"/>
      <c r="W142" s="103"/>
      <c r="X142" s="103"/>
      <c r="Y142" s="103"/>
      <c r="Z142" s="103"/>
      <c r="AA142" s="103"/>
    </row>
    <row r="143" spans="1:27">
      <c r="A143" s="111" t="s">
        <v>150</v>
      </c>
      <c r="B143" s="112" t="s">
        <v>151</v>
      </c>
      <c r="C143" s="113" t="s">
        <v>469</v>
      </c>
      <c r="D143" s="115" t="s">
        <v>823</v>
      </c>
      <c r="E143" s="114" t="s">
        <v>479</v>
      </c>
      <c r="F143" s="80">
        <v>45555</v>
      </c>
      <c r="G143" s="115" t="s">
        <v>1302</v>
      </c>
      <c r="H143" s="116"/>
      <c r="I143" s="116"/>
      <c r="J143" s="116"/>
      <c r="K143" s="116"/>
      <c r="L143" s="115" t="s">
        <v>18</v>
      </c>
      <c r="M143" s="114" t="s">
        <v>508</v>
      </c>
      <c r="N143" s="116"/>
      <c r="O143" s="117" t="s">
        <v>27</v>
      </c>
      <c r="P143" s="114" t="s">
        <v>484</v>
      </c>
      <c r="Q143" s="114" t="s">
        <v>1303</v>
      </c>
      <c r="R143" s="115" t="s">
        <v>1304</v>
      </c>
      <c r="S143" s="127">
        <v>45692</v>
      </c>
      <c r="T143" s="120" t="s">
        <v>1305</v>
      </c>
      <c r="U143" s="132" t="s">
        <v>1306</v>
      </c>
      <c r="V143" s="135" t="s">
        <v>600</v>
      </c>
      <c r="W143" s="103"/>
      <c r="X143" s="103"/>
      <c r="Y143" s="103"/>
      <c r="Z143" s="103"/>
      <c r="AA143" s="103"/>
    </row>
    <row r="144" spans="1:27">
      <c r="A144" s="111" t="s">
        <v>1307</v>
      </c>
      <c r="B144" s="112" t="s">
        <v>1308</v>
      </c>
      <c r="C144" s="113" t="s">
        <v>469</v>
      </c>
      <c r="D144" s="114" t="s">
        <v>1174</v>
      </c>
      <c r="E144" s="114" t="s">
        <v>684</v>
      </c>
      <c r="F144" s="127">
        <v>45595</v>
      </c>
      <c r="G144" s="115" t="s">
        <v>1309</v>
      </c>
      <c r="H144" s="124">
        <v>45749</v>
      </c>
      <c r="I144" s="124">
        <v>45754</v>
      </c>
      <c r="J144" s="116"/>
      <c r="K144" s="116"/>
      <c r="L144" s="115" t="s">
        <v>30</v>
      </c>
      <c r="M144" s="115" t="s">
        <v>563</v>
      </c>
      <c r="N144" s="116"/>
      <c r="O144" s="117" t="s">
        <v>27</v>
      </c>
      <c r="P144" s="114" t="s">
        <v>743</v>
      </c>
      <c r="Q144" s="114" t="s">
        <v>1178</v>
      </c>
      <c r="R144" s="115" t="s">
        <v>1310</v>
      </c>
      <c r="S144" s="127">
        <v>45607</v>
      </c>
      <c r="T144" s="120" t="s">
        <v>1311</v>
      </c>
      <c r="U144" s="132" t="s">
        <v>1312</v>
      </c>
      <c r="V144" s="135" t="s">
        <v>600</v>
      </c>
      <c r="W144" s="103"/>
      <c r="X144" s="103"/>
      <c r="Y144" s="103"/>
      <c r="Z144" s="103"/>
      <c r="AA144" s="103"/>
    </row>
    <row r="145" spans="1:27">
      <c r="A145" s="111" t="s">
        <v>176</v>
      </c>
      <c r="B145" s="112" t="s">
        <v>1313</v>
      </c>
      <c r="C145" s="113" t="s">
        <v>743</v>
      </c>
      <c r="D145" s="114" t="s">
        <v>1174</v>
      </c>
      <c r="E145" s="114" t="s">
        <v>684</v>
      </c>
      <c r="F145" s="80">
        <v>45899</v>
      </c>
      <c r="G145" s="115" t="s">
        <v>1314</v>
      </c>
      <c r="H145" s="116"/>
      <c r="I145" s="116"/>
      <c r="J145" s="116"/>
      <c r="K145" s="116"/>
      <c r="L145" s="115" t="s">
        <v>30</v>
      </c>
      <c r="M145" s="115" t="s">
        <v>481</v>
      </c>
      <c r="N145" s="116"/>
      <c r="O145" s="117" t="s">
        <v>27</v>
      </c>
      <c r="P145" s="114" t="s">
        <v>743</v>
      </c>
      <c r="Q145" s="114" t="s">
        <v>883</v>
      </c>
      <c r="R145" s="115" t="s">
        <v>1315</v>
      </c>
      <c r="S145" s="127">
        <v>45772</v>
      </c>
      <c r="T145" s="120" t="s">
        <v>1316</v>
      </c>
      <c r="U145" s="132" t="s">
        <v>1312</v>
      </c>
      <c r="V145" s="135" t="s">
        <v>600</v>
      </c>
      <c r="W145" s="103"/>
      <c r="X145" s="103"/>
      <c r="Y145" s="103"/>
      <c r="Z145" s="103"/>
      <c r="AA145" s="103"/>
    </row>
    <row r="146" spans="1:27">
      <c r="A146" s="111" t="s">
        <v>1317</v>
      </c>
      <c r="B146" s="112" t="s">
        <v>1318</v>
      </c>
      <c r="C146" s="113" t="s">
        <v>469</v>
      </c>
      <c r="D146" s="115" t="s">
        <v>1057</v>
      </c>
      <c r="E146" s="114" t="s">
        <v>479</v>
      </c>
      <c r="F146" s="80">
        <v>45600</v>
      </c>
      <c r="G146" s="115" t="s">
        <v>1319</v>
      </c>
      <c r="H146" s="116"/>
      <c r="I146" s="116"/>
      <c r="J146" s="116"/>
      <c r="K146" s="116"/>
      <c r="L146" s="115" t="s">
        <v>18</v>
      </c>
      <c r="M146" s="114" t="s">
        <v>44</v>
      </c>
      <c r="N146" s="116"/>
      <c r="O146" s="117" t="s">
        <v>27</v>
      </c>
      <c r="P146" s="114" t="s">
        <v>1278</v>
      </c>
      <c r="Q146" s="42" t="s">
        <v>1265</v>
      </c>
      <c r="R146" s="115" t="s">
        <v>761</v>
      </c>
      <c r="S146" s="127">
        <v>45625</v>
      </c>
      <c r="T146" s="112" t="s">
        <v>1320</v>
      </c>
      <c r="U146" s="132" t="s">
        <v>1321</v>
      </c>
      <c r="V146" s="135" t="s">
        <v>600</v>
      </c>
      <c r="W146" s="103"/>
      <c r="X146" s="103"/>
      <c r="Y146" s="103"/>
      <c r="Z146" s="103"/>
      <c r="AA146" s="103"/>
    </row>
    <row r="147" spans="1:27">
      <c r="A147" s="111" t="s">
        <v>1322</v>
      </c>
      <c r="B147" s="152" t="s">
        <v>1323</v>
      </c>
      <c r="C147" s="113" t="s">
        <v>1324</v>
      </c>
      <c r="D147" s="126" t="s">
        <v>516</v>
      </c>
      <c r="E147" s="114" t="s">
        <v>711</v>
      </c>
      <c r="F147" s="127">
        <v>45273</v>
      </c>
      <c r="G147" s="115" t="s">
        <v>1325</v>
      </c>
      <c r="H147" s="153">
        <v>45608</v>
      </c>
      <c r="I147" s="153">
        <v>45618</v>
      </c>
      <c r="J147" s="116"/>
      <c r="K147" s="116"/>
      <c r="L147" s="42" t="s">
        <v>30</v>
      </c>
      <c r="M147" s="42" t="s">
        <v>1326</v>
      </c>
      <c r="N147" s="116"/>
      <c r="O147" s="117" t="s">
        <v>27</v>
      </c>
      <c r="P147" s="116"/>
      <c r="Q147" s="116"/>
      <c r="R147" s="115" t="s">
        <v>950</v>
      </c>
      <c r="S147" s="116"/>
      <c r="T147" s="116"/>
      <c r="U147" s="132" t="s">
        <v>1327</v>
      </c>
      <c r="V147" s="135" t="s">
        <v>600</v>
      </c>
      <c r="W147" s="103"/>
      <c r="X147" s="103"/>
      <c r="Y147" s="103"/>
      <c r="Z147" s="103"/>
      <c r="AA147" s="103"/>
    </row>
    <row r="148" spans="1:27">
      <c r="A148" s="111" t="s">
        <v>1328</v>
      </c>
      <c r="B148" s="112" t="s">
        <v>1329</v>
      </c>
      <c r="C148" s="113" t="s">
        <v>1138</v>
      </c>
      <c r="D148" s="115" t="s">
        <v>1057</v>
      </c>
      <c r="E148" s="146" t="s">
        <v>1041</v>
      </c>
      <c r="F148" s="127">
        <v>45609</v>
      </c>
      <c r="G148" s="146" t="s">
        <v>1042</v>
      </c>
      <c r="H148" s="116"/>
      <c r="I148" s="116"/>
      <c r="J148" s="116"/>
      <c r="K148" s="116"/>
      <c r="L148" s="146" t="s">
        <v>30</v>
      </c>
      <c r="M148" s="115" t="s">
        <v>1330</v>
      </c>
      <c r="N148" s="116"/>
      <c r="O148" s="117" t="s">
        <v>27</v>
      </c>
      <c r="P148" s="115" t="s">
        <v>1331</v>
      </c>
      <c r="Q148" s="114" t="s">
        <v>1332</v>
      </c>
      <c r="R148" s="115" t="s">
        <v>950</v>
      </c>
      <c r="S148" s="127">
        <v>45645</v>
      </c>
      <c r="T148" s="152" t="s">
        <v>1333</v>
      </c>
      <c r="U148" s="103"/>
      <c r="V148" s="103"/>
      <c r="W148" s="103"/>
      <c r="X148" s="103"/>
      <c r="Y148" s="103"/>
      <c r="Z148" s="103"/>
      <c r="AA148" s="103"/>
    </row>
    <row r="149" spans="1:27">
      <c r="A149" s="111" t="s">
        <v>1334</v>
      </c>
      <c r="B149" s="152" t="s">
        <v>1335</v>
      </c>
      <c r="C149" s="113" t="s">
        <v>469</v>
      </c>
      <c r="D149" s="115" t="s">
        <v>1057</v>
      </c>
      <c r="E149" s="116"/>
      <c r="F149" s="127">
        <v>45608</v>
      </c>
      <c r="G149" s="113" t="s">
        <v>490</v>
      </c>
      <c r="H149" s="116"/>
      <c r="I149" s="116"/>
      <c r="J149" s="116"/>
      <c r="K149" s="116"/>
      <c r="L149" s="146" t="s">
        <v>30</v>
      </c>
      <c r="M149" s="115" t="s">
        <v>1295</v>
      </c>
      <c r="N149" s="116"/>
      <c r="O149" s="116"/>
      <c r="P149" s="113" t="s">
        <v>490</v>
      </c>
      <c r="Q149" s="113" t="s">
        <v>490</v>
      </c>
      <c r="R149" s="115" t="s">
        <v>1310</v>
      </c>
      <c r="S149" s="127">
        <v>45313</v>
      </c>
      <c r="T149" s="152" t="s">
        <v>1336</v>
      </c>
      <c r="U149" s="103"/>
      <c r="V149" s="103"/>
      <c r="W149" s="103"/>
      <c r="X149" s="103"/>
      <c r="Y149" s="103"/>
      <c r="Z149" s="103"/>
      <c r="AA149" s="103"/>
    </row>
    <row r="150" spans="1:27">
      <c r="A150" s="111" t="s">
        <v>1337</v>
      </c>
      <c r="B150" s="112" t="s">
        <v>1338</v>
      </c>
      <c r="C150" s="113" t="s">
        <v>469</v>
      </c>
      <c r="D150" s="114" t="s">
        <v>1174</v>
      </c>
      <c r="E150" s="114" t="s">
        <v>684</v>
      </c>
      <c r="F150" s="127">
        <v>45607</v>
      </c>
      <c r="G150" s="116"/>
      <c r="H150" s="116"/>
      <c r="I150" s="116"/>
      <c r="J150" s="116"/>
      <c r="K150" s="116"/>
      <c r="L150" s="116"/>
      <c r="M150" s="116"/>
      <c r="N150" s="116"/>
      <c r="O150" s="116"/>
      <c r="P150" s="116"/>
      <c r="Q150" s="116"/>
      <c r="R150" s="115" t="s">
        <v>745</v>
      </c>
      <c r="S150" s="127">
        <v>45617</v>
      </c>
      <c r="T150" s="152" t="s">
        <v>1339</v>
      </c>
      <c r="U150" s="103"/>
      <c r="V150" s="103"/>
      <c r="W150" s="103"/>
      <c r="X150" s="103"/>
      <c r="Y150" s="103"/>
      <c r="Z150" s="103"/>
      <c r="AA150" s="103"/>
    </row>
    <row r="151" spans="1:27">
      <c r="A151" s="111" t="s">
        <v>1340</v>
      </c>
      <c r="B151" s="152" t="s">
        <v>1341</v>
      </c>
      <c r="C151" s="113" t="s">
        <v>1342</v>
      </c>
      <c r="D151" s="115" t="s">
        <v>823</v>
      </c>
      <c r="E151" s="114" t="s">
        <v>1343</v>
      </c>
      <c r="F151" s="80">
        <v>45597</v>
      </c>
      <c r="G151" s="115" t="s">
        <v>1344</v>
      </c>
      <c r="H151" s="116"/>
      <c r="I151" s="116"/>
      <c r="J151" s="116"/>
      <c r="K151" s="116"/>
      <c r="L151" s="115" t="s">
        <v>18</v>
      </c>
      <c r="M151" s="114" t="s">
        <v>508</v>
      </c>
      <c r="N151" s="116"/>
      <c r="O151" s="116"/>
      <c r="P151" s="114" t="s">
        <v>627</v>
      </c>
      <c r="Q151" s="114" t="s">
        <v>997</v>
      </c>
      <c r="R151" s="115" t="s">
        <v>1304</v>
      </c>
      <c r="S151" s="127">
        <v>45618</v>
      </c>
      <c r="T151" s="152" t="s">
        <v>1345</v>
      </c>
      <c r="U151" s="103"/>
      <c r="V151" s="103"/>
      <c r="W151" s="103"/>
      <c r="X151" s="103"/>
      <c r="Y151" s="103"/>
      <c r="Z151" s="103"/>
      <c r="AA151" s="103"/>
    </row>
    <row r="152" spans="1:27">
      <c r="A152" s="111" t="s">
        <v>1346</v>
      </c>
      <c r="B152" s="112" t="s">
        <v>1347</v>
      </c>
      <c r="C152" s="113" t="s">
        <v>469</v>
      </c>
      <c r="D152" s="115" t="s">
        <v>1057</v>
      </c>
      <c r="E152" s="114" t="s">
        <v>1348</v>
      </c>
      <c r="F152" s="127">
        <v>45621</v>
      </c>
      <c r="G152" s="115" t="s">
        <v>1349</v>
      </c>
      <c r="H152" s="116"/>
      <c r="I152" s="116"/>
      <c r="J152" s="116"/>
      <c r="K152" s="116"/>
      <c r="L152" s="146" t="s">
        <v>30</v>
      </c>
      <c r="M152" s="114" t="s">
        <v>44</v>
      </c>
      <c r="N152" s="116"/>
      <c r="O152" s="116"/>
      <c r="P152" s="114" t="s">
        <v>1350</v>
      </c>
      <c r="Q152" s="114" t="s">
        <v>542</v>
      </c>
      <c r="R152" s="115" t="s">
        <v>1310</v>
      </c>
      <c r="S152" s="127">
        <v>45776</v>
      </c>
      <c r="T152" s="112" t="s">
        <v>1351</v>
      </c>
      <c r="U152" s="103"/>
      <c r="V152" s="103"/>
      <c r="W152" s="103"/>
      <c r="X152" s="103"/>
      <c r="Y152" s="103"/>
      <c r="Z152" s="103"/>
      <c r="AA152" s="103"/>
    </row>
    <row r="153" spans="1:27">
      <c r="A153" s="111" t="s">
        <v>1352</v>
      </c>
      <c r="B153" s="112" t="s">
        <v>1353</v>
      </c>
      <c r="C153" s="113" t="s">
        <v>469</v>
      </c>
      <c r="D153" s="115" t="s">
        <v>1057</v>
      </c>
      <c r="E153" s="114" t="s">
        <v>1354</v>
      </c>
      <c r="F153" s="154">
        <v>45628</v>
      </c>
      <c r="G153" s="115" t="s">
        <v>1355</v>
      </c>
      <c r="H153" s="116"/>
      <c r="I153" s="116"/>
      <c r="J153" s="116"/>
      <c r="K153" s="116"/>
      <c r="L153" s="115" t="s">
        <v>18</v>
      </c>
      <c r="M153" s="114" t="s">
        <v>44</v>
      </c>
      <c r="N153" s="116"/>
      <c r="O153" s="116"/>
      <c r="P153" s="113" t="s">
        <v>490</v>
      </c>
      <c r="Q153" s="113" t="s">
        <v>490</v>
      </c>
      <c r="R153" s="115" t="s">
        <v>1310</v>
      </c>
      <c r="S153" s="80">
        <v>45629</v>
      </c>
      <c r="T153" s="120" t="s">
        <v>1356</v>
      </c>
      <c r="U153" s="103"/>
      <c r="V153" s="103"/>
      <c r="W153" s="103"/>
      <c r="X153" s="103"/>
      <c r="Y153" s="103"/>
      <c r="Z153" s="103"/>
      <c r="AA153" s="103"/>
    </row>
    <row r="154" spans="1:27">
      <c r="A154" s="111" t="s">
        <v>415</v>
      </c>
      <c r="B154" s="112" t="s">
        <v>416</v>
      </c>
      <c r="C154" s="113" t="s">
        <v>469</v>
      </c>
      <c r="D154" s="115" t="s">
        <v>1057</v>
      </c>
      <c r="E154" s="114" t="s">
        <v>1174</v>
      </c>
      <c r="F154" s="80">
        <v>45629</v>
      </c>
      <c r="G154" s="115" t="s">
        <v>1357</v>
      </c>
      <c r="H154" s="116"/>
      <c r="I154" s="116"/>
      <c r="J154" s="124">
        <v>45849</v>
      </c>
      <c r="K154" s="116"/>
      <c r="L154" s="146" t="s">
        <v>30</v>
      </c>
      <c r="M154" s="114" t="s">
        <v>44</v>
      </c>
      <c r="N154" s="116"/>
      <c r="O154" s="116"/>
      <c r="P154" s="114" t="s">
        <v>483</v>
      </c>
      <c r="Q154" s="115" t="s">
        <v>1278</v>
      </c>
      <c r="R154" s="115" t="s">
        <v>1310</v>
      </c>
      <c r="S154" s="80">
        <v>45631</v>
      </c>
      <c r="T154" s="120" t="s">
        <v>1358</v>
      </c>
      <c r="U154" s="103"/>
      <c r="V154" s="103"/>
      <c r="W154" s="103"/>
      <c r="X154" s="103"/>
      <c r="Y154" s="103"/>
      <c r="Z154" s="103"/>
      <c r="AA154" s="103"/>
    </row>
    <row r="155" spans="1:27">
      <c r="A155" s="111" t="s">
        <v>1359</v>
      </c>
      <c r="B155" s="152" t="s">
        <v>1360</v>
      </c>
      <c r="C155" s="113" t="s">
        <v>469</v>
      </c>
      <c r="D155" s="115" t="s">
        <v>1057</v>
      </c>
      <c r="E155" s="42" t="s">
        <v>823</v>
      </c>
      <c r="F155" s="127">
        <v>45636</v>
      </c>
      <c r="G155" s="115" t="s">
        <v>1361</v>
      </c>
      <c r="H155" s="116"/>
      <c r="I155" s="116"/>
      <c r="J155" s="116"/>
      <c r="K155" s="116"/>
      <c r="L155" s="146" t="s">
        <v>30</v>
      </c>
      <c r="M155" s="114" t="s">
        <v>44</v>
      </c>
      <c r="N155" s="116"/>
      <c r="O155" s="116"/>
      <c r="P155" s="114" t="s">
        <v>1362</v>
      </c>
      <c r="Q155" s="114" t="s">
        <v>776</v>
      </c>
      <c r="R155" s="115" t="s">
        <v>1310</v>
      </c>
      <c r="S155" s="127">
        <v>45636</v>
      </c>
      <c r="T155" s="120" t="s">
        <v>1363</v>
      </c>
      <c r="U155" s="103"/>
      <c r="V155" s="103"/>
      <c r="W155" s="103"/>
      <c r="X155" s="103"/>
      <c r="Y155" s="103"/>
      <c r="Z155" s="103"/>
      <c r="AA155" s="103"/>
    </row>
    <row r="156" spans="1:27">
      <c r="A156" s="86" t="s">
        <v>1364</v>
      </c>
      <c r="B156" s="112" t="s">
        <v>1365</v>
      </c>
      <c r="C156" s="113" t="s">
        <v>627</v>
      </c>
      <c r="D156" s="114" t="s">
        <v>1366</v>
      </c>
      <c r="E156" s="115" t="s">
        <v>1367</v>
      </c>
      <c r="F156" s="80">
        <v>45485</v>
      </c>
      <c r="G156" s="115" t="s">
        <v>1368</v>
      </c>
      <c r="H156" s="116"/>
      <c r="I156" s="116"/>
      <c r="J156" s="116"/>
      <c r="K156" s="116"/>
      <c r="L156" s="116"/>
      <c r="M156" s="115" t="s">
        <v>481</v>
      </c>
      <c r="N156" s="116"/>
      <c r="O156" s="117" t="s">
        <v>27</v>
      </c>
      <c r="P156" s="114" t="s">
        <v>920</v>
      </c>
      <c r="Q156" s="114" t="s">
        <v>1369</v>
      </c>
      <c r="R156" s="115" t="s">
        <v>1370</v>
      </c>
      <c r="S156" s="80">
        <v>45772</v>
      </c>
      <c r="T156" s="152" t="s">
        <v>1371</v>
      </c>
      <c r="U156" s="103"/>
      <c r="V156" s="103"/>
      <c r="W156" s="103"/>
      <c r="X156" s="103"/>
      <c r="Y156" s="103"/>
      <c r="Z156" s="103"/>
      <c r="AA156" s="103"/>
    </row>
    <row r="157" spans="1:27">
      <c r="A157" s="86" t="s">
        <v>164</v>
      </c>
      <c r="B157" s="112" t="s">
        <v>1372</v>
      </c>
      <c r="C157" s="113" t="s">
        <v>1373</v>
      </c>
      <c r="D157" s="114" t="s">
        <v>1007</v>
      </c>
      <c r="E157" s="115" t="s">
        <v>1007</v>
      </c>
      <c r="F157" s="80">
        <v>45631</v>
      </c>
      <c r="G157" s="115" t="s">
        <v>1374</v>
      </c>
      <c r="H157" s="116"/>
      <c r="I157" s="116"/>
      <c r="J157" s="116"/>
      <c r="K157" s="116"/>
      <c r="L157" s="115" t="s">
        <v>30</v>
      </c>
      <c r="M157" s="115" t="s">
        <v>481</v>
      </c>
      <c r="N157" s="116"/>
      <c r="O157" s="117" t="s">
        <v>27</v>
      </c>
      <c r="P157" s="114" t="s">
        <v>854</v>
      </c>
      <c r="Q157" s="114" t="s">
        <v>935</v>
      </c>
      <c r="R157" s="115" t="s">
        <v>1370</v>
      </c>
      <c r="S157" s="80">
        <v>45772</v>
      </c>
      <c r="T157" s="152" t="s">
        <v>1375</v>
      </c>
      <c r="U157" s="103"/>
      <c r="V157" s="103"/>
      <c r="W157" s="103"/>
      <c r="X157" s="103"/>
      <c r="Y157" s="103"/>
      <c r="Z157" s="103"/>
      <c r="AA157" s="103"/>
    </row>
    <row r="158" spans="1:27">
      <c r="A158" s="86" t="s">
        <v>1376</v>
      </c>
      <c r="B158" s="112" t="s">
        <v>1377</v>
      </c>
      <c r="C158" s="113" t="s">
        <v>546</v>
      </c>
      <c r="D158" s="114" t="s">
        <v>1366</v>
      </c>
      <c r="E158" s="114" t="s">
        <v>1378</v>
      </c>
      <c r="F158" s="127">
        <v>45595</v>
      </c>
      <c r="G158" s="115" t="s">
        <v>1379</v>
      </c>
      <c r="H158" s="116"/>
      <c r="I158" s="116"/>
      <c r="J158" s="116"/>
      <c r="K158" s="116"/>
      <c r="L158" s="115" t="s">
        <v>18</v>
      </c>
      <c r="M158" s="114" t="s">
        <v>44</v>
      </c>
      <c r="N158" s="116"/>
      <c r="O158" s="117" t="s">
        <v>27</v>
      </c>
      <c r="P158" s="114" t="s">
        <v>1380</v>
      </c>
      <c r="Q158" s="114" t="s">
        <v>520</v>
      </c>
      <c r="R158" s="115" t="s">
        <v>550</v>
      </c>
      <c r="S158" s="80">
        <v>45772</v>
      </c>
      <c r="T158" s="116"/>
      <c r="U158" s="103"/>
      <c r="V158" s="103"/>
      <c r="W158" s="103"/>
      <c r="X158" s="103"/>
      <c r="Y158" s="103"/>
      <c r="Z158" s="103"/>
      <c r="AA158" s="103"/>
    </row>
    <row r="159" spans="1:27">
      <c r="A159" s="86" t="s">
        <v>262</v>
      </c>
      <c r="B159" s="112" t="s">
        <v>1381</v>
      </c>
      <c r="C159" s="113" t="s">
        <v>1382</v>
      </c>
      <c r="D159" s="114" t="s">
        <v>1366</v>
      </c>
      <c r="E159" s="114" t="s">
        <v>1383</v>
      </c>
      <c r="F159" s="80">
        <v>45631</v>
      </c>
      <c r="G159" s="115" t="s">
        <v>1384</v>
      </c>
      <c r="H159" s="116"/>
      <c r="I159" s="116"/>
      <c r="J159" s="116"/>
      <c r="K159" s="116"/>
      <c r="L159" s="115" t="s">
        <v>18</v>
      </c>
      <c r="M159" s="114" t="s">
        <v>44</v>
      </c>
      <c r="N159" s="116"/>
      <c r="O159" s="117" t="s">
        <v>27</v>
      </c>
      <c r="P159" s="114" t="s">
        <v>1385</v>
      </c>
      <c r="Q159" s="114" t="s">
        <v>1386</v>
      </c>
      <c r="R159" s="115" t="s">
        <v>628</v>
      </c>
      <c r="S159" s="80">
        <v>45772</v>
      </c>
      <c r="T159" s="152" t="s">
        <v>1387</v>
      </c>
      <c r="U159" s="103"/>
      <c r="V159" s="103"/>
      <c r="W159" s="103"/>
      <c r="X159" s="103"/>
      <c r="Y159" s="103"/>
      <c r="Z159" s="103"/>
      <c r="AA159" s="103"/>
    </row>
    <row r="160" spans="1:27">
      <c r="A160" s="86" t="s">
        <v>1388</v>
      </c>
      <c r="B160" s="112" t="s">
        <v>1389</v>
      </c>
      <c r="C160" s="113" t="s">
        <v>1390</v>
      </c>
      <c r="D160" s="114" t="s">
        <v>1366</v>
      </c>
      <c r="E160" s="114" t="s">
        <v>1391</v>
      </c>
      <c r="F160" s="80">
        <v>45565</v>
      </c>
      <c r="G160" s="115" t="s">
        <v>1392</v>
      </c>
      <c r="H160" s="116"/>
      <c r="I160" s="116"/>
      <c r="J160" s="116"/>
      <c r="K160" s="116"/>
      <c r="L160" s="115" t="s">
        <v>18</v>
      </c>
      <c r="M160" s="115" t="s">
        <v>1393</v>
      </c>
      <c r="N160" s="116"/>
      <c r="O160" s="117" t="s">
        <v>27</v>
      </c>
      <c r="P160" s="114" t="s">
        <v>1394</v>
      </c>
      <c r="Q160" s="114" t="s">
        <v>963</v>
      </c>
      <c r="R160" s="115" t="s">
        <v>1395</v>
      </c>
      <c r="S160" s="80">
        <v>45775</v>
      </c>
      <c r="T160" s="152" t="s">
        <v>1396</v>
      </c>
      <c r="U160" s="103"/>
      <c r="V160" s="103"/>
      <c r="W160" s="103"/>
      <c r="X160" s="103"/>
      <c r="Y160" s="103"/>
      <c r="Z160" s="103"/>
      <c r="AA160" s="103"/>
    </row>
    <row r="161" spans="1:27">
      <c r="A161" s="86" t="s">
        <v>1397</v>
      </c>
      <c r="B161" s="112" t="s">
        <v>1398</v>
      </c>
      <c r="C161" s="113" t="s">
        <v>1390</v>
      </c>
      <c r="D161" s="114" t="s">
        <v>1366</v>
      </c>
      <c r="E161" s="114" t="s">
        <v>478</v>
      </c>
      <c r="F161" s="127">
        <v>45593</v>
      </c>
      <c r="G161" s="115" t="s">
        <v>1399</v>
      </c>
      <c r="H161" s="116"/>
      <c r="I161" s="116"/>
      <c r="J161" s="116"/>
      <c r="K161" s="116"/>
      <c r="L161" s="115" t="s">
        <v>18</v>
      </c>
      <c r="M161" s="115" t="s">
        <v>1393</v>
      </c>
      <c r="N161" s="116"/>
      <c r="O161" s="117" t="s">
        <v>27</v>
      </c>
      <c r="P161" s="114" t="s">
        <v>548</v>
      </c>
      <c r="Q161" s="114" t="s">
        <v>1400</v>
      </c>
      <c r="R161" s="115" t="s">
        <v>1395</v>
      </c>
      <c r="S161" s="80">
        <v>45775</v>
      </c>
      <c r="T161" s="152" t="s">
        <v>1401</v>
      </c>
      <c r="U161" s="103"/>
      <c r="V161" s="103"/>
      <c r="W161" s="103"/>
      <c r="X161" s="103"/>
      <c r="Y161" s="103"/>
      <c r="Z161" s="103"/>
      <c r="AA161" s="103"/>
    </row>
    <row r="162" spans="1:27">
      <c r="A162" s="86" t="s">
        <v>1402</v>
      </c>
      <c r="B162" s="112" t="s">
        <v>1403</v>
      </c>
      <c r="C162" s="113" t="s">
        <v>1390</v>
      </c>
      <c r="D162" s="114" t="s">
        <v>1366</v>
      </c>
      <c r="E162" s="114" t="s">
        <v>1404</v>
      </c>
      <c r="F162" s="80">
        <v>45538</v>
      </c>
      <c r="G162" s="115" t="s">
        <v>1405</v>
      </c>
      <c r="H162" s="116"/>
      <c r="I162" s="116"/>
      <c r="J162" s="116"/>
      <c r="K162" s="116"/>
      <c r="L162" s="115" t="s">
        <v>18</v>
      </c>
      <c r="M162" s="115" t="s">
        <v>1393</v>
      </c>
      <c r="N162" s="116"/>
      <c r="O162" s="117" t="s">
        <v>27</v>
      </c>
      <c r="P162" s="114" t="s">
        <v>1406</v>
      </c>
      <c r="Q162" s="114" t="s">
        <v>1407</v>
      </c>
      <c r="R162" s="115" t="s">
        <v>1395</v>
      </c>
      <c r="S162" s="80">
        <v>45775</v>
      </c>
      <c r="T162" s="152" t="s">
        <v>1408</v>
      </c>
      <c r="U162" s="103"/>
      <c r="V162" s="103"/>
      <c r="W162" s="103"/>
      <c r="X162" s="103"/>
      <c r="Y162" s="103"/>
      <c r="Z162" s="103"/>
      <c r="AA162" s="103"/>
    </row>
    <row r="163" spans="1:27">
      <c r="A163" s="86" t="s">
        <v>1409</v>
      </c>
      <c r="B163" s="112" t="s">
        <v>1410</v>
      </c>
      <c r="C163" s="113" t="s">
        <v>1390</v>
      </c>
      <c r="D163" s="114" t="s">
        <v>1366</v>
      </c>
      <c r="E163" s="114" t="s">
        <v>478</v>
      </c>
      <c r="F163" s="80">
        <v>45601</v>
      </c>
      <c r="G163" s="115" t="s">
        <v>1411</v>
      </c>
      <c r="H163" s="116"/>
      <c r="I163" s="116"/>
      <c r="J163" s="116"/>
      <c r="K163" s="116"/>
      <c r="L163" s="115" t="s">
        <v>18</v>
      </c>
      <c r="M163" s="115" t="s">
        <v>1393</v>
      </c>
      <c r="N163" s="116"/>
      <c r="O163" s="117" t="s">
        <v>27</v>
      </c>
      <c r="P163" s="114" t="s">
        <v>1412</v>
      </c>
      <c r="Q163" s="114" t="s">
        <v>520</v>
      </c>
      <c r="R163" s="115" t="s">
        <v>1395</v>
      </c>
      <c r="S163" s="80">
        <v>45775</v>
      </c>
      <c r="T163" s="152" t="s">
        <v>1413</v>
      </c>
      <c r="U163" s="103"/>
      <c r="V163" s="103"/>
      <c r="W163" s="103"/>
      <c r="X163" s="103"/>
      <c r="Y163" s="103"/>
      <c r="Z163" s="103"/>
      <c r="AA163" s="103"/>
    </row>
    <row r="164" spans="1:27">
      <c r="A164" s="86" t="s">
        <v>1414</v>
      </c>
      <c r="B164" s="112" t="s">
        <v>1415</v>
      </c>
      <c r="C164" s="113" t="s">
        <v>1416</v>
      </c>
      <c r="D164" s="114" t="s">
        <v>1366</v>
      </c>
      <c r="E164" s="114" t="s">
        <v>1417</v>
      </c>
      <c r="F164" s="127">
        <v>45595</v>
      </c>
      <c r="G164" s="115" t="s">
        <v>1418</v>
      </c>
      <c r="H164" s="116"/>
      <c r="I164" s="116"/>
      <c r="J164" s="116"/>
      <c r="K164" s="116"/>
      <c r="L164" s="115" t="s">
        <v>18</v>
      </c>
      <c r="M164" s="115" t="s">
        <v>1393</v>
      </c>
      <c r="N164" s="116"/>
      <c r="O164" s="117" t="s">
        <v>27</v>
      </c>
      <c r="P164" s="114" t="s">
        <v>1406</v>
      </c>
      <c r="Q164" s="114" t="s">
        <v>1419</v>
      </c>
      <c r="R164" s="115" t="s">
        <v>1395</v>
      </c>
      <c r="S164" s="80">
        <v>45775</v>
      </c>
      <c r="T164" s="152" t="s">
        <v>1420</v>
      </c>
      <c r="U164" s="103"/>
      <c r="V164" s="103"/>
      <c r="W164" s="103"/>
      <c r="X164" s="103"/>
      <c r="Y164" s="103"/>
      <c r="Z164" s="103"/>
      <c r="AA164" s="103"/>
    </row>
    <row r="165" spans="1:27">
      <c r="A165" s="86" t="s">
        <v>1421</v>
      </c>
      <c r="B165" s="112" t="s">
        <v>1422</v>
      </c>
      <c r="C165" s="113" t="s">
        <v>1390</v>
      </c>
      <c r="D165" s="114" t="s">
        <v>1366</v>
      </c>
      <c r="E165" s="114" t="s">
        <v>1423</v>
      </c>
      <c r="F165" s="80">
        <v>45558</v>
      </c>
      <c r="G165" s="115" t="s">
        <v>1424</v>
      </c>
      <c r="H165" s="116"/>
      <c r="I165" s="116"/>
      <c r="J165" s="116"/>
      <c r="K165" s="116"/>
      <c r="L165" s="115" t="s">
        <v>18</v>
      </c>
      <c r="M165" s="115" t="s">
        <v>1393</v>
      </c>
      <c r="N165" s="116"/>
      <c r="O165" s="117" t="s">
        <v>27</v>
      </c>
      <c r="P165" s="114" t="s">
        <v>1044</v>
      </c>
      <c r="Q165" s="114" t="s">
        <v>1425</v>
      </c>
      <c r="R165" s="115" t="s">
        <v>1395</v>
      </c>
      <c r="S165" s="80">
        <v>45775</v>
      </c>
      <c r="T165" s="152" t="s">
        <v>1426</v>
      </c>
      <c r="U165" s="103"/>
      <c r="V165" s="103"/>
      <c r="W165" s="103"/>
      <c r="X165" s="103"/>
      <c r="Y165" s="103"/>
      <c r="Z165" s="103"/>
      <c r="AA165" s="103"/>
    </row>
    <row r="166" spans="1:27">
      <c r="A166" s="86" t="s">
        <v>1427</v>
      </c>
      <c r="B166" s="112" t="s">
        <v>1428</v>
      </c>
      <c r="C166" s="113" t="s">
        <v>1390</v>
      </c>
      <c r="D166" s="114" t="s">
        <v>1366</v>
      </c>
      <c r="E166" s="114" t="s">
        <v>1423</v>
      </c>
      <c r="F166" s="127">
        <v>45617</v>
      </c>
      <c r="G166" s="115" t="s">
        <v>1429</v>
      </c>
      <c r="H166" s="116"/>
      <c r="I166" s="116"/>
      <c r="J166" s="116"/>
      <c r="K166" s="116"/>
      <c r="L166" s="115" t="s">
        <v>18</v>
      </c>
      <c r="M166" s="115" t="s">
        <v>44</v>
      </c>
      <c r="N166" s="116"/>
      <c r="O166" s="125" t="s">
        <v>47</v>
      </c>
      <c r="P166" s="114" t="s">
        <v>963</v>
      </c>
      <c r="Q166" s="114" t="s">
        <v>1430</v>
      </c>
      <c r="R166" s="115" t="s">
        <v>950</v>
      </c>
      <c r="S166" s="80">
        <v>45775</v>
      </c>
      <c r="T166" s="152" t="s">
        <v>1431</v>
      </c>
      <c r="U166" s="103"/>
      <c r="V166" s="103"/>
      <c r="W166" s="103"/>
      <c r="X166" s="103"/>
      <c r="Y166" s="103"/>
      <c r="Z166" s="103"/>
      <c r="AA166" s="103"/>
    </row>
    <row r="167" spans="1:27">
      <c r="A167" s="86" t="s">
        <v>1432</v>
      </c>
      <c r="B167" s="112" t="s">
        <v>1433</v>
      </c>
      <c r="C167" s="113" t="s">
        <v>776</v>
      </c>
      <c r="D167" s="114" t="s">
        <v>1434</v>
      </c>
      <c r="E167" s="114" t="s">
        <v>1367</v>
      </c>
      <c r="F167" s="127">
        <v>45596</v>
      </c>
      <c r="G167" s="115" t="s">
        <v>1435</v>
      </c>
      <c r="H167" s="116"/>
      <c r="I167" s="116"/>
      <c r="J167" s="116"/>
      <c r="K167" s="116"/>
      <c r="L167" s="115" t="s">
        <v>18</v>
      </c>
      <c r="M167" s="115" t="s">
        <v>481</v>
      </c>
      <c r="N167" s="116"/>
      <c r="O167" s="125" t="s">
        <v>47</v>
      </c>
      <c r="P167" s="114" t="s">
        <v>776</v>
      </c>
      <c r="Q167" s="114" t="s">
        <v>1208</v>
      </c>
      <c r="R167" s="115" t="s">
        <v>1436</v>
      </c>
      <c r="S167" s="80">
        <v>45775</v>
      </c>
      <c r="T167" s="116"/>
      <c r="U167" s="103"/>
      <c r="V167" s="103"/>
      <c r="W167" s="103"/>
      <c r="X167" s="103"/>
      <c r="Y167" s="103"/>
      <c r="Z167" s="103"/>
      <c r="AA167" s="103"/>
    </row>
    <row r="168" spans="1:27">
      <c r="A168" s="155"/>
      <c r="B168" s="116"/>
      <c r="C168" s="116"/>
      <c r="D168" s="116"/>
      <c r="E168" s="116"/>
      <c r="F168" s="116"/>
      <c r="G168" s="116"/>
      <c r="H168" s="116"/>
      <c r="I168" s="116"/>
      <c r="J168" s="116"/>
      <c r="K168" s="116"/>
      <c r="L168" s="116"/>
      <c r="M168" s="116"/>
      <c r="N168" s="116"/>
      <c r="O168" s="116"/>
      <c r="P168" s="116"/>
      <c r="Q168" s="116"/>
      <c r="R168" s="116"/>
      <c r="S168" s="116"/>
      <c r="T168" s="116"/>
      <c r="U168" s="103"/>
      <c r="V168" s="103"/>
      <c r="W168" s="103"/>
      <c r="X168" s="103"/>
      <c r="Y168" s="103"/>
      <c r="Z168" s="103"/>
      <c r="AA168" s="103"/>
    </row>
    <row r="169" spans="1:27">
      <c r="A169" s="155"/>
      <c r="B169" s="156"/>
      <c r="C169" s="116"/>
      <c r="D169" s="116"/>
      <c r="E169" s="116"/>
      <c r="F169" s="116"/>
      <c r="G169" s="116"/>
      <c r="H169" s="116"/>
      <c r="I169" s="116"/>
      <c r="J169" s="116"/>
      <c r="K169" s="116"/>
      <c r="L169" s="116"/>
      <c r="M169" s="116"/>
      <c r="N169" s="116"/>
      <c r="O169" s="116"/>
      <c r="P169" s="116"/>
      <c r="Q169" s="116"/>
      <c r="R169" s="116"/>
      <c r="S169" s="116"/>
      <c r="T169" s="116"/>
      <c r="U169" s="103"/>
      <c r="V169" s="103"/>
      <c r="W169" s="103"/>
      <c r="X169" s="103"/>
      <c r="Y169" s="103"/>
      <c r="Z169" s="103"/>
      <c r="AA169" s="103"/>
    </row>
    <row r="170" spans="1:27">
      <c r="A170" s="155"/>
      <c r="B170" s="116"/>
      <c r="C170" s="116"/>
      <c r="D170" s="116"/>
      <c r="E170" s="116"/>
      <c r="F170" s="116"/>
      <c r="G170" s="116"/>
      <c r="H170" s="116"/>
      <c r="I170" s="116"/>
      <c r="J170" s="116"/>
      <c r="K170" s="116"/>
      <c r="L170" s="116"/>
      <c r="M170" s="116"/>
      <c r="N170" s="116"/>
      <c r="O170" s="116"/>
      <c r="P170" s="116"/>
      <c r="Q170" s="116"/>
      <c r="R170" s="116"/>
      <c r="S170" s="116"/>
      <c r="T170" s="116"/>
      <c r="U170" s="103"/>
      <c r="V170" s="103"/>
      <c r="W170" s="103"/>
      <c r="X170" s="103"/>
      <c r="Y170" s="103"/>
      <c r="Z170" s="103"/>
      <c r="AA170" s="103"/>
    </row>
    <row r="171" spans="1:27">
      <c r="A171" s="155"/>
      <c r="B171" s="116"/>
      <c r="C171" s="116"/>
      <c r="D171" s="116"/>
      <c r="E171" s="116"/>
      <c r="F171" s="116"/>
      <c r="G171" s="116"/>
      <c r="H171" s="116"/>
      <c r="I171" s="116"/>
      <c r="J171" s="116"/>
      <c r="K171" s="116"/>
      <c r="L171" s="116"/>
      <c r="M171" s="116"/>
      <c r="N171" s="116"/>
      <c r="O171" s="116"/>
      <c r="P171" s="116"/>
      <c r="Q171" s="116"/>
      <c r="R171" s="116"/>
      <c r="S171" s="116"/>
      <c r="T171" s="116"/>
      <c r="U171" s="103"/>
      <c r="V171" s="103"/>
      <c r="W171" s="103"/>
      <c r="X171" s="103"/>
      <c r="Y171" s="103"/>
      <c r="Z171" s="103"/>
      <c r="AA171" s="103"/>
    </row>
    <row r="172" spans="1:27">
      <c r="A172" s="155"/>
      <c r="B172" s="116"/>
      <c r="C172" s="116"/>
      <c r="D172" s="116"/>
      <c r="E172" s="116"/>
      <c r="F172" s="116"/>
      <c r="G172" s="116"/>
      <c r="H172" s="116"/>
      <c r="I172" s="116"/>
      <c r="J172" s="116"/>
      <c r="K172" s="116"/>
      <c r="L172" s="116"/>
      <c r="M172" s="116"/>
      <c r="N172" s="116"/>
      <c r="O172" s="116"/>
      <c r="P172" s="116"/>
      <c r="Q172" s="116"/>
      <c r="R172" s="116"/>
      <c r="S172" s="116"/>
      <c r="T172" s="116"/>
      <c r="U172" s="103"/>
      <c r="V172" s="103"/>
      <c r="W172" s="103"/>
      <c r="X172" s="103"/>
      <c r="Y172" s="103"/>
      <c r="Z172" s="103"/>
      <c r="AA172" s="103"/>
    </row>
    <row r="173" spans="1:27">
      <c r="A173" s="155"/>
      <c r="B173" s="116"/>
      <c r="C173" s="116"/>
      <c r="D173" s="116"/>
      <c r="E173" s="116"/>
      <c r="F173" s="116"/>
      <c r="G173" s="116"/>
      <c r="H173" s="116"/>
      <c r="I173" s="116"/>
      <c r="J173" s="116"/>
      <c r="K173" s="116"/>
      <c r="L173" s="116"/>
      <c r="M173" s="116"/>
      <c r="N173" s="116"/>
      <c r="O173" s="116"/>
      <c r="P173" s="116"/>
      <c r="Q173" s="116"/>
      <c r="R173" s="116"/>
      <c r="S173" s="116"/>
      <c r="T173" s="116"/>
      <c r="U173" s="103"/>
      <c r="V173" s="103"/>
      <c r="W173" s="103"/>
      <c r="X173" s="103"/>
      <c r="Y173" s="103"/>
      <c r="Z173" s="103"/>
      <c r="AA173" s="103"/>
    </row>
    <row r="174" spans="1:27">
      <c r="A174" s="155"/>
      <c r="B174" s="116"/>
      <c r="C174" s="116"/>
      <c r="D174" s="116"/>
      <c r="E174" s="116"/>
      <c r="F174" s="116"/>
      <c r="G174" s="116"/>
      <c r="H174" s="116"/>
      <c r="I174" s="116"/>
      <c r="J174" s="116"/>
      <c r="K174" s="116"/>
      <c r="L174" s="116"/>
      <c r="M174" s="116"/>
      <c r="N174" s="116"/>
      <c r="O174" s="116"/>
      <c r="P174" s="116"/>
      <c r="Q174" s="116"/>
      <c r="R174" s="116"/>
      <c r="S174" s="116"/>
      <c r="T174" s="116"/>
      <c r="U174" s="103"/>
      <c r="V174" s="103"/>
      <c r="W174" s="103"/>
      <c r="X174" s="103"/>
      <c r="Y174" s="103"/>
      <c r="Z174" s="103"/>
      <c r="AA174" s="103"/>
    </row>
    <row r="175" spans="1:27">
      <c r="A175" s="155"/>
      <c r="B175" s="116"/>
      <c r="C175" s="116"/>
      <c r="D175" s="116"/>
      <c r="E175" s="116"/>
      <c r="F175" s="116"/>
      <c r="G175" s="116"/>
      <c r="H175" s="116"/>
      <c r="I175" s="116"/>
      <c r="J175" s="116"/>
      <c r="K175" s="116"/>
      <c r="L175" s="116"/>
      <c r="M175" s="116"/>
      <c r="N175" s="116"/>
      <c r="O175" s="116"/>
      <c r="P175" s="116"/>
      <c r="Q175" s="116"/>
      <c r="R175" s="116"/>
      <c r="S175" s="116"/>
      <c r="T175" s="116"/>
      <c r="U175" s="103"/>
      <c r="V175" s="103"/>
      <c r="W175" s="103"/>
      <c r="X175" s="103"/>
      <c r="Y175" s="103"/>
      <c r="Z175" s="103"/>
      <c r="AA175" s="103"/>
    </row>
    <row r="176" spans="1:27">
      <c r="A176" s="155"/>
      <c r="B176" s="116"/>
      <c r="C176" s="116"/>
      <c r="D176" s="116"/>
      <c r="E176" s="116"/>
      <c r="F176" s="116"/>
      <c r="G176" s="116"/>
      <c r="H176" s="116"/>
      <c r="I176" s="116"/>
      <c r="J176" s="116"/>
      <c r="K176" s="116"/>
      <c r="L176" s="116"/>
      <c r="M176" s="116"/>
      <c r="N176" s="116"/>
      <c r="O176" s="116"/>
      <c r="P176" s="116"/>
      <c r="Q176" s="116"/>
      <c r="R176" s="116"/>
      <c r="S176" s="116"/>
      <c r="T176" s="116"/>
      <c r="U176" s="103"/>
      <c r="V176" s="103"/>
      <c r="W176" s="103"/>
      <c r="X176" s="103"/>
      <c r="Y176" s="103"/>
      <c r="Z176" s="103"/>
      <c r="AA176" s="103"/>
    </row>
    <row r="177" spans="1:27">
      <c r="A177" s="155"/>
      <c r="B177" s="116"/>
      <c r="C177" s="116"/>
      <c r="D177" s="116"/>
      <c r="E177" s="116"/>
      <c r="F177" s="116"/>
      <c r="G177" s="116"/>
      <c r="H177" s="116"/>
      <c r="I177" s="116"/>
      <c r="J177" s="116"/>
      <c r="K177" s="116"/>
      <c r="L177" s="116"/>
      <c r="M177" s="116"/>
      <c r="N177" s="116"/>
      <c r="O177" s="116"/>
      <c r="P177" s="116"/>
      <c r="Q177" s="116"/>
      <c r="R177" s="116"/>
      <c r="S177" s="116"/>
      <c r="T177" s="116"/>
      <c r="U177" s="103"/>
      <c r="V177" s="103"/>
      <c r="W177" s="103"/>
      <c r="X177" s="103"/>
      <c r="Y177" s="103"/>
      <c r="Z177" s="103"/>
      <c r="AA177" s="103"/>
    </row>
    <row r="178" spans="1:27">
      <c r="A178" s="155"/>
      <c r="B178" s="116"/>
      <c r="C178" s="116"/>
      <c r="D178" s="116"/>
      <c r="E178" s="116"/>
      <c r="F178" s="116"/>
      <c r="G178" s="116"/>
      <c r="H178" s="116"/>
      <c r="I178" s="116"/>
      <c r="J178" s="116"/>
      <c r="K178" s="116"/>
      <c r="L178" s="116"/>
      <c r="M178" s="116"/>
      <c r="N178" s="116"/>
      <c r="O178" s="116"/>
      <c r="P178" s="116"/>
      <c r="Q178" s="116"/>
      <c r="R178" s="116"/>
      <c r="S178" s="116"/>
      <c r="T178" s="116"/>
      <c r="U178" s="103"/>
      <c r="V178" s="103"/>
      <c r="W178" s="103"/>
      <c r="X178" s="103"/>
      <c r="Y178" s="103"/>
      <c r="Z178" s="103"/>
      <c r="AA178" s="103"/>
    </row>
    <row r="179" spans="1:27">
      <c r="A179" s="155"/>
      <c r="B179" s="116"/>
      <c r="C179" s="116"/>
      <c r="D179" s="116"/>
      <c r="E179" s="116"/>
      <c r="F179" s="116"/>
      <c r="G179" s="116"/>
      <c r="H179" s="116"/>
      <c r="I179" s="116"/>
      <c r="J179" s="116"/>
      <c r="K179" s="116"/>
      <c r="L179" s="116"/>
      <c r="M179" s="116"/>
      <c r="N179" s="116"/>
      <c r="O179" s="116"/>
      <c r="P179" s="116"/>
      <c r="Q179" s="116"/>
      <c r="R179" s="116"/>
      <c r="S179" s="116"/>
      <c r="T179" s="116"/>
      <c r="U179" s="103"/>
      <c r="V179" s="103"/>
      <c r="W179" s="103"/>
      <c r="X179" s="103"/>
      <c r="Y179" s="103"/>
      <c r="Z179" s="103"/>
      <c r="AA179" s="103"/>
    </row>
    <row r="180" spans="1:27">
      <c r="A180" s="155"/>
      <c r="B180" s="116"/>
      <c r="C180" s="116"/>
      <c r="D180" s="116"/>
      <c r="E180" s="116"/>
      <c r="F180" s="116"/>
      <c r="G180" s="116"/>
      <c r="H180" s="116"/>
      <c r="I180" s="116"/>
      <c r="J180" s="116"/>
      <c r="K180" s="116"/>
      <c r="L180" s="116"/>
      <c r="M180" s="116"/>
      <c r="N180" s="116"/>
      <c r="O180" s="116"/>
      <c r="P180" s="116"/>
      <c r="Q180" s="116"/>
      <c r="R180" s="116"/>
      <c r="S180" s="116"/>
      <c r="T180" s="116"/>
      <c r="U180" s="103"/>
      <c r="V180" s="103"/>
      <c r="W180" s="103"/>
      <c r="X180" s="103"/>
      <c r="Y180" s="103"/>
      <c r="Z180" s="103"/>
      <c r="AA180" s="103"/>
    </row>
    <row r="181" spans="1:27">
      <c r="A181" s="155"/>
      <c r="B181" s="116"/>
      <c r="C181" s="116"/>
      <c r="D181" s="116"/>
      <c r="E181" s="116"/>
      <c r="F181" s="116"/>
      <c r="G181" s="116"/>
      <c r="H181" s="116"/>
      <c r="I181" s="116"/>
      <c r="J181" s="116"/>
      <c r="K181" s="116"/>
      <c r="L181" s="116"/>
      <c r="M181" s="116"/>
      <c r="N181" s="116"/>
      <c r="O181" s="116"/>
      <c r="P181" s="116"/>
      <c r="Q181" s="116"/>
      <c r="R181" s="116"/>
      <c r="S181" s="116"/>
      <c r="T181" s="116"/>
      <c r="U181" s="103"/>
      <c r="V181" s="103"/>
      <c r="W181" s="103"/>
      <c r="X181" s="103"/>
      <c r="Y181" s="103"/>
      <c r="Z181" s="103"/>
      <c r="AA181" s="103"/>
    </row>
    <row r="182" spans="1:27">
      <c r="A182" s="155"/>
      <c r="B182" s="116"/>
      <c r="C182" s="116"/>
      <c r="D182" s="116"/>
      <c r="E182" s="116"/>
      <c r="F182" s="116"/>
      <c r="G182" s="116"/>
      <c r="H182" s="116"/>
      <c r="I182" s="116"/>
      <c r="J182" s="116"/>
      <c r="K182" s="116"/>
      <c r="L182" s="116"/>
      <c r="M182" s="116"/>
      <c r="N182" s="116"/>
      <c r="O182" s="116"/>
      <c r="P182" s="116"/>
      <c r="Q182" s="116"/>
      <c r="R182" s="116"/>
      <c r="S182" s="116"/>
      <c r="T182" s="116"/>
      <c r="U182" s="103"/>
      <c r="V182" s="103"/>
      <c r="W182" s="103"/>
      <c r="X182" s="103"/>
      <c r="Y182" s="103"/>
      <c r="Z182" s="103"/>
      <c r="AA182" s="103"/>
    </row>
    <row r="183" spans="1:27">
      <c r="A183" s="155"/>
      <c r="B183" s="116"/>
      <c r="C183" s="116"/>
      <c r="D183" s="116"/>
      <c r="E183" s="116"/>
      <c r="F183" s="116"/>
      <c r="G183" s="116"/>
      <c r="H183" s="116"/>
      <c r="I183" s="116"/>
      <c r="J183" s="116"/>
      <c r="K183" s="116"/>
      <c r="L183" s="116"/>
      <c r="M183" s="116"/>
      <c r="N183" s="116"/>
      <c r="O183" s="116"/>
      <c r="P183" s="116"/>
      <c r="Q183" s="116"/>
      <c r="R183" s="116"/>
      <c r="S183" s="116"/>
      <c r="T183" s="116"/>
      <c r="U183" s="103"/>
      <c r="V183" s="103"/>
      <c r="W183" s="103"/>
      <c r="X183" s="103"/>
      <c r="Y183" s="103"/>
      <c r="Z183" s="103"/>
      <c r="AA183" s="103"/>
    </row>
    <row r="184" spans="1:27">
      <c r="A184" s="155"/>
      <c r="B184" s="116"/>
      <c r="C184" s="116"/>
      <c r="D184" s="116"/>
      <c r="E184" s="116"/>
      <c r="F184" s="116"/>
      <c r="G184" s="116"/>
      <c r="H184" s="116"/>
      <c r="I184" s="116"/>
      <c r="J184" s="116"/>
      <c r="K184" s="116"/>
      <c r="L184" s="116"/>
      <c r="M184" s="116"/>
      <c r="N184" s="116"/>
      <c r="O184" s="116"/>
      <c r="P184" s="116"/>
      <c r="Q184" s="116"/>
      <c r="R184" s="116"/>
      <c r="S184" s="116"/>
      <c r="T184" s="116"/>
      <c r="U184" s="103"/>
      <c r="V184" s="103"/>
      <c r="W184" s="103"/>
      <c r="X184" s="103"/>
      <c r="Y184" s="103"/>
      <c r="Z184" s="103"/>
      <c r="AA184" s="103"/>
    </row>
    <row r="185" spans="1:27">
      <c r="A185" s="155"/>
      <c r="B185" s="116"/>
      <c r="C185" s="116"/>
      <c r="D185" s="116"/>
      <c r="E185" s="116"/>
      <c r="F185" s="116"/>
      <c r="G185" s="116"/>
      <c r="H185" s="116"/>
      <c r="I185" s="116"/>
      <c r="J185" s="116"/>
      <c r="K185" s="116"/>
      <c r="L185" s="116"/>
      <c r="M185" s="116"/>
      <c r="N185" s="116"/>
      <c r="O185" s="116"/>
      <c r="P185" s="116"/>
      <c r="Q185" s="116"/>
      <c r="R185" s="116"/>
      <c r="S185" s="116"/>
      <c r="T185" s="116"/>
      <c r="U185" s="103"/>
      <c r="V185" s="103"/>
      <c r="W185" s="103"/>
      <c r="X185" s="103"/>
      <c r="Y185" s="103"/>
      <c r="Z185" s="103"/>
      <c r="AA185" s="103"/>
    </row>
    <row r="186" spans="1:27">
      <c r="A186" s="155"/>
      <c r="B186" s="116"/>
      <c r="C186" s="116"/>
      <c r="D186" s="116"/>
      <c r="E186" s="116"/>
      <c r="F186" s="116"/>
      <c r="G186" s="116"/>
      <c r="H186" s="116"/>
      <c r="I186" s="116"/>
      <c r="J186" s="116"/>
      <c r="K186" s="116"/>
      <c r="L186" s="116"/>
      <c r="M186" s="116"/>
      <c r="N186" s="116"/>
      <c r="O186" s="116"/>
      <c r="P186" s="116"/>
      <c r="Q186" s="116"/>
      <c r="R186" s="116"/>
      <c r="S186" s="116"/>
      <c r="T186" s="116"/>
      <c r="U186" s="103"/>
      <c r="V186" s="103"/>
      <c r="W186" s="103"/>
      <c r="X186" s="103"/>
      <c r="Y186" s="103"/>
      <c r="Z186" s="103"/>
      <c r="AA186" s="103"/>
    </row>
    <row r="187" spans="1:27">
      <c r="A187" s="155"/>
      <c r="B187" s="116"/>
      <c r="C187" s="116"/>
      <c r="D187" s="116"/>
      <c r="E187" s="116"/>
      <c r="F187" s="116"/>
      <c r="G187" s="116"/>
      <c r="H187" s="116"/>
      <c r="I187" s="116"/>
      <c r="J187" s="116"/>
      <c r="K187" s="116"/>
      <c r="L187" s="116"/>
      <c r="M187" s="116"/>
      <c r="N187" s="116"/>
      <c r="O187" s="116"/>
      <c r="P187" s="116"/>
      <c r="Q187" s="116"/>
      <c r="R187" s="116"/>
      <c r="S187" s="116"/>
      <c r="T187" s="116"/>
      <c r="U187" s="103"/>
      <c r="V187" s="103"/>
      <c r="W187" s="103"/>
      <c r="X187" s="103"/>
      <c r="Y187" s="103"/>
      <c r="Z187" s="103"/>
      <c r="AA187" s="103"/>
    </row>
    <row r="188" spans="1:27">
      <c r="A188" s="155"/>
      <c r="B188" s="116"/>
      <c r="C188" s="116"/>
      <c r="D188" s="116"/>
      <c r="E188" s="116"/>
      <c r="F188" s="116"/>
      <c r="G188" s="116"/>
      <c r="H188" s="116"/>
      <c r="I188" s="116"/>
      <c r="J188" s="116"/>
      <c r="K188" s="116"/>
      <c r="L188" s="116"/>
      <c r="M188" s="116"/>
      <c r="N188" s="116"/>
      <c r="O188" s="116"/>
      <c r="P188" s="116"/>
      <c r="Q188" s="116"/>
      <c r="R188" s="116"/>
      <c r="S188" s="116"/>
      <c r="T188" s="116"/>
      <c r="U188" s="103"/>
      <c r="V188" s="103"/>
      <c r="W188" s="103"/>
      <c r="X188" s="103"/>
      <c r="Y188" s="103"/>
      <c r="Z188" s="103"/>
      <c r="AA188" s="103"/>
    </row>
    <row r="189" spans="1:27">
      <c r="A189" s="155"/>
      <c r="B189" s="116"/>
      <c r="C189" s="116"/>
      <c r="D189" s="116"/>
      <c r="E189" s="116"/>
      <c r="F189" s="116"/>
      <c r="G189" s="116"/>
      <c r="H189" s="116"/>
      <c r="I189" s="116"/>
      <c r="J189" s="116"/>
      <c r="K189" s="116"/>
      <c r="L189" s="116"/>
      <c r="M189" s="116"/>
      <c r="N189" s="116"/>
      <c r="O189" s="116"/>
      <c r="P189" s="116"/>
      <c r="Q189" s="116"/>
      <c r="R189" s="116"/>
      <c r="S189" s="116"/>
      <c r="T189" s="116"/>
      <c r="U189" s="103"/>
      <c r="V189" s="103"/>
      <c r="W189" s="103"/>
      <c r="X189" s="103"/>
      <c r="Y189" s="103"/>
      <c r="Z189" s="103"/>
      <c r="AA189" s="103"/>
    </row>
    <row r="190" spans="1:27">
      <c r="A190" s="155"/>
      <c r="B190" s="116"/>
      <c r="C190" s="116"/>
      <c r="D190" s="116"/>
      <c r="E190" s="116"/>
      <c r="F190" s="116"/>
      <c r="G190" s="116"/>
      <c r="H190" s="116"/>
      <c r="I190" s="116"/>
      <c r="J190" s="116"/>
      <c r="K190" s="116"/>
      <c r="L190" s="116"/>
      <c r="M190" s="116"/>
      <c r="N190" s="116"/>
      <c r="O190" s="116"/>
      <c r="P190" s="116"/>
      <c r="Q190" s="116"/>
      <c r="R190" s="116"/>
      <c r="S190" s="116"/>
      <c r="T190" s="116"/>
      <c r="U190" s="103"/>
      <c r="V190" s="103"/>
      <c r="W190" s="103"/>
      <c r="X190" s="103"/>
      <c r="Y190" s="103"/>
      <c r="Z190" s="103"/>
      <c r="AA190" s="103"/>
    </row>
    <row r="191" spans="1:27">
      <c r="A191" s="155"/>
      <c r="B191" s="116"/>
      <c r="C191" s="116"/>
      <c r="D191" s="116"/>
      <c r="E191" s="116"/>
      <c r="F191" s="116"/>
      <c r="G191" s="116"/>
      <c r="H191" s="116"/>
      <c r="I191" s="116"/>
      <c r="J191" s="116"/>
      <c r="K191" s="116"/>
      <c r="L191" s="116"/>
      <c r="M191" s="116"/>
      <c r="N191" s="116"/>
      <c r="O191" s="116"/>
      <c r="P191" s="116"/>
      <c r="Q191" s="116"/>
      <c r="R191" s="116"/>
      <c r="S191" s="116"/>
      <c r="T191" s="116"/>
      <c r="U191" s="103"/>
      <c r="V191" s="103"/>
      <c r="W191" s="103"/>
      <c r="X191" s="103"/>
      <c r="Y191" s="103"/>
      <c r="Z191" s="103"/>
      <c r="AA191" s="103"/>
    </row>
    <row r="192" spans="1:27">
      <c r="A192" s="155"/>
      <c r="B192" s="116"/>
      <c r="C192" s="116"/>
      <c r="D192" s="116"/>
      <c r="E192" s="116"/>
      <c r="F192" s="116"/>
      <c r="G192" s="116"/>
      <c r="H192" s="116"/>
      <c r="I192" s="116"/>
      <c r="J192" s="116"/>
      <c r="K192" s="116"/>
      <c r="L192" s="116"/>
      <c r="M192" s="116"/>
      <c r="N192" s="116"/>
      <c r="O192" s="116"/>
      <c r="P192" s="116"/>
      <c r="Q192" s="116"/>
      <c r="R192" s="116"/>
      <c r="S192" s="116"/>
      <c r="T192" s="116"/>
      <c r="U192" s="103"/>
      <c r="V192" s="103"/>
      <c r="W192" s="103"/>
      <c r="X192" s="103"/>
      <c r="Y192" s="103"/>
      <c r="Z192" s="103"/>
      <c r="AA192" s="103"/>
    </row>
    <row r="193" spans="1:27">
      <c r="A193" s="155"/>
      <c r="B193" s="116"/>
      <c r="C193" s="116"/>
      <c r="D193" s="116"/>
      <c r="E193" s="116"/>
      <c r="F193" s="116"/>
      <c r="G193" s="116"/>
      <c r="H193" s="116"/>
      <c r="I193" s="116"/>
      <c r="J193" s="116"/>
      <c r="K193" s="116"/>
      <c r="L193" s="116"/>
      <c r="M193" s="116"/>
      <c r="N193" s="116"/>
      <c r="O193" s="116"/>
      <c r="P193" s="116"/>
      <c r="Q193" s="116"/>
      <c r="R193" s="116"/>
      <c r="S193" s="116"/>
      <c r="T193" s="116"/>
      <c r="U193" s="103"/>
      <c r="V193" s="103"/>
      <c r="W193" s="103"/>
      <c r="X193" s="103"/>
      <c r="Y193" s="103"/>
      <c r="Z193" s="103"/>
      <c r="AA193" s="103"/>
    </row>
    <row r="194" spans="1:27">
      <c r="A194" s="155"/>
      <c r="B194" s="116"/>
      <c r="C194" s="116"/>
      <c r="D194" s="116"/>
      <c r="E194" s="116"/>
      <c r="F194" s="116"/>
      <c r="G194" s="116"/>
      <c r="H194" s="116"/>
      <c r="I194" s="116"/>
      <c r="J194" s="116"/>
      <c r="K194" s="116"/>
      <c r="L194" s="116"/>
      <c r="M194" s="116"/>
      <c r="N194" s="116"/>
      <c r="O194" s="116"/>
      <c r="P194" s="116"/>
      <c r="Q194" s="116"/>
      <c r="R194" s="116"/>
      <c r="S194" s="116"/>
      <c r="T194" s="116"/>
      <c r="U194" s="103"/>
      <c r="V194" s="103"/>
      <c r="W194" s="103"/>
      <c r="X194" s="103"/>
      <c r="Y194" s="103"/>
      <c r="Z194" s="103"/>
      <c r="AA194" s="103"/>
    </row>
    <row r="195" spans="1:27">
      <c r="A195" s="155"/>
      <c r="B195" s="116"/>
      <c r="C195" s="116"/>
      <c r="D195" s="116"/>
      <c r="E195" s="116"/>
      <c r="F195" s="116"/>
      <c r="G195" s="116"/>
      <c r="H195" s="116"/>
      <c r="I195" s="116"/>
      <c r="J195" s="116"/>
      <c r="K195" s="116"/>
      <c r="L195" s="116"/>
      <c r="M195" s="116"/>
      <c r="N195" s="116"/>
      <c r="O195" s="116"/>
      <c r="P195" s="116"/>
      <c r="Q195" s="116"/>
      <c r="R195" s="116"/>
      <c r="S195" s="116"/>
      <c r="T195" s="116"/>
      <c r="U195" s="103"/>
      <c r="V195" s="103"/>
      <c r="W195" s="103"/>
      <c r="X195" s="103"/>
      <c r="Y195" s="103"/>
      <c r="Z195" s="103"/>
      <c r="AA195" s="103"/>
    </row>
    <row r="196" spans="1:27">
      <c r="A196" s="155"/>
      <c r="B196" s="116"/>
      <c r="C196" s="116"/>
      <c r="D196" s="116"/>
      <c r="E196" s="116"/>
      <c r="F196" s="116"/>
      <c r="G196" s="116"/>
      <c r="H196" s="116"/>
      <c r="I196" s="116"/>
      <c r="J196" s="116"/>
      <c r="K196" s="116"/>
      <c r="L196" s="116"/>
      <c r="M196" s="116"/>
      <c r="N196" s="116"/>
      <c r="O196" s="116"/>
      <c r="P196" s="116"/>
      <c r="Q196" s="116"/>
      <c r="R196" s="116"/>
      <c r="S196" s="116"/>
      <c r="T196" s="116"/>
      <c r="U196" s="103"/>
      <c r="V196" s="103"/>
      <c r="W196" s="103"/>
      <c r="X196" s="103"/>
      <c r="Y196" s="103"/>
      <c r="Z196" s="103"/>
      <c r="AA196" s="103"/>
    </row>
    <row r="197" spans="1:27">
      <c r="A197" s="155"/>
      <c r="B197" s="116"/>
      <c r="C197" s="116"/>
      <c r="D197" s="116"/>
      <c r="E197" s="116"/>
      <c r="F197" s="116"/>
      <c r="G197" s="116"/>
      <c r="H197" s="116"/>
      <c r="I197" s="116"/>
      <c r="J197" s="116"/>
      <c r="K197" s="116"/>
      <c r="L197" s="116"/>
      <c r="M197" s="116"/>
      <c r="N197" s="116"/>
      <c r="O197" s="116"/>
      <c r="P197" s="116"/>
      <c r="Q197" s="116"/>
      <c r="R197" s="116"/>
      <c r="S197" s="116"/>
      <c r="T197" s="116"/>
      <c r="U197" s="103"/>
      <c r="V197" s="103"/>
      <c r="W197" s="103"/>
      <c r="X197" s="103"/>
      <c r="Y197" s="103"/>
      <c r="Z197" s="103"/>
      <c r="AA197" s="103"/>
    </row>
    <row r="198" spans="1:27">
      <c r="A198" s="155"/>
      <c r="B198" s="116"/>
      <c r="C198" s="116"/>
      <c r="D198" s="116"/>
      <c r="E198" s="116"/>
      <c r="F198" s="116"/>
      <c r="G198" s="116"/>
      <c r="H198" s="116"/>
      <c r="I198" s="116"/>
      <c r="J198" s="116"/>
      <c r="K198" s="116"/>
      <c r="L198" s="116"/>
      <c r="M198" s="116"/>
      <c r="N198" s="116"/>
      <c r="O198" s="116"/>
      <c r="P198" s="116"/>
      <c r="Q198" s="116"/>
      <c r="R198" s="116"/>
      <c r="S198" s="116"/>
      <c r="T198" s="116"/>
      <c r="U198" s="103"/>
      <c r="V198" s="103"/>
      <c r="W198" s="103"/>
      <c r="X198" s="103"/>
      <c r="Y198" s="103"/>
      <c r="Z198" s="103"/>
      <c r="AA198" s="103"/>
    </row>
    <row r="199" spans="1:27">
      <c r="A199" s="155"/>
      <c r="B199" s="116"/>
      <c r="C199" s="116"/>
      <c r="D199" s="116"/>
      <c r="E199" s="116"/>
      <c r="F199" s="116"/>
      <c r="G199" s="116"/>
      <c r="H199" s="116"/>
      <c r="I199" s="116"/>
      <c r="J199" s="116"/>
      <c r="K199" s="116"/>
      <c r="L199" s="116"/>
      <c r="M199" s="116"/>
      <c r="N199" s="116"/>
      <c r="O199" s="116"/>
      <c r="P199" s="116"/>
      <c r="Q199" s="116"/>
      <c r="R199" s="116"/>
      <c r="S199" s="116"/>
      <c r="T199" s="116"/>
      <c r="U199" s="103"/>
      <c r="V199" s="103"/>
      <c r="W199" s="103"/>
      <c r="X199" s="103"/>
      <c r="Y199" s="103"/>
      <c r="Z199" s="103"/>
      <c r="AA199" s="103"/>
    </row>
    <row r="200" spans="1:27">
      <c r="A200" s="155"/>
      <c r="B200" s="116"/>
      <c r="C200" s="116"/>
      <c r="D200" s="116"/>
      <c r="E200" s="116"/>
      <c r="F200" s="116"/>
      <c r="G200" s="116"/>
      <c r="H200" s="116"/>
      <c r="I200" s="116"/>
      <c r="J200" s="116"/>
      <c r="K200" s="116"/>
      <c r="L200" s="116"/>
      <c r="M200" s="116"/>
      <c r="N200" s="116"/>
      <c r="O200" s="116"/>
      <c r="P200" s="116"/>
      <c r="Q200" s="116"/>
      <c r="R200" s="116"/>
      <c r="S200" s="116"/>
      <c r="T200" s="116"/>
      <c r="U200" s="103"/>
      <c r="V200" s="103"/>
      <c r="W200" s="103"/>
      <c r="X200" s="103"/>
      <c r="Y200" s="103"/>
      <c r="Z200" s="103"/>
      <c r="AA200" s="103"/>
    </row>
    <row r="201" spans="1:27">
      <c r="A201" s="155"/>
      <c r="B201" s="116"/>
      <c r="C201" s="116"/>
      <c r="D201" s="116"/>
      <c r="E201" s="116"/>
      <c r="F201" s="116"/>
      <c r="G201" s="116"/>
      <c r="H201" s="116"/>
      <c r="I201" s="116"/>
      <c r="J201" s="116"/>
      <c r="K201" s="116"/>
      <c r="L201" s="116"/>
      <c r="M201" s="116"/>
      <c r="N201" s="116"/>
      <c r="O201" s="116"/>
      <c r="P201" s="116"/>
      <c r="Q201" s="116"/>
      <c r="R201" s="116"/>
      <c r="S201" s="116"/>
      <c r="T201" s="116"/>
      <c r="U201" s="103"/>
      <c r="V201" s="103"/>
      <c r="W201" s="103"/>
      <c r="X201" s="103"/>
      <c r="Y201" s="103"/>
      <c r="Z201" s="103"/>
      <c r="AA201" s="103"/>
    </row>
    <row r="202" spans="1:27">
      <c r="A202" s="155"/>
      <c r="B202" s="116"/>
      <c r="C202" s="116"/>
      <c r="D202" s="116"/>
      <c r="E202" s="116"/>
      <c r="F202" s="116"/>
      <c r="G202" s="116"/>
      <c r="H202" s="116"/>
      <c r="I202" s="116"/>
      <c r="J202" s="116"/>
      <c r="K202" s="116"/>
      <c r="L202" s="116"/>
      <c r="M202" s="116"/>
      <c r="N202" s="116"/>
      <c r="O202" s="116"/>
      <c r="P202" s="116"/>
      <c r="Q202" s="116"/>
      <c r="R202" s="116"/>
      <c r="S202" s="116"/>
      <c r="T202" s="116"/>
      <c r="U202" s="103"/>
      <c r="V202" s="103"/>
      <c r="W202" s="103"/>
      <c r="X202" s="103"/>
      <c r="Y202" s="103"/>
      <c r="Z202" s="103"/>
      <c r="AA202" s="103"/>
    </row>
    <row r="203" spans="1:27">
      <c r="A203" s="155"/>
      <c r="B203" s="116"/>
      <c r="C203" s="116"/>
      <c r="D203" s="116"/>
      <c r="E203" s="116"/>
      <c r="F203" s="116"/>
      <c r="G203" s="116"/>
      <c r="H203" s="116"/>
      <c r="I203" s="116"/>
      <c r="J203" s="116"/>
      <c r="K203" s="116"/>
      <c r="L203" s="116"/>
      <c r="M203" s="116"/>
      <c r="N203" s="116"/>
      <c r="O203" s="116"/>
      <c r="P203" s="116"/>
      <c r="Q203" s="116"/>
      <c r="R203" s="116"/>
      <c r="S203" s="116"/>
      <c r="T203" s="116"/>
      <c r="U203" s="103"/>
      <c r="V203" s="103"/>
      <c r="W203" s="103"/>
      <c r="X203" s="103"/>
      <c r="Y203" s="103"/>
      <c r="Z203" s="103"/>
      <c r="AA203" s="103"/>
    </row>
    <row r="204" spans="1:27">
      <c r="A204" s="155"/>
      <c r="B204" s="116"/>
      <c r="C204" s="116"/>
      <c r="D204" s="116"/>
      <c r="E204" s="116"/>
      <c r="F204" s="116"/>
      <c r="G204" s="116"/>
      <c r="H204" s="116"/>
      <c r="I204" s="116"/>
      <c r="J204" s="116"/>
      <c r="K204" s="116"/>
      <c r="L204" s="116"/>
      <c r="M204" s="116"/>
      <c r="N204" s="116"/>
      <c r="O204" s="116"/>
      <c r="P204" s="116"/>
      <c r="Q204" s="116"/>
      <c r="R204" s="116"/>
      <c r="S204" s="116"/>
      <c r="T204" s="116"/>
      <c r="U204" s="103"/>
      <c r="V204" s="103"/>
      <c r="W204" s="103"/>
      <c r="X204" s="103"/>
      <c r="Y204" s="103"/>
      <c r="Z204" s="103"/>
      <c r="AA204" s="103"/>
    </row>
    <row r="205" spans="1:27">
      <c r="A205" s="155"/>
      <c r="B205" s="116"/>
      <c r="C205" s="116"/>
      <c r="D205" s="116"/>
      <c r="E205" s="116"/>
      <c r="F205" s="116"/>
      <c r="G205" s="116"/>
      <c r="H205" s="116"/>
      <c r="I205" s="116"/>
      <c r="J205" s="116"/>
      <c r="K205" s="116"/>
      <c r="L205" s="116"/>
      <c r="M205" s="116"/>
      <c r="N205" s="116"/>
      <c r="O205" s="116"/>
      <c r="P205" s="116"/>
      <c r="Q205" s="116"/>
      <c r="R205" s="116"/>
      <c r="S205" s="116"/>
      <c r="T205" s="116"/>
      <c r="U205" s="103"/>
      <c r="V205" s="103"/>
      <c r="W205" s="103"/>
      <c r="X205" s="103"/>
      <c r="Y205" s="103"/>
      <c r="Z205" s="103"/>
      <c r="AA205" s="103"/>
    </row>
    <row r="206" spans="1:27">
      <c r="A206" s="155"/>
      <c r="B206" s="116"/>
      <c r="C206" s="116"/>
      <c r="D206" s="116"/>
      <c r="E206" s="116"/>
      <c r="F206" s="116"/>
      <c r="G206" s="116"/>
      <c r="H206" s="116"/>
      <c r="I206" s="116"/>
      <c r="J206" s="116"/>
      <c r="K206" s="116"/>
      <c r="L206" s="116"/>
      <c r="M206" s="116"/>
      <c r="N206" s="116"/>
      <c r="O206" s="116"/>
      <c r="P206" s="116"/>
      <c r="Q206" s="116"/>
      <c r="R206" s="116"/>
      <c r="S206" s="116"/>
      <c r="T206" s="116"/>
      <c r="U206" s="103"/>
      <c r="V206" s="103"/>
      <c r="W206" s="103"/>
      <c r="X206" s="103"/>
      <c r="Y206" s="103"/>
      <c r="Z206" s="103"/>
      <c r="AA206" s="103"/>
    </row>
    <row r="207" spans="1:27">
      <c r="A207" s="155"/>
      <c r="B207" s="116"/>
      <c r="C207" s="116"/>
      <c r="D207" s="116"/>
      <c r="E207" s="116"/>
      <c r="F207" s="116"/>
      <c r="G207" s="116"/>
      <c r="H207" s="116"/>
      <c r="I207" s="116"/>
      <c r="J207" s="116"/>
      <c r="K207" s="116"/>
      <c r="L207" s="116"/>
      <c r="M207" s="116"/>
      <c r="N207" s="116"/>
      <c r="O207" s="116"/>
      <c r="P207" s="116"/>
      <c r="Q207" s="116"/>
      <c r="R207" s="116"/>
      <c r="S207" s="116"/>
      <c r="T207" s="116"/>
      <c r="U207" s="103"/>
      <c r="V207" s="103"/>
      <c r="W207" s="103"/>
      <c r="X207" s="103"/>
      <c r="Y207" s="103"/>
      <c r="Z207" s="103"/>
      <c r="AA207" s="103"/>
    </row>
    <row r="208" spans="1:27">
      <c r="A208" s="155"/>
      <c r="B208" s="116"/>
      <c r="C208" s="116"/>
      <c r="D208" s="116"/>
      <c r="E208" s="116"/>
      <c r="F208" s="116"/>
      <c r="G208" s="116"/>
      <c r="H208" s="116"/>
      <c r="I208" s="116"/>
      <c r="J208" s="116"/>
      <c r="K208" s="116"/>
      <c r="L208" s="116"/>
      <c r="M208" s="116"/>
      <c r="N208" s="116"/>
      <c r="O208" s="116"/>
      <c r="P208" s="116"/>
      <c r="Q208" s="116"/>
      <c r="R208" s="116"/>
      <c r="S208" s="116"/>
      <c r="T208" s="116"/>
      <c r="U208" s="103"/>
      <c r="V208" s="103"/>
      <c r="W208" s="103"/>
      <c r="X208" s="103"/>
      <c r="Y208" s="103"/>
      <c r="Z208" s="103"/>
      <c r="AA208" s="103"/>
    </row>
    <row r="209" spans="1:27">
      <c r="A209" s="155"/>
      <c r="B209" s="116"/>
      <c r="C209" s="116"/>
      <c r="D209" s="116"/>
      <c r="E209" s="116"/>
      <c r="F209" s="116"/>
      <c r="G209" s="116"/>
      <c r="H209" s="116"/>
      <c r="I209" s="116"/>
      <c r="J209" s="116"/>
      <c r="K209" s="116"/>
      <c r="L209" s="116"/>
      <c r="M209" s="116"/>
      <c r="N209" s="116"/>
      <c r="O209" s="116"/>
      <c r="P209" s="116"/>
      <c r="Q209" s="116"/>
      <c r="R209" s="116"/>
      <c r="S209" s="116"/>
      <c r="T209" s="116"/>
      <c r="U209" s="103"/>
      <c r="V209" s="103"/>
      <c r="W209" s="103"/>
      <c r="X209" s="103"/>
      <c r="Y209" s="103"/>
      <c r="Z209" s="103"/>
      <c r="AA209" s="103"/>
    </row>
    <row r="210" spans="1:27">
      <c r="A210" s="155"/>
      <c r="B210" s="116"/>
      <c r="C210" s="116"/>
      <c r="D210" s="116"/>
      <c r="E210" s="116"/>
      <c r="F210" s="116"/>
      <c r="G210" s="116"/>
      <c r="H210" s="116"/>
      <c r="I210" s="116"/>
      <c r="J210" s="116"/>
      <c r="K210" s="116"/>
      <c r="L210" s="116"/>
      <c r="M210" s="116"/>
      <c r="N210" s="116"/>
      <c r="O210" s="116"/>
      <c r="P210" s="116"/>
      <c r="Q210" s="116"/>
      <c r="R210" s="116"/>
      <c r="S210" s="116"/>
      <c r="T210" s="116"/>
      <c r="U210" s="103"/>
      <c r="V210" s="103"/>
      <c r="W210" s="103"/>
      <c r="X210" s="103"/>
      <c r="Y210" s="103"/>
      <c r="Z210" s="103"/>
      <c r="AA210" s="103"/>
    </row>
    <row r="211" spans="1:27">
      <c r="A211" s="155"/>
      <c r="B211" s="116"/>
      <c r="C211" s="116"/>
      <c r="D211" s="116"/>
      <c r="E211" s="116"/>
      <c r="F211" s="116"/>
      <c r="G211" s="116"/>
      <c r="H211" s="116"/>
      <c r="I211" s="116"/>
      <c r="J211" s="116"/>
      <c r="K211" s="116"/>
      <c r="L211" s="116"/>
      <c r="M211" s="116"/>
      <c r="N211" s="116"/>
      <c r="O211" s="116"/>
      <c r="P211" s="116"/>
      <c r="Q211" s="116"/>
      <c r="R211" s="116"/>
      <c r="S211" s="116"/>
      <c r="T211" s="116"/>
      <c r="U211" s="103"/>
      <c r="V211" s="103"/>
      <c r="W211" s="103"/>
      <c r="X211" s="103"/>
      <c r="Y211" s="103"/>
      <c r="Z211" s="103"/>
      <c r="AA211" s="103"/>
    </row>
    <row r="212" spans="1:27">
      <c r="A212" s="155"/>
      <c r="B212" s="116"/>
      <c r="C212" s="116"/>
      <c r="D212" s="116"/>
      <c r="E212" s="116"/>
      <c r="F212" s="116"/>
      <c r="G212" s="116"/>
      <c r="H212" s="116"/>
      <c r="I212" s="116"/>
      <c r="J212" s="116"/>
      <c r="K212" s="116"/>
      <c r="L212" s="116"/>
      <c r="M212" s="116"/>
      <c r="N212" s="116"/>
      <c r="O212" s="116"/>
      <c r="P212" s="116"/>
      <c r="Q212" s="116"/>
      <c r="R212" s="116"/>
      <c r="S212" s="116"/>
      <c r="T212" s="116"/>
      <c r="U212" s="103"/>
      <c r="V212" s="103"/>
      <c r="W212" s="103"/>
      <c r="X212" s="103"/>
      <c r="Y212" s="103"/>
      <c r="Z212" s="103"/>
      <c r="AA212" s="103"/>
    </row>
    <row r="213" spans="1:27">
      <c r="A213" s="155"/>
      <c r="B213" s="116"/>
      <c r="C213" s="116"/>
      <c r="D213" s="116"/>
      <c r="E213" s="116"/>
      <c r="F213" s="116"/>
      <c r="G213" s="116"/>
      <c r="H213" s="116"/>
      <c r="I213" s="116"/>
      <c r="J213" s="116"/>
      <c r="K213" s="116"/>
      <c r="L213" s="116"/>
      <c r="M213" s="116"/>
      <c r="N213" s="116"/>
      <c r="O213" s="116"/>
      <c r="P213" s="116"/>
      <c r="Q213" s="116"/>
      <c r="R213" s="116"/>
      <c r="S213" s="116"/>
      <c r="T213" s="116"/>
      <c r="U213" s="103"/>
      <c r="V213" s="103"/>
      <c r="W213" s="103"/>
      <c r="X213" s="103"/>
      <c r="Y213" s="103"/>
      <c r="Z213" s="103"/>
      <c r="AA213" s="103"/>
    </row>
    <row r="214" spans="1:27">
      <c r="A214" s="155"/>
      <c r="B214" s="116"/>
      <c r="C214" s="116"/>
      <c r="D214" s="116"/>
      <c r="E214" s="116"/>
      <c r="F214" s="116"/>
      <c r="G214" s="116"/>
      <c r="H214" s="116"/>
      <c r="I214" s="116"/>
      <c r="J214" s="116"/>
      <c r="K214" s="116"/>
      <c r="L214" s="116"/>
      <c r="M214" s="116"/>
      <c r="N214" s="116"/>
      <c r="O214" s="116"/>
      <c r="P214" s="116"/>
      <c r="Q214" s="116"/>
      <c r="R214" s="116"/>
      <c r="S214" s="116"/>
      <c r="T214" s="116"/>
      <c r="U214" s="103"/>
      <c r="V214" s="103"/>
      <c r="W214" s="103"/>
      <c r="X214" s="103"/>
      <c r="Y214" s="103"/>
      <c r="Z214" s="103"/>
      <c r="AA214" s="103"/>
    </row>
    <row r="215" spans="1:27">
      <c r="A215" s="155"/>
      <c r="B215" s="116"/>
      <c r="C215" s="116"/>
      <c r="D215" s="116"/>
      <c r="E215" s="116"/>
      <c r="F215" s="116"/>
      <c r="G215" s="116"/>
      <c r="H215" s="116"/>
      <c r="I215" s="116"/>
      <c r="J215" s="116"/>
      <c r="K215" s="116"/>
      <c r="L215" s="116"/>
      <c r="M215" s="116"/>
      <c r="N215" s="116"/>
      <c r="O215" s="116"/>
      <c r="P215" s="116"/>
      <c r="Q215" s="116"/>
      <c r="R215" s="116"/>
      <c r="S215" s="116"/>
      <c r="T215" s="116"/>
      <c r="U215" s="103"/>
      <c r="V215" s="103"/>
      <c r="W215" s="103"/>
      <c r="X215" s="103"/>
      <c r="Y215" s="103"/>
      <c r="Z215" s="103"/>
      <c r="AA215" s="103"/>
    </row>
    <row r="216" spans="1:27">
      <c r="A216" s="155"/>
      <c r="B216" s="116"/>
      <c r="C216" s="116"/>
      <c r="D216" s="116"/>
      <c r="E216" s="116"/>
      <c r="F216" s="116"/>
      <c r="G216" s="116"/>
      <c r="H216" s="116"/>
      <c r="I216" s="116"/>
      <c r="J216" s="116"/>
      <c r="K216" s="116"/>
      <c r="L216" s="116"/>
      <c r="M216" s="116"/>
      <c r="N216" s="116"/>
      <c r="O216" s="116"/>
      <c r="P216" s="116"/>
      <c r="Q216" s="116"/>
      <c r="R216" s="116"/>
      <c r="S216" s="116"/>
      <c r="T216" s="116"/>
      <c r="U216" s="103"/>
      <c r="V216" s="103"/>
      <c r="W216" s="103"/>
      <c r="X216" s="103"/>
      <c r="Y216" s="103"/>
      <c r="Z216" s="103"/>
      <c r="AA216" s="103"/>
    </row>
    <row r="217" spans="1:27">
      <c r="A217" s="155"/>
      <c r="B217" s="116"/>
      <c r="C217" s="116"/>
      <c r="D217" s="116"/>
      <c r="E217" s="116"/>
      <c r="F217" s="116"/>
      <c r="G217" s="116"/>
      <c r="H217" s="116"/>
      <c r="I217" s="116"/>
      <c r="J217" s="116"/>
      <c r="K217" s="116"/>
      <c r="L217" s="116"/>
      <c r="M217" s="116"/>
      <c r="N217" s="116"/>
      <c r="O217" s="116"/>
      <c r="P217" s="116"/>
      <c r="Q217" s="116"/>
      <c r="R217" s="116"/>
      <c r="S217" s="116"/>
      <c r="T217" s="116"/>
      <c r="U217" s="103"/>
      <c r="V217" s="103"/>
      <c r="W217" s="103"/>
      <c r="X217" s="103"/>
      <c r="Y217" s="103"/>
      <c r="Z217" s="103"/>
      <c r="AA217" s="103"/>
    </row>
    <row r="218" spans="1:27">
      <c r="A218" s="155"/>
      <c r="B218" s="116"/>
      <c r="C218" s="116"/>
      <c r="D218" s="116"/>
      <c r="E218" s="116"/>
      <c r="F218" s="116"/>
      <c r="G218" s="116"/>
      <c r="H218" s="116"/>
      <c r="I218" s="116"/>
      <c r="J218" s="116"/>
      <c r="K218" s="116"/>
      <c r="L218" s="116"/>
      <c r="M218" s="116"/>
      <c r="N218" s="116"/>
      <c r="O218" s="116"/>
      <c r="P218" s="116"/>
      <c r="Q218" s="116"/>
      <c r="R218" s="116"/>
      <c r="S218" s="116"/>
      <c r="T218" s="116"/>
      <c r="U218" s="103"/>
      <c r="V218" s="103"/>
      <c r="W218" s="103"/>
      <c r="X218" s="103"/>
      <c r="Y218" s="103"/>
      <c r="Z218" s="103"/>
      <c r="AA218" s="103"/>
    </row>
    <row r="219" spans="1:27">
      <c r="A219" s="155"/>
      <c r="B219" s="116"/>
      <c r="C219" s="116"/>
      <c r="D219" s="116"/>
      <c r="E219" s="116"/>
      <c r="F219" s="116"/>
      <c r="G219" s="116"/>
      <c r="H219" s="116"/>
      <c r="I219" s="116"/>
      <c r="J219" s="116"/>
      <c r="K219" s="116"/>
      <c r="L219" s="116"/>
      <c r="M219" s="116"/>
      <c r="N219" s="116"/>
      <c r="O219" s="116"/>
      <c r="P219" s="116"/>
      <c r="Q219" s="116"/>
      <c r="R219" s="116"/>
      <c r="S219" s="116"/>
      <c r="T219" s="116"/>
      <c r="U219" s="103"/>
      <c r="V219" s="103"/>
      <c r="W219" s="103"/>
      <c r="X219" s="103"/>
      <c r="Y219" s="103"/>
      <c r="Z219" s="103"/>
      <c r="AA219" s="103"/>
    </row>
    <row r="220" spans="1:27">
      <c r="A220" s="155"/>
      <c r="B220" s="116"/>
      <c r="C220" s="116"/>
      <c r="D220" s="116"/>
      <c r="E220" s="116"/>
      <c r="F220" s="116"/>
      <c r="G220" s="116"/>
      <c r="H220" s="116"/>
      <c r="I220" s="116"/>
      <c r="J220" s="116"/>
      <c r="K220" s="116"/>
      <c r="L220" s="116"/>
      <c r="M220" s="116"/>
      <c r="N220" s="116"/>
      <c r="O220" s="116"/>
      <c r="P220" s="116"/>
      <c r="Q220" s="116"/>
      <c r="R220" s="116"/>
      <c r="S220" s="116"/>
      <c r="T220" s="116"/>
      <c r="U220" s="103"/>
      <c r="V220" s="103"/>
      <c r="W220" s="103"/>
      <c r="X220" s="103"/>
      <c r="Y220" s="103"/>
      <c r="Z220" s="103"/>
      <c r="AA220" s="103"/>
    </row>
    <row r="221" spans="1:27">
      <c r="A221" s="155"/>
      <c r="B221" s="116"/>
      <c r="C221" s="116"/>
      <c r="D221" s="116"/>
      <c r="E221" s="116"/>
      <c r="F221" s="116"/>
      <c r="G221" s="116"/>
      <c r="H221" s="116"/>
      <c r="I221" s="116"/>
      <c r="J221" s="116"/>
      <c r="K221" s="116"/>
      <c r="L221" s="116"/>
      <c r="M221" s="116"/>
      <c r="N221" s="116"/>
      <c r="O221" s="116"/>
      <c r="P221" s="116"/>
      <c r="Q221" s="116"/>
      <c r="R221" s="116"/>
      <c r="S221" s="116"/>
      <c r="T221" s="116"/>
      <c r="U221" s="103"/>
      <c r="V221" s="103"/>
      <c r="W221" s="103"/>
      <c r="X221" s="103"/>
      <c r="Y221" s="103"/>
      <c r="Z221" s="103"/>
      <c r="AA221" s="103"/>
    </row>
    <row r="222" spans="1:27">
      <c r="A222" s="155"/>
      <c r="B222" s="116"/>
      <c r="C222" s="116"/>
      <c r="D222" s="116"/>
      <c r="E222" s="116"/>
      <c r="F222" s="116"/>
      <c r="G222" s="116"/>
      <c r="H222" s="116"/>
      <c r="I222" s="116"/>
      <c r="J222" s="116"/>
      <c r="K222" s="116"/>
      <c r="L222" s="116"/>
      <c r="M222" s="116"/>
      <c r="N222" s="116"/>
      <c r="O222" s="116"/>
      <c r="P222" s="116"/>
      <c r="Q222" s="116"/>
      <c r="R222" s="116"/>
      <c r="S222" s="116"/>
      <c r="T222" s="116"/>
      <c r="U222" s="103"/>
      <c r="V222" s="103"/>
      <c r="W222" s="103"/>
      <c r="X222" s="103"/>
      <c r="Y222" s="103"/>
      <c r="Z222" s="103"/>
      <c r="AA222" s="103"/>
    </row>
    <row r="223" spans="1:27">
      <c r="A223" s="155"/>
      <c r="B223" s="116"/>
      <c r="C223" s="116"/>
      <c r="D223" s="116"/>
      <c r="E223" s="116"/>
      <c r="F223" s="116"/>
      <c r="G223" s="116"/>
      <c r="H223" s="116"/>
      <c r="I223" s="116"/>
      <c r="J223" s="116"/>
      <c r="K223" s="116"/>
      <c r="L223" s="116"/>
      <c r="M223" s="116"/>
      <c r="N223" s="116"/>
      <c r="O223" s="116"/>
      <c r="P223" s="116"/>
      <c r="Q223" s="116"/>
      <c r="R223" s="116"/>
      <c r="S223" s="116"/>
      <c r="T223" s="116"/>
      <c r="U223" s="103"/>
      <c r="V223" s="103"/>
      <c r="W223" s="103"/>
      <c r="X223" s="103"/>
      <c r="Y223" s="103"/>
      <c r="Z223" s="103"/>
      <c r="AA223" s="103"/>
    </row>
    <row r="224" spans="1:27">
      <c r="A224" s="155"/>
      <c r="B224" s="116"/>
      <c r="C224" s="116"/>
      <c r="D224" s="116"/>
      <c r="E224" s="116"/>
      <c r="F224" s="116"/>
      <c r="G224" s="116"/>
      <c r="H224" s="116"/>
      <c r="I224" s="116"/>
      <c r="J224" s="116"/>
      <c r="K224" s="116"/>
      <c r="L224" s="116"/>
      <c r="M224" s="116"/>
      <c r="N224" s="116"/>
      <c r="O224" s="116"/>
      <c r="P224" s="116"/>
      <c r="Q224" s="116"/>
      <c r="R224" s="116"/>
      <c r="S224" s="116"/>
      <c r="T224" s="116"/>
      <c r="U224" s="103"/>
      <c r="V224" s="103"/>
      <c r="W224" s="103"/>
      <c r="X224" s="103"/>
      <c r="Y224" s="103"/>
      <c r="Z224" s="103"/>
      <c r="AA224" s="103"/>
    </row>
    <row r="225" spans="1:27">
      <c r="A225" s="155"/>
      <c r="B225" s="116"/>
      <c r="C225" s="116"/>
      <c r="D225" s="116"/>
      <c r="E225" s="116"/>
      <c r="F225" s="116"/>
      <c r="G225" s="116"/>
      <c r="H225" s="116"/>
      <c r="I225" s="116"/>
      <c r="J225" s="116"/>
      <c r="K225" s="116"/>
      <c r="L225" s="116"/>
      <c r="M225" s="116"/>
      <c r="N225" s="116"/>
      <c r="O225" s="116"/>
      <c r="P225" s="116"/>
      <c r="Q225" s="116"/>
      <c r="R225" s="116"/>
      <c r="S225" s="116"/>
      <c r="T225" s="116"/>
      <c r="U225" s="103"/>
      <c r="V225" s="103"/>
      <c r="W225" s="103"/>
      <c r="X225" s="103"/>
      <c r="Y225" s="103"/>
      <c r="Z225" s="103"/>
      <c r="AA225" s="103"/>
    </row>
    <row r="226" spans="1:27">
      <c r="A226" s="155"/>
      <c r="B226" s="116"/>
      <c r="C226" s="116"/>
      <c r="D226" s="116"/>
      <c r="E226" s="116"/>
      <c r="F226" s="116"/>
      <c r="G226" s="116"/>
      <c r="H226" s="116"/>
      <c r="I226" s="116"/>
      <c r="J226" s="116"/>
      <c r="K226" s="116"/>
      <c r="L226" s="116"/>
      <c r="M226" s="116"/>
      <c r="N226" s="116"/>
      <c r="O226" s="116"/>
      <c r="P226" s="116"/>
      <c r="Q226" s="116"/>
      <c r="R226" s="116"/>
      <c r="S226" s="116"/>
      <c r="T226" s="116"/>
      <c r="U226" s="103"/>
      <c r="V226" s="103"/>
      <c r="W226" s="103"/>
      <c r="X226" s="103"/>
      <c r="Y226" s="103"/>
      <c r="Z226" s="103"/>
      <c r="AA226" s="103"/>
    </row>
    <row r="227" spans="1:27">
      <c r="A227" s="155"/>
      <c r="B227" s="116"/>
      <c r="C227" s="116"/>
      <c r="D227" s="116"/>
      <c r="E227" s="116"/>
      <c r="F227" s="116"/>
      <c r="G227" s="116"/>
      <c r="H227" s="116"/>
      <c r="I227" s="116"/>
      <c r="J227" s="116"/>
      <c r="K227" s="116"/>
      <c r="L227" s="116"/>
      <c r="M227" s="116"/>
      <c r="N227" s="116"/>
      <c r="O227" s="116"/>
      <c r="P227" s="116"/>
      <c r="Q227" s="116"/>
      <c r="R227" s="116"/>
      <c r="S227" s="116"/>
      <c r="T227" s="116"/>
      <c r="U227" s="103"/>
      <c r="V227" s="103"/>
      <c r="W227" s="103"/>
      <c r="X227" s="103"/>
      <c r="Y227" s="103"/>
      <c r="Z227" s="103"/>
      <c r="AA227" s="103"/>
    </row>
    <row r="228" spans="1:27">
      <c r="A228" s="155"/>
      <c r="B228" s="116"/>
      <c r="C228" s="116"/>
      <c r="D228" s="116"/>
      <c r="E228" s="116"/>
      <c r="F228" s="116"/>
      <c r="G228" s="116"/>
      <c r="H228" s="116"/>
      <c r="I228" s="116"/>
      <c r="J228" s="116"/>
      <c r="K228" s="116"/>
      <c r="L228" s="116"/>
      <c r="M228" s="116"/>
      <c r="N228" s="116"/>
      <c r="O228" s="116"/>
      <c r="P228" s="116"/>
      <c r="Q228" s="116"/>
      <c r="R228" s="116"/>
      <c r="S228" s="116"/>
      <c r="T228" s="116"/>
      <c r="U228" s="103"/>
      <c r="V228" s="103"/>
      <c r="W228" s="103"/>
      <c r="X228" s="103"/>
      <c r="Y228" s="103"/>
      <c r="Z228" s="103"/>
      <c r="AA228" s="103"/>
    </row>
    <row r="229" spans="1:27">
      <c r="A229" s="155"/>
      <c r="B229" s="116"/>
      <c r="C229" s="116"/>
      <c r="D229" s="116"/>
      <c r="E229" s="116"/>
      <c r="F229" s="116"/>
      <c r="G229" s="116"/>
      <c r="H229" s="116"/>
      <c r="I229" s="116"/>
      <c r="J229" s="116"/>
      <c r="K229" s="116"/>
      <c r="L229" s="116"/>
      <c r="M229" s="116"/>
      <c r="N229" s="116"/>
      <c r="O229" s="116"/>
      <c r="P229" s="116"/>
      <c r="Q229" s="116"/>
      <c r="R229" s="116"/>
      <c r="S229" s="116"/>
      <c r="T229" s="116"/>
      <c r="U229" s="103"/>
      <c r="V229" s="103"/>
      <c r="W229" s="103"/>
      <c r="X229" s="103"/>
      <c r="Y229" s="103"/>
      <c r="Z229" s="103"/>
      <c r="AA229" s="103"/>
    </row>
    <row r="230" spans="1:27">
      <c r="A230" s="155"/>
      <c r="B230" s="116"/>
      <c r="C230" s="116"/>
      <c r="D230" s="116"/>
      <c r="E230" s="116"/>
      <c r="F230" s="116"/>
      <c r="G230" s="116"/>
      <c r="H230" s="116"/>
      <c r="I230" s="116"/>
      <c r="J230" s="116"/>
      <c r="K230" s="116"/>
      <c r="L230" s="116"/>
      <c r="M230" s="116"/>
      <c r="N230" s="116"/>
      <c r="O230" s="116"/>
      <c r="P230" s="116"/>
      <c r="Q230" s="116"/>
      <c r="R230" s="116"/>
      <c r="S230" s="116"/>
      <c r="T230" s="116"/>
      <c r="U230" s="103"/>
      <c r="V230" s="103"/>
      <c r="W230" s="103"/>
      <c r="X230" s="103"/>
      <c r="Y230" s="103"/>
      <c r="Z230" s="103"/>
      <c r="AA230" s="103"/>
    </row>
    <row r="231" spans="1:27">
      <c r="A231" s="155"/>
      <c r="B231" s="116"/>
      <c r="C231" s="116"/>
      <c r="D231" s="116"/>
      <c r="E231" s="116"/>
      <c r="F231" s="116"/>
      <c r="G231" s="116"/>
      <c r="H231" s="116"/>
      <c r="I231" s="116"/>
      <c r="J231" s="116"/>
      <c r="K231" s="116"/>
      <c r="L231" s="116"/>
      <c r="M231" s="116"/>
      <c r="N231" s="116"/>
      <c r="O231" s="116"/>
      <c r="P231" s="116"/>
      <c r="Q231" s="116"/>
      <c r="R231" s="116"/>
      <c r="S231" s="116"/>
      <c r="T231" s="116"/>
      <c r="U231" s="103"/>
      <c r="V231" s="103"/>
      <c r="W231" s="103"/>
      <c r="X231" s="103"/>
      <c r="Y231" s="103"/>
      <c r="Z231" s="103"/>
      <c r="AA231" s="103"/>
    </row>
    <row r="232" spans="1:27">
      <c r="A232" s="155"/>
      <c r="B232" s="116"/>
      <c r="C232" s="116"/>
      <c r="D232" s="116"/>
      <c r="E232" s="116"/>
      <c r="F232" s="116"/>
      <c r="G232" s="116"/>
      <c r="H232" s="116"/>
      <c r="I232" s="116"/>
      <c r="J232" s="116"/>
      <c r="K232" s="116"/>
      <c r="L232" s="116"/>
      <c r="M232" s="116"/>
      <c r="N232" s="116"/>
      <c r="O232" s="116"/>
      <c r="P232" s="116"/>
      <c r="Q232" s="116"/>
      <c r="R232" s="116"/>
      <c r="S232" s="116"/>
      <c r="T232" s="116"/>
      <c r="U232" s="103"/>
      <c r="V232" s="103"/>
      <c r="W232" s="103"/>
      <c r="X232" s="103"/>
      <c r="Y232" s="103"/>
      <c r="Z232" s="103"/>
      <c r="AA232" s="103"/>
    </row>
    <row r="233" spans="1:27">
      <c r="A233" s="155"/>
      <c r="B233" s="116"/>
      <c r="C233" s="116"/>
      <c r="D233" s="116"/>
      <c r="E233" s="116"/>
      <c r="F233" s="116"/>
      <c r="G233" s="116"/>
      <c r="H233" s="116"/>
      <c r="I233" s="116"/>
      <c r="J233" s="116"/>
      <c r="K233" s="116"/>
      <c r="L233" s="116"/>
      <c r="M233" s="116"/>
      <c r="N233" s="116"/>
      <c r="O233" s="116"/>
      <c r="P233" s="116"/>
      <c r="Q233" s="116"/>
      <c r="R233" s="116"/>
      <c r="S233" s="116"/>
      <c r="T233" s="116"/>
      <c r="U233" s="103"/>
      <c r="V233" s="103"/>
      <c r="W233" s="103"/>
      <c r="X233" s="103"/>
      <c r="Y233" s="103"/>
      <c r="Z233" s="103"/>
      <c r="AA233" s="103"/>
    </row>
    <row r="234" spans="1:27">
      <c r="A234" s="155"/>
      <c r="B234" s="116"/>
      <c r="C234" s="116"/>
      <c r="D234" s="116"/>
      <c r="E234" s="116"/>
      <c r="F234" s="116"/>
      <c r="G234" s="116"/>
      <c r="H234" s="116"/>
      <c r="I234" s="116"/>
      <c r="J234" s="116"/>
      <c r="K234" s="116"/>
      <c r="L234" s="116"/>
      <c r="M234" s="116"/>
      <c r="N234" s="116"/>
      <c r="O234" s="116"/>
      <c r="P234" s="116"/>
      <c r="Q234" s="116"/>
      <c r="R234" s="116"/>
      <c r="S234" s="116"/>
      <c r="T234" s="116"/>
      <c r="U234" s="103"/>
      <c r="V234" s="103"/>
      <c r="W234" s="103"/>
      <c r="X234" s="103"/>
      <c r="Y234" s="103"/>
      <c r="Z234" s="103"/>
      <c r="AA234" s="103"/>
    </row>
    <row r="235" spans="1:27">
      <c r="A235" s="155"/>
      <c r="B235" s="116"/>
      <c r="C235" s="116"/>
      <c r="D235" s="116"/>
      <c r="E235" s="116"/>
      <c r="F235" s="116"/>
      <c r="G235" s="116"/>
      <c r="H235" s="116"/>
      <c r="I235" s="116"/>
      <c r="J235" s="116"/>
      <c r="K235" s="116"/>
      <c r="L235" s="116"/>
      <c r="M235" s="116"/>
      <c r="N235" s="116"/>
      <c r="O235" s="116"/>
      <c r="P235" s="116"/>
      <c r="Q235" s="116"/>
      <c r="R235" s="116"/>
      <c r="S235" s="116"/>
      <c r="T235" s="116"/>
      <c r="U235" s="103"/>
      <c r="V235" s="103"/>
      <c r="W235" s="103"/>
      <c r="X235" s="103"/>
      <c r="Y235" s="103"/>
      <c r="Z235" s="103"/>
      <c r="AA235" s="103"/>
    </row>
    <row r="236" spans="1:27">
      <c r="A236" s="155"/>
      <c r="B236" s="116"/>
      <c r="C236" s="116"/>
      <c r="D236" s="116"/>
      <c r="E236" s="116"/>
      <c r="F236" s="116"/>
      <c r="G236" s="116"/>
      <c r="H236" s="116"/>
      <c r="I236" s="116"/>
      <c r="J236" s="116"/>
      <c r="K236" s="116"/>
      <c r="L236" s="116"/>
      <c r="M236" s="116"/>
      <c r="N236" s="116"/>
      <c r="O236" s="116"/>
      <c r="P236" s="116"/>
      <c r="Q236" s="116"/>
      <c r="R236" s="116"/>
      <c r="S236" s="116"/>
      <c r="T236" s="116"/>
      <c r="U236" s="103"/>
      <c r="V236" s="103"/>
      <c r="W236" s="103"/>
      <c r="X236" s="103"/>
      <c r="Y236" s="103"/>
      <c r="Z236" s="103"/>
      <c r="AA236" s="103"/>
    </row>
    <row r="237" spans="1:27">
      <c r="A237" s="155"/>
      <c r="B237" s="116"/>
      <c r="C237" s="116"/>
      <c r="D237" s="116"/>
      <c r="E237" s="116"/>
      <c r="F237" s="116"/>
      <c r="G237" s="116"/>
      <c r="H237" s="116"/>
      <c r="I237" s="116"/>
      <c r="J237" s="116"/>
      <c r="K237" s="116"/>
      <c r="L237" s="116"/>
      <c r="M237" s="116"/>
      <c r="N237" s="116"/>
      <c r="O237" s="116"/>
      <c r="P237" s="116"/>
      <c r="Q237" s="116"/>
      <c r="R237" s="116"/>
      <c r="S237" s="116"/>
      <c r="T237" s="116"/>
      <c r="U237" s="103"/>
      <c r="V237" s="103"/>
      <c r="W237" s="103"/>
      <c r="X237" s="103"/>
      <c r="Y237" s="103"/>
      <c r="Z237" s="103"/>
      <c r="AA237" s="103"/>
    </row>
    <row r="238" spans="1:27">
      <c r="A238" s="155"/>
      <c r="B238" s="116"/>
      <c r="C238" s="116"/>
      <c r="D238" s="116"/>
      <c r="E238" s="116"/>
      <c r="F238" s="116"/>
      <c r="G238" s="116"/>
      <c r="H238" s="116"/>
      <c r="I238" s="116"/>
      <c r="J238" s="116"/>
      <c r="K238" s="116"/>
      <c r="L238" s="116"/>
      <c r="M238" s="116"/>
      <c r="N238" s="116"/>
      <c r="O238" s="116"/>
      <c r="P238" s="116"/>
      <c r="Q238" s="116"/>
      <c r="R238" s="116"/>
      <c r="S238" s="116"/>
      <c r="T238" s="116"/>
      <c r="U238" s="103"/>
      <c r="V238" s="103"/>
      <c r="W238" s="103"/>
      <c r="X238" s="103"/>
      <c r="Y238" s="103"/>
      <c r="Z238" s="103"/>
      <c r="AA238" s="103"/>
    </row>
    <row r="239" spans="1:27">
      <c r="A239" s="155"/>
      <c r="B239" s="116"/>
      <c r="C239" s="116"/>
      <c r="D239" s="116"/>
      <c r="E239" s="116"/>
      <c r="F239" s="116"/>
      <c r="G239" s="116"/>
      <c r="H239" s="116"/>
      <c r="I239" s="116"/>
      <c r="J239" s="116"/>
      <c r="K239" s="116"/>
      <c r="L239" s="116"/>
      <c r="M239" s="116"/>
      <c r="N239" s="116"/>
      <c r="O239" s="116"/>
      <c r="P239" s="116"/>
      <c r="Q239" s="116"/>
      <c r="R239" s="116"/>
      <c r="S239" s="116"/>
      <c r="T239" s="116"/>
      <c r="U239" s="103"/>
      <c r="V239" s="103"/>
      <c r="W239" s="103"/>
      <c r="X239" s="103"/>
      <c r="Y239" s="103"/>
      <c r="Z239" s="103"/>
      <c r="AA239" s="103"/>
    </row>
    <row r="240" spans="1:27">
      <c r="A240" s="155"/>
      <c r="B240" s="116"/>
      <c r="C240" s="116"/>
      <c r="D240" s="116"/>
      <c r="E240" s="116"/>
      <c r="F240" s="116"/>
      <c r="G240" s="116"/>
      <c r="H240" s="116"/>
      <c r="I240" s="116"/>
      <c r="J240" s="116"/>
      <c r="K240" s="116"/>
      <c r="L240" s="116"/>
      <c r="M240" s="116"/>
      <c r="N240" s="116"/>
      <c r="O240" s="116"/>
      <c r="P240" s="116"/>
      <c r="Q240" s="116"/>
      <c r="R240" s="116"/>
      <c r="S240" s="116"/>
      <c r="T240" s="116"/>
      <c r="U240" s="103"/>
      <c r="V240" s="103"/>
      <c r="W240" s="103"/>
      <c r="X240" s="103"/>
      <c r="Y240" s="103"/>
      <c r="Z240" s="103"/>
      <c r="AA240" s="103"/>
    </row>
    <row r="241" spans="1:27">
      <c r="A241" s="155"/>
      <c r="B241" s="116"/>
      <c r="C241" s="116"/>
      <c r="D241" s="116"/>
      <c r="E241" s="116"/>
      <c r="F241" s="116"/>
      <c r="G241" s="116"/>
      <c r="H241" s="116"/>
      <c r="I241" s="116"/>
      <c r="J241" s="116"/>
      <c r="K241" s="116"/>
      <c r="L241" s="116"/>
      <c r="M241" s="116"/>
      <c r="N241" s="116"/>
      <c r="O241" s="116"/>
      <c r="P241" s="116"/>
      <c r="Q241" s="116"/>
      <c r="R241" s="116"/>
      <c r="S241" s="116"/>
      <c r="T241" s="116"/>
      <c r="U241" s="103"/>
      <c r="V241" s="103"/>
      <c r="W241" s="103"/>
      <c r="X241" s="103"/>
      <c r="Y241" s="103"/>
      <c r="Z241" s="103"/>
      <c r="AA241" s="103"/>
    </row>
    <row r="242" spans="1:27">
      <c r="A242" s="155"/>
      <c r="B242" s="116"/>
      <c r="C242" s="116"/>
      <c r="D242" s="116"/>
      <c r="E242" s="116"/>
      <c r="F242" s="116"/>
      <c r="G242" s="116"/>
      <c r="H242" s="116"/>
      <c r="I242" s="116"/>
      <c r="J242" s="116"/>
      <c r="K242" s="116"/>
      <c r="L242" s="116"/>
      <c r="M242" s="116"/>
      <c r="N242" s="116"/>
      <c r="O242" s="116"/>
      <c r="P242" s="116"/>
      <c r="Q242" s="116"/>
      <c r="R242" s="116"/>
      <c r="S242" s="116"/>
      <c r="T242" s="116"/>
      <c r="U242" s="103"/>
      <c r="V242" s="103"/>
      <c r="W242" s="103"/>
      <c r="X242" s="103"/>
      <c r="Y242" s="103"/>
      <c r="Z242" s="103"/>
      <c r="AA242" s="103"/>
    </row>
    <row r="243" spans="1:27">
      <c r="A243" s="155"/>
      <c r="B243" s="116"/>
      <c r="C243" s="116"/>
      <c r="D243" s="116"/>
      <c r="E243" s="116"/>
      <c r="F243" s="116"/>
      <c r="G243" s="116"/>
      <c r="H243" s="116"/>
      <c r="I243" s="116"/>
      <c r="J243" s="116"/>
      <c r="K243" s="116"/>
      <c r="L243" s="116"/>
      <c r="M243" s="116"/>
      <c r="N243" s="116"/>
      <c r="O243" s="116"/>
      <c r="P243" s="116"/>
      <c r="Q243" s="116"/>
      <c r="R243" s="116"/>
      <c r="S243" s="116"/>
      <c r="T243" s="116"/>
      <c r="U243" s="103"/>
      <c r="V243" s="103"/>
      <c r="W243" s="103"/>
      <c r="X243" s="103"/>
      <c r="Y243" s="103"/>
      <c r="Z243" s="103"/>
      <c r="AA243" s="103"/>
    </row>
    <row r="244" spans="1:27">
      <c r="A244" s="155"/>
      <c r="B244" s="116"/>
      <c r="C244" s="116"/>
      <c r="D244" s="116"/>
      <c r="E244" s="116"/>
      <c r="F244" s="116"/>
      <c r="G244" s="116"/>
      <c r="H244" s="116"/>
      <c r="I244" s="116"/>
      <c r="J244" s="116"/>
      <c r="K244" s="116"/>
      <c r="L244" s="116"/>
      <c r="M244" s="116"/>
      <c r="N244" s="116"/>
      <c r="O244" s="116"/>
      <c r="P244" s="116"/>
      <c r="Q244" s="116"/>
      <c r="R244" s="116"/>
      <c r="S244" s="116"/>
      <c r="T244" s="116"/>
      <c r="U244" s="103"/>
      <c r="V244" s="103"/>
      <c r="W244" s="103"/>
      <c r="X244" s="103"/>
      <c r="Y244" s="103"/>
      <c r="Z244" s="103"/>
      <c r="AA244" s="103"/>
    </row>
    <row r="245" spans="1:27">
      <c r="A245" s="155"/>
      <c r="B245" s="116"/>
      <c r="C245" s="116"/>
      <c r="D245" s="116"/>
      <c r="E245" s="116"/>
      <c r="F245" s="116"/>
      <c r="G245" s="116"/>
      <c r="H245" s="116"/>
      <c r="I245" s="116"/>
      <c r="J245" s="116"/>
      <c r="K245" s="116"/>
      <c r="L245" s="116"/>
      <c r="M245" s="116"/>
      <c r="N245" s="116"/>
      <c r="O245" s="116"/>
      <c r="P245" s="116"/>
      <c r="Q245" s="116"/>
      <c r="R245" s="116"/>
      <c r="S245" s="116"/>
      <c r="T245" s="116"/>
      <c r="U245" s="103"/>
      <c r="V245" s="103"/>
      <c r="W245" s="103"/>
      <c r="X245" s="103"/>
      <c r="Y245" s="103"/>
      <c r="Z245" s="103"/>
      <c r="AA245" s="103"/>
    </row>
    <row r="246" spans="1:27">
      <c r="A246" s="155"/>
      <c r="B246" s="116"/>
      <c r="C246" s="116"/>
      <c r="D246" s="116"/>
      <c r="E246" s="116"/>
      <c r="F246" s="116"/>
      <c r="G246" s="116"/>
      <c r="H246" s="116"/>
      <c r="I246" s="116"/>
      <c r="J246" s="116"/>
      <c r="K246" s="116"/>
      <c r="L246" s="116"/>
      <c r="M246" s="116"/>
      <c r="N246" s="116"/>
      <c r="O246" s="116"/>
      <c r="P246" s="116"/>
      <c r="Q246" s="116"/>
      <c r="R246" s="116"/>
      <c r="S246" s="116"/>
      <c r="T246" s="116"/>
      <c r="U246" s="103"/>
      <c r="V246" s="103"/>
      <c r="W246" s="103"/>
      <c r="X246" s="103"/>
      <c r="Y246" s="103"/>
      <c r="Z246" s="103"/>
      <c r="AA246" s="103"/>
    </row>
    <row r="247" spans="1:27">
      <c r="A247" s="155"/>
      <c r="B247" s="116"/>
      <c r="C247" s="116"/>
      <c r="D247" s="116"/>
      <c r="E247" s="116"/>
      <c r="F247" s="116"/>
      <c r="G247" s="116"/>
      <c r="H247" s="116"/>
      <c r="I247" s="116"/>
      <c r="J247" s="116"/>
      <c r="K247" s="116"/>
      <c r="L247" s="116"/>
      <c r="M247" s="116"/>
      <c r="N247" s="116"/>
      <c r="O247" s="116"/>
      <c r="P247" s="116"/>
      <c r="Q247" s="116"/>
      <c r="R247" s="116"/>
      <c r="S247" s="116"/>
      <c r="T247" s="116"/>
      <c r="U247" s="103"/>
      <c r="V247" s="103"/>
      <c r="W247" s="103"/>
      <c r="X247" s="103"/>
      <c r="Y247" s="103"/>
      <c r="Z247" s="103"/>
      <c r="AA247" s="103"/>
    </row>
    <row r="248" spans="1:27">
      <c r="A248" s="155"/>
      <c r="B248" s="116"/>
      <c r="C248" s="116"/>
      <c r="D248" s="116"/>
      <c r="E248" s="116"/>
      <c r="F248" s="116"/>
      <c r="G248" s="116"/>
      <c r="H248" s="116"/>
      <c r="I248" s="116"/>
      <c r="J248" s="116"/>
      <c r="K248" s="116"/>
      <c r="L248" s="116"/>
      <c r="M248" s="116"/>
      <c r="N248" s="116"/>
      <c r="O248" s="116"/>
      <c r="P248" s="116"/>
      <c r="Q248" s="116"/>
      <c r="R248" s="116"/>
      <c r="S248" s="116"/>
      <c r="T248" s="116"/>
      <c r="U248" s="103"/>
      <c r="V248" s="103"/>
      <c r="W248" s="103"/>
      <c r="X248" s="103"/>
      <c r="Y248" s="103"/>
      <c r="Z248" s="103"/>
      <c r="AA248" s="103"/>
    </row>
    <row r="249" spans="1:27">
      <c r="A249" s="155"/>
      <c r="B249" s="116"/>
      <c r="C249" s="116"/>
      <c r="D249" s="116"/>
      <c r="E249" s="116"/>
      <c r="F249" s="116"/>
      <c r="G249" s="116"/>
      <c r="H249" s="116"/>
      <c r="I249" s="116"/>
      <c r="J249" s="116"/>
      <c r="K249" s="116"/>
      <c r="L249" s="116"/>
      <c r="M249" s="116"/>
      <c r="N249" s="116"/>
      <c r="O249" s="116"/>
      <c r="P249" s="116"/>
      <c r="Q249" s="116"/>
      <c r="R249" s="116"/>
      <c r="S249" s="116"/>
      <c r="T249" s="116"/>
      <c r="U249" s="103"/>
      <c r="V249" s="103"/>
      <c r="W249" s="103"/>
      <c r="X249" s="103"/>
      <c r="Y249" s="103"/>
      <c r="Z249" s="103"/>
      <c r="AA249" s="103"/>
    </row>
    <row r="250" spans="1:27">
      <c r="A250" s="155"/>
      <c r="B250" s="116"/>
      <c r="C250" s="116"/>
      <c r="D250" s="116"/>
      <c r="E250" s="116"/>
      <c r="F250" s="116"/>
      <c r="G250" s="116"/>
      <c r="H250" s="116"/>
      <c r="I250" s="116"/>
      <c r="J250" s="116"/>
      <c r="K250" s="116"/>
      <c r="L250" s="116"/>
      <c r="M250" s="116"/>
      <c r="N250" s="116"/>
      <c r="O250" s="116"/>
      <c r="P250" s="116"/>
      <c r="Q250" s="116"/>
      <c r="R250" s="116"/>
      <c r="S250" s="116"/>
      <c r="T250" s="116"/>
      <c r="U250" s="103"/>
      <c r="V250" s="103"/>
      <c r="W250" s="103"/>
      <c r="X250" s="103"/>
      <c r="Y250" s="103"/>
      <c r="Z250" s="103"/>
      <c r="AA250" s="103"/>
    </row>
    <row r="251" spans="1:27">
      <c r="A251" s="155"/>
      <c r="B251" s="116"/>
      <c r="C251" s="116"/>
      <c r="D251" s="116"/>
      <c r="E251" s="116"/>
      <c r="F251" s="116"/>
      <c r="G251" s="116"/>
      <c r="H251" s="116"/>
      <c r="I251" s="116"/>
      <c r="J251" s="116"/>
      <c r="K251" s="116"/>
      <c r="L251" s="116"/>
      <c r="M251" s="116"/>
      <c r="N251" s="116"/>
      <c r="O251" s="116"/>
      <c r="P251" s="116"/>
      <c r="Q251" s="116"/>
      <c r="R251" s="116"/>
      <c r="S251" s="116"/>
      <c r="T251" s="116"/>
      <c r="U251" s="103"/>
      <c r="V251" s="103"/>
      <c r="W251" s="103"/>
      <c r="X251" s="103"/>
      <c r="Y251" s="103"/>
      <c r="Z251" s="103"/>
      <c r="AA251" s="103"/>
    </row>
    <row r="252" spans="1:27">
      <c r="A252" s="155"/>
      <c r="B252" s="116"/>
      <c r="C252" s="116"/>
      <c r="D252" s="116"/>
      <c r="E252" s="116"/>
      <c r="F252" s="116"/>
      <c r="G252" s="116"/>
      <c r="H252" s="116"/>
      <c r="I252" s="116"/>
      <c r="J252" s="116"/>
      <c r="K252" s="116"/>
      <c r="L252" s="116"/>
      <c r="M252" s="116"/>
      <c r="N252" s="116"/>
      <c r="O252" s="116"/>
      <c r="P252" s="116"/>
      <c r="Q252" s="116"/>
      <c r="R252" s="116"/>
      <c r="S252" s="116"/>
      <c r="T252" s="116"/>
      <c r="U252" s="103"/>
      <c r="V252" s="103"/>
      <c r="W252" s="103"/>
      <c r="X252" s="103"/>
      <c r="Y252" s="103"/>
      <c r="Z252" s="103"/>
      <c r="AA252" s="103"/>
    </row>
    <row r="253" spans="1:27">
      <c r="A253" s="155"/>
      <c r="B253" s="116"/>
      <c r="C253" s="116"/>
      <c r="D253" s="116"/>
      <c r="E253" s="116"/>
      <c r="F253" s="116"/>
      <c r="G253" s="116"/>
      <c r="H253" s="116"/>
      <c r="I253" s="116"/>
      <c r="J253" s="116"/>
      <c r="K253" s="116"/>
      <c r="L253" s="116"/>
      <c r="M253" s="116"/>
      <c r="N253" s="116"/>
      <c r="O253" s="116"/>
      <c r="P253" s="116"/>
      <c r="Q253" s="116"/>
      <c r="R253" s="116"/>
      <c r="S253" s="116"/>
      <c r="T253" s="116"/>
      <c r="U253" s="103"/>
      <c r="V253" s="103"/>
      <c r="W253" s="103"/>
      <c r="X253" s="103"/>
      <c r="Y253" s="103"/>
      <c r="Z253" s="103"/>
      <c r="AA253" s="103"/>
    </row>
    <row r="254" spans="1:27">
      <c r="A254" s="155"/>
      <c r="B254" s="116"/>
      <c r="C254" s="116"/>
      <c r="D254" s="116"/>
      <c r="E254" s="116"/>
      <c r="F254" s="116"/>
      <c r="G254" s="116"/>
      <c r="H254" s="116"/>
      <c r="I254" s="116"/>
      <c r="J254" s="116"/>
      <c r="K254" s="116"/>
      <c r="L254" s="116"/>
      <c r="M254" s="116"/>
      <c r="N254" s="116"/>
      <c r="O254" s="116"/>
      <c r="P254" s="116"/>
      <c r="Q254" s="116"/>
      <c r="R254" s="116"/>
      <c r="S254" s="116"/>
      <c r="T254" s="116"/>
      <c r="U254" s="103"/>
      <c r="V254" s="103"/>
      <c r="W254" s="103"/>
      <c r="X254" s="103"/>
      <c r="Y254" s="103"/>
      <c r="Z254" s="103"/>
      <c r="AA254" s="103"/>
    </row>
    <row r="255" spans="1:27">
      <c r="A255" s="155"/>
      <c r="B255" s="116"/>
      <c r="C255" s="116"/>
      <c r="D255" s="116"/>
      <c r="E255" s="116"/>
      <c r="F255" s="116"/>
      <c r="G255" s="116"/>
      <c r="H255" s="116"/>
      <c r="I255" s="116"/>
      <c r="J255" s="116"/>
      <c r="K255" s="116"/>
      <c r="L255" s="116"/>
      <c r="M255" s="116"/>
      <c r="N255" s="116"/>
      <c r="O255" s="116"/>
      <c r="P255" s="116"/>
      <c r="Q255" s="116"/>
      <c r="R255" s="116"/>
      <c r="S255" s="116"/>
      <c r="T255" s="116"/>
      <c r="U255" s="103"/>
      <c r="V255" s="103"/>
      <c r="W255" s="103"/>
      <c r="X255" s="103"/>
      <c r="Y255" s="103"/>
      <c r="Z255" s="103"/>
      <c r="AA255" s="103"/>
    </row>
    <row r="256" spans="1:27">
      <c r="A256" s="155"/>
      <c r="B256" s="116"/>
      <c r="C256" s="116"/>
      <c r="D256" s="116"/>
      <c r="E256" s="116"/>
      <c r="F256" s="116"/>
      <c r="G256" s="116"/>
      <c r="H256" s="116"/>
      <c r="I256" s="116"/>
      <c r="J256" s="116"/>
      <c r="K256" s="116"/>
      <c r="L256" s="116"/>
      <c r="M256" s="116"/>
      <c r="N256" s="116"/>
      <c r="O256" s="116"/>
      <c r="P256" s="116"/>
      <c r="Q256" s="116"/>
      <c r="R256" s="116"/>
      <c r="S256" s="116"/>
      <c r="T256" s="116"/>
      <c r="U256" s="103"/>
      <c r="V256" s="103"/>
      <c r="W256" s="103"/>
      <c r="X256" s="103"/>
      <c r="Y256" s="103"/>
      <c r="Z256" s="103"/>
      <c r="AA256" s="103"/>
    </row>
    <row r="257" spans="1:27">
      <c r="A257" s="155"/>
      <c r="B257" s="116"/>
      <c r="C257" s="116"/>
      <c r="D257" s="116"/>
      <c r="E257" s="116"/>
      <c r="F257" s="116"/>
      <c r="G257" s="116"/>
      <c r="H257" s="116"/>
      <c r="I257" s="116"/>
      <c r="J257" s="116"/>
      <c r="K257" s="116"/>
      <c r="L257" s="116"/>
      <c r="M257" s="116"/>
      <c r="N257" s="116"/>
      <c r="O257" s="116"/>
      <c r="P257" s="116"/>
      <c r="Q257" s="116"/>
      <c r="R257" s="116"/>
      <c r="S257" s="116"/>
      <c r="T257" s="116"/>
      <c r="U257" s="103"/>
      <c r="V257" s="103"/>
      <c r="W257" s="103"/>
      <c r="X257" s="103"/>
      <c r="Y257" s="103"/>
      <c r="Z257" s="103"/>
      <c r="AA257" s="103"/>
    </row>
    <row r="258" spans="1:27">
      <c r="A258" s="155"/>
      <c r="B258" s="116"/>
      <c r="C258" s="116"/>
      <c r="D258" s="116"/>
      <c r="E258" s="116"/>
      <c r="F258" s="116"/>
      <c r="G258" s="116"/>
      <c r="H258" s="116"/>
      <c r="I258" s="116"/>
      <c r="J258" s="116"/>
      <c r="K258" s="116"/>
      <c r="L258" s="116"/>
      <c r="M258" s="116"/>
      <c r="N258" s="116"/>
      <c r="O258" s="116"/>
      <c r="P258" s="116"/>
      <c r="Q258" s="116"/>
      <c r="R258" s="116"/>
      <c r="S258" s="116"/>
      <c r="T258" s="116"/>
      <c r="U258" s="103"/>
      <c r="V258" s="103"/>
      <c r="W258" s="103"/>
      <c r="X258" s="103"/>
      <c r="Y258" s="103"/>
      <c r="Z258" s="103"/>
      <c r="AA258" s="103"/>
    </row>
    <row r="259" spans="1:27">
      <c r="A259" s="155"/>
      <c r="B259" s="116"/>
      <c r="C259" s="116"/>
      <c r="D259" s="116"/>
      <c r="E259" s="116"/>
      <c r="F259" s="116"/>
      <c r="G259" s="116"/>
      <c r="H259" s="116"/>
      <c r="I259" s="116"/>
      <c r="J259" s="116"/>
      <c r="K259" s="116"/>
      <c r="L259" s="116"/>
      <c r="M259" s="116"/>
      <c r="N259" s="116"/>
      <c r="O259" s="116"/>
      <c r="P259" s="116"/>
      <c r="Q259" s="116"/>
      <c r="R259" s="116"/>
      <c r="S259" s="116"/>
      <c r="T259" s="116"/>
      <c r="U259" s="103"/>
      <c r="V259" s="103"/>
      <c r="W259" s="103"/>
      <c r="X259" s="103"/>
      <c r="Y259" s="103"/>
      <c r="Z259" s="103"/>
      <c r="AA259" s="103"/>
    </row>
    <row r="260" spans="1:27">
      <c r="A260" s="155"/>
      <c r="B260" s="116"/>
      <c r="C260" s="116"/>
      <c r="D260" s="116"/>
      <c r="E260" s="116"/>
      <c r="F260" s="116"/>
      <c r="G260" s="116"/>
      <c r="H260" s="116"/>
      <c r="I260" s="116"/>
      <c r="J260" s="116"/>
      <c r="K260" s="116"/>
      <c r="L260" s="116"/>
      <c r="M260" s="116"/>
      <c r="N260" s="116"/>
      <c r="O260" s="116"/>
      <c r="P260" s="116"/>
      <c r="Q260" s="116"/>
      <c r="R260" s="116"/>
      <c r="S260" s="116"/>
      <c r="T260" s="116"/>
      <c r="U260" s="103"/>
      <c r="V260" s="103"/>
      <c r="W260" s="103"/>
      <c r="X260" s="103"/>
      <c r="Y260" s="103"/>
      <c r="Z260" s="103"/>
      <c r="AA260" s="103"/>
    </row>
    <row r="261" spans="1:27">
      <c r="A261" s="155"/>
      <c r="B261" s="116"/>
      <c r="C261" s="116"/>
      <c r="D261" s="116"/>
      <c r="E261" s="116"/>
      <c r="F261" s="116"/>
      <c r="G261" s="116"/>
      <c r="H261" s="116"/>
      <c r="I261" s="116"/>
      <c r="J261" s="116"/>
      <c r="K261" s="116"/>
      <c r="L261" s="116"/>
      <c r="M261" s="116"/>
      <c r="N261" s="116"/>
      <c r="O261" s="116"/>
      <c r="P261" s="116"/>
      <c r="Q261" s="116"/>
      <c r="R261" s="116"/>
      <c r="S261" s="116"/>
      <c r="T261" s="116"/>
      <c r="U261" s="103"/>
      <c r="V261" s="103"/>
      <c r="W261" s="103"/>
      <c r="X261" s="103"/>
      <c r="Y261" s="103"/>
      <c r="Z261" s="103"/>
      <c r="AA261" s="103"/>
    </row>
    <row r="262" spans="1:27">
      <c r="A262" s="155"/>
      <c r="B262" s="116"/>
      <c r="C262" s="116"/>
      <c r="D262" s="116"/>
      <c r="E262" s="116"/>
      <c r="F262" s="116"/>
      <c r="G262" s="116"/>
      <c r="H262" s="116"/>
      <c r="I262" s="116"/>
      <c r="J262" s="116"/>
      <c r="K262" s="116"/>
      <c r="L262" s="116"/>
      <c r="M262" s="116"/>
      <c r="N262" s="116"/>
      <c r="O262" s="116"/>
      <c r="P262" s="116"/>
      <c r="Q262" s="116"/>
      <c r="R262" s="116"/>
      <c r="S262" s="116"/>
      <c r="T262" s="116"/>
      <c r="U262" s="103"/>
      <c r="V262" s="103"/>
      <c r="W262" s="103"/>
      <c r="X262" s="103"/>
      <c r="Y262" s="103"/>
      <c r="Z262" s="103"/>
      <c r="AA262" s="103"/>
    </row>
    <row r="263" spans="1:27">
      <c r="A263" s="155"/>
      <c r="B263" s="116"/>
      <c r="C263" s="116"/>
      <c r="D263" s="116"/>
      <c r="E263" s="116"/>
      <c r="F263" s="116"/>
      <c r="G263" s="116"/>
      <c r="H263" s="116"/>
      <c r="I263" s="116"/>
      <c r="J263" s="116"/>
      <c r="K263" s="116"/>
      <c r="L263" s="116"/>
      <c r="M263" s="116"/>
      <c r="N263" s="116"/>
      <c r="O263" s="116"/>
      <c r="P263" s="116"/>
      <c r="Q263" s="116"/>
      <c r="R263" s="116"/>
      <c r="S263" s="116"/>
      <c r="T263" s="116"/>
      <c r="U263" s="103"/>
      <c r="V263" s="103"/>
      <c r="W263" s="103"/>
      <c r="X263" s="103"/>
      <c r="Y263" s="103"/>
      <c r="Z263" s="103"/>
      <c r="AA263" s="103"/>
    </row>
    <row r="264" spans="1:27">
      <c r="A264" s="155"/>
      <c r="B264" s="116"/>
      <c r="C264" s="116"/>
      <c r="D264" s="116"/>
      <c r="E264" s="116"/>
      <c r="F264" s="116"/>
      <c r="G264" s="116"/>
      <c r="H264" s="116"/>
      <c r="I264" s="116"/>
      <c r="J264" s="116"/>
      <c r="K264" s="116"/>
      <c r="L264" s="116"/>
      <c r="M264" s="116"/>
      <c r="N264" s="116"/>
      <c r="O264" s="116"/>
      <c r="P264" s="116"/>
      <c r="Q264" s="116"/>
      <c r="R264" s="116"/>
      <c r="S264" s="116"/>
      <c r="T264" s="116"/>
      <c r="U264" s="103"/>
      <c r="V264" s="103"/>
      <c r="W264" s="103"/>
      <c r="X264" s="103"/>
      <c r="Y264" s="103"/>
      <c r="Z264" s="103"/>
      <c r="AA264" s="103"/>
    </row>
    <row r="265" spans="1:27">
      <c r="A265" s="155"/>
      <c r="B265" s="116"/>
      <c r="C265" s="116"/>
      <c r="D265" s="116"/>
      <c r="E265" s="116"/>
      <c r="F265" s="116"/>
      <c r="G265" s="116"/>
      <c r="H265" s="116"/>
      <c r="I265" s="116"/>
      <c r="J265" s="116"/>
      <c r="K265" s="116"/>
      <c r="L265" s="116"/>
      <c r="M265" s="116"/>
      <c r="N265" s="116"/>
      <c r="O265" s="116"/>
      <c r="P265" s="116"/>
      <c r="Q265" s="116"/>
      <c r="R265" s="116"/>
      <c r="S265" s="116"/>
      <c r="T265" s="116"/>
      <c r="U265" s="103"/>
      <c r="V265" s="103"/>
      <c r="W265" s="103"/>
      <c r="X265" s="103"/>
      <c r="Y265" s="103"/>
      <c r="Z265" s="103"/>
      <c r="AA265" s="103"/>
    </row>
    <row r="266" spans="1:27">
      <c r="A266" s="155"/>
      <c r="B266" s="116"/>
      <c r="C266" s="116"/>
      <c r="D266" s="116"/>
      <c r="E266" s="116"/>
      <c r="F266" s="116"/>
      <c r="G266" s="116"/>
      <c r="H266" s="116"/>
      <c r="I266" s="116"/>
      <c r="J266" s="116"/>
      <c r="K266" s="116"/>
      <c r="L266" s="116"/>
      <c r="M266" s="116"/>
      <c r="N266" s="116"/>
      <c r="O266" s="116"/>
      <c r="P266" s="116"/>
      <c r="Q266" s="116"/>
      <c r="R266" s="116"/>
      <c r="S266" s="116"/>
      <c r="T266" s="116"/>
      <c r="U266" s="103"/>
      <c r="V266" s="103"/>
      <c r="W266" s="103"/>
      <c r="X266" s="103"/>
      <c r="Y266" s="103"/>
      <c r="Z266" s="103"/>
      <c r="AA266" s="103"/>
    </row>
    <row r="267" spans="1:27">
      <c r="A267" s="155"/>
      <c r="B267" s="116"/>
      <c r="C267" s="116"/>
      <c r="D267" s="116"/>
      <c r="E267" s="116"/>
      <c r="F267" s="116"/>
      <c r="G267" s="116"/>
      <c r="H267" s="116"/>
      <c r="I267" s="116"/>
      <c r="J267" s="116"/>
      <c r="K267" s="116"/>
      <c r="L267" s="116"/>
      <c r="M267" s="116"/>
      <c r="N267" s="116"/>
      <c r="O267" s="116"/>
      <c r="P267" s="116"/>
      <c r="Q267" s="116"/>
      <c r="R267" s="116"/>
      <c r="S267" s="116"/>
      <c r="T267" s="116"/>
      <c r="U267" s="103"/>
      <c r="V267" s="103"/>
      <c r="W267" s="103"/>
      <c r="X267" s="103"/>
      <c r="Y267" s="103"/>
      <c r="Z267" s="103"/>
      <c r="AA267" s="103"/>
    </row>
    <row r="268" spans="1:27">
      <c r="A268" s="155"/>
      <c r="B268" s="116"/>
      <c r="C268" s="116"/>
      <c r="D268" s="116"/>
      <c r="E268" s="116"/>
      <c r="F268" s="116"/>
      <c r="G268" s="116"/>
      <c r="H268" s="116"/>
      <c r="I268" s="116"/>
      <c r="J268" s="116"/>
      <c r="K268" s="116"/>
      <c r="L268" s="116"/>
      <c r="M268" s="116"/>
      <c r="N268" s="116"/>
      <c r="O268" s="116"/>
      <c r="P268" s="116"/>
      <c r="Q268" s="116"/>
      <c r="R268" s="116"/>
      <c r="S268" s="116"/>
      <c r="T268" s="116"/>
      <c r="U268" s="103"/>
      <c r="V268" s="103"/>
      <c r="W268" s="103"/>
      <c r="X268" s="103"/>
      <c r="Y268" s="103"/>
      <c r="Z268" s="103"/>
      <c r="AA268" s="103"/>
    </row>
    <row r="269" spans="1:27">
      <c r="A269" s="155"/>
      <c r="B269" s="116"/>
      <c r="C269" s="116"/>
      <c r="D269" s="116"/>
      <c r="E269" s="116"/>
      <c r="F269" s="116"/>
      <c r="G269" s="116"/>
      <c r="H269" s="116"/>
      <c r="I269" s="116"/>
      <c r="J269" s="116"/>
      <c r="K269" s="116"/>
      <c r="L269" s="116"/>
      <c r="M269" s="116"/>
      <c r="N269" s="116"/>
      <c r="O269" s="116"/>
      <c r="P269" s="116"/>
      <c r="Q269" s="116"/>
      <c r="R269" s="116"/>
      <c r="S269" s="116"/>
      <c r="T269" s="116"/>
      <c r="U269" s="103"/>
      <c r="V269" s="103"/>
      <c r="W269" s="103"/>
      <c r="X269" s="103"/>
      <c r="Y269" s="103"/>
      <c r="Z269" s="103"/>
      <c r="AA269" s="103"/>
    </row>
    <row r="270" spans="1:27">
      <c r="A270" s="155"/>
      <c r="B270" s="116"/>
      <c r="C270" s="116"/>
      <c r="D270" s="116"/>
      <c r="E270" s="116"/>
      <c r="F270" s="116"/>
      <c r="G270" s="116"/>
      <c r="H270" s="116"/>
      <c r="I270" s="116"/>
      <c r="J270" s="116"/>
      <c r="K270" s="116"/>
      <c r="L270" s="116"/>
      <c r="M270" s="116"/>
      <c r="N270" s="116"/>
      <c r="O270" s="116"/>
      <c r="P270" s="116"/>
      <c r="Q270" s="116"/>
      <c r="R270" s="116"/>
      <c r="S270" s="116"/>
      <c r="T270" s="116"/>
      <c r="U270" s="103"/>
      <c r="V270" s="103"/>
      <c r="W270" s="103"/>
      <c r="X270" s="103"/>
      <c r="Y270" s="103"/>
      <c r="Z270" s="103"/>
      <c r="AA270" s="103"/>
    </row>
    <row r="271" spans="1:27">
      <c r="A271" s="155"/>
      <c r="B271" s="116"/>
      <c r="C271" s="116"/>
      <c r="D271" s="116"/>
      <c r="E271" s="116"/>
      <c r="F271" s="116"/>
      <c r="G271" s="116"/>
      <c r="H271" s="116"/>
      <c r="I271" s="116"/>
      <c r="J271" s="116"/>
      <c r="K271" s="116"/>
      <c r="L271" s="116"/>
      <c r="M271" s="116"/>
      <c r="N271" s="116"/>
      <c r="O271" s="116"/>
      <c r="P271" s="116"/>
      <c r="Q271" s="116"/>
      <c r="R271" s="116"/>
      <c r="S271" s="116"/>
      <c r="T271" s="116"/>
      <c r="U271" s="103"/>
      <c r="V271" s="103"/>
      <c r="W271" s="103"/>
      <c r="X271" s="103"/>
      <c r="Y271" s="103"/>
      <c r="Z271" s="103"/>
      <c r="AA271" s="103"/>
    </row>
    <row r="272" spans="1:27">
      <c r="A272" s="155"/>
      <c r="B272" s="116"/>
      <c r="C272" s="116"/>
      <c r="D272" s="116"/>
      <c r="E272" s="116"/>
      <c r="F272" s="116"/>
      <c r="G272" s="116"/>
      <c r="H272" s="116"/>
      <c r="I272" s="116"/>
      <c r="J272" s="116"/>
      <c r="K272" s="116"/>
      <c r="L272" s="116"/>
      <c r="M272" s="116"/>
      <c r="N272" s="116"/>
      <c r="O272" s="116"/>
      <c r="P272" s="116"/>
      <c r="Q272" s="116"/>
      <c r="R272" s="116"/>
      <c r="S272" s="116"/>
      <c r="T272" s="116"/>
      <c r="U272" s="103"/>
      <c r="V272" s="103"/>
      <c r="W272" s="103"/>
      <c r="X272" s="103"/>
      <c r="Y272" s="103"/>
      <c r="Z272" s="103"/>
      <c r="AA272" s="103"/>
    </row>
    <row r="273" spans="1:27">
      <c r="A273" s="155"/>
      <c r="B273" s="116"/>
      <c r="C273" s="116"/>
      <c r="D273" s="116"/>
      <c r="E273" s="116"/>
      <c r="F273" s="116"/>
      <c r="G273" s="116"/>
      <c r="H273" s="116"/>
      <c r="I273" s="116"/>
      <c r="J273" s="116"/>
      <c r="K273" s="116"/>
      <c r="L273" s="116"/>
      <c r="M273" s="116"/>
      <c r="N273" s="116"/>
      <c r="O273" s="116"/>
      <c r="P273" s="116"/>
      <c r="Q273" s="116"/>
      <c r="R273" s="116"/>
      <c r="S273" s="116"/>
      <c r="T273" s="116"/>
      <c r="U273" s="103"/>
      <c r="V273" s="103"/>
      <c r="W273" s="103"/>
      <c r="X273" s="103"/>
      <c r="Y273" s="103"/>
      <c r="Z273" s="103"/>
      <c r="AA273" s="103"/>
    </row>
    <row r="274" spans="1:27">
      <c r="A274" s="155"/>
      <c r="B274" s="116"/>
      <c r="C274" s="116"/>
      <c r="D274" s="116"/>
      <c r="E274" s="116"/>
      <c r="F274" s="116"/>
      <c r="G274" s="116"/>
      <c r="H274" s="116"/>
      <c r="I274" s="116"/>
      <c r="J274" s="116"/>
      <c r="K274" s="116"/>
      <c r="L274" s="116"/>
      <c r="M274" s="116"/>
      <c r="N274" s="116"/>
      <c r="O274" s="116"/>
      <c r="P274" s="116"/>
      <c r="Q274" s="116"/>
      <c r="R274" s="116"/>
      <c r="S274" s="116"/>
      <c r="T274" s="116"/>
      <c r="U274" s="103"/>
      <c r="V274" s="103"/>
      <c r="W274" s="103"/>
      <c r="X274" s="103"/>
      <c r="Y274" s="103"/>
      <c r="Z274" s="103"/>
      <c r="AA274" s="103"/>
    </row>
    <row r="275" spans="1:27">
      <c r="A275" s="155"/>
      <c r="B275" s="116"/>
      <c r="C275" s="116"/>
      <c r="D275" s="116"/>
      <c r="E275" s="116"/>
      <c r="F275" s="116"/>
      <c r="G275" s="116"/>
      <c r="H275" s="116"/>
      <c r="I275" s="116"/>
      <c r="J275" s="116"/>
      <c r="K275" s="116"/>
      <c r="L275" s="116"/>
      <c r="M275" s="116"/>
      <c r="N275" s="116"/>
      <c r="O275" s="116"/>
      <c r="P275" s="116"/>
      <c r="Q275" s="116"/>
      <c r="R275" s="116"/>
      <c r="S275" s="116"/>
      <c r="T275" s="116"/>
      <c r="U275" s="103"/>
      <c r="V275" s="103"/>
      <c r="W275" s="103"/>
      <c r="X275" s="103"/>
      <c r="Y275" s="103"/>
      <c r="Z275" s="103"/>
      <c r="AA275" s="103"/>
    </row>
    <row r="276" spans="1:27">
      <c r="A276" s="155"/>
      <c r="B276" s="116"/>
      <c r="C276" s="116"/>
      <c r="D276" s="116"/>
      <c r="E276" s="116"/>
      <c r="F276" s="116"/>
      <c r="G276" s="116"/>
      <c r="H276" s="116"/>
      <c r="I276" s="116"/>
      <c r="J276" s="116"/>
      <c r="K276" s="116"/>
      <c r="L276" s="116"/>
      <c r="M276" s="116"/>
      <c r="N276" s="116"/>
      <c r="O276" s="116"/>
      <c r="P276" s="116"/>
      <c r="Q276" s="116"/>
      <c r="R276" s="116"/>
      <c r="S276" s="116"/>
      <c r="T276" s="116"/>
      <c r="U276" s="103"/>
      <c r="V276" s="103"/>
      <c r="W276" s="103"/>
      <c r="X276" s="103"/>
      <c r="Y276" s="103"/>
      <c r="Z276" s="103"/>
      <c r="AA276" s="103"/>
    </row>
    <row r="277" spans="1:27">
      <c r="A277" s="155"/>
      <c r="B277" s="116"/>
      <c r="C277" s="116"/>
      <c r="D277" s="116"/>
      <c r="E277" s="116"/>
      <c r="F277" s="116"/>
      <c r="G277" s="116"/>
      <c r="H277" s="116"/>
      <c r="I277" s="116"/>
      <c r="J277" s="116"/>
      <c r="K277" s="116"/>
      <c r="L277" s="116"/>
      <c r="M277" s="116"/>
      <c r="N277" s="116"/>
      <c r="O277" s="116"/>
      <c r="P277" s="116"/>
      <c r="Q277" s="116"/>
      <c r="R277" s="116"/>
      <c r="S277" s="116"/>
      <c r="T277" s="116"/>
      <c r="U277" s="103"/>
      <c r="V277" s="103"/>
      <c r="W277" s="103"/>
      <c r="X277" s="103"/>
      <c r="Y277" s="103"/>
      <c r="Z277" s="103"/>
      <c r="AA277" s="103"/>
    </row>
    <row r="278" spans="1:27">
      <c r="A278" s="155"/>
      <c r="B278" s="116"/>
      <c r="C278" s="116"/>
      <c r="D278" s="116"/>
      <c r="E278" s="116"/>
      <c r="F278" s="116"/>
      <c r="G278" s="116"/>
      <c r="H278" s="116"/>
      <c r="I278" s="116"/>
      <c r="J278" s="116"/>
      <c r="K278" s="116"/>
      <c r="L278" s="116"/>
      <c r="M278" s="116"/>
      <c r="N278" s="116"/>
      <c r="O278" s="116"/>
      <c r="P278" s="116"/>
      <c r="Q278" s="116"/>
      <c r="R278" s="116"/>
      <c r="S278" s="116"/>
      <c r="T278" s="116"/>
      <c r="U278" s="103"/>
      <c r="V278" s="103"/>
      <c r="W278" s="103"/>
      <c r="X278" s="103"/>
      <c r="Y278" s="103"/>
      <c r="Z278" s="103"/>
      <c r="AA278" s="103"/>
    </row>
    <row r="279" spans="1:27">
      <c r="A279" s="155"/>
      <c r="B279" s="116"/>
      <c r="C279" s="116"/>
      <c r="D279" s="116"/>
      <c r="E279" s="116"/>
      <c r="F279" s="116"/>
      <c r="G279" s="116"/>
      <c r="H279" s="116"/>
      <c r="I279" s="116"/>
      <c r="J279" s="116"/>
      <c r="K279" s="116"/>
      <c r="L279" s="116"/>
      <c r="M279" s="116"/>
      <c r="N279" s="116"/>
      <c r="O279" s="116"/>
      <c r="P279" s="116"/>
      <c r="Q279" s="116"/>
      <c r="R279" s="116"/>
      <c r="S279" s="116"/>
      <c r="T279" s="116"/>
      <c r="U279" s="103"/>
      <c r="V279" s="103"/>
      <c r="W279" s="103"/>
      <c r="X279" s="103"/>
      <c r="Y279" s="103"/>
      <c r="Z279" s="103"/>
      <c r="AA279" s="103"/>
    </row>
    <row r="280" spans="1:27">
      <c r="A280" s="155"/>
      <c r="B280" s="116"/>
      <c r="C280" s="116"/>
      <c r="D280" s="116"/>
      <c r="E280" s="116"/>
      <c r="F280" s="116"/>
      <c r="G280" s="116"/>
      <c r="H280" s="116"/>
      <c r="I280" s="116"/>
      <c r="J280" s="116"/>
      <c r="K280" s="116"/>
      <c r="L280" s="116"/>
      <c r="M280" s="116"/>
      <c r="N280" s="116"/>
      <c r="O280" s="116"/>
      <c r="P280" s="116"/>
      <c r="Q280" s="116"/>
      <c r="R280" s="116"/>
      <c r="S280" s="116"/>
      <c r="T280" s="116"/>
      <c r="U280" s="103"/>
      <c r="V280" s="103"/>
      <c r="W280" s="103"/>
      <c r="X280" s="103"/>
      <c r="Y280" s="103"/>
      <c r="Z280" s="103"/>
      <c r="AA280" s="103"/>
    </row>
    <row r="281" spans="1:27">
      <c r="A281" s="155"/>
      <c r="B281" s="116"/>
      <c r="C281" s="116"/>
      <c r="D281" s="116"/>
      <c r="E281" s="116"/>
      <c r="F281" s="116"/>
      <c r="G281" s="116"/>
      <c r="H281" s="116"/>
      <c r="I281" s="116"/>
      <c r="J281" s="116"/>
      <c r="K281" s="116"/>
      <c r="L281" s="116"/>
      <c r="M281" s="116"/>
      <c r="N281" s="116"/>
      <c r="O281" s="116"/>
      <c r="P281" s="116"/>
      <c r="Q281" s="116"/>
      <c r="R281" s="116"/>
      <c r="S281" s="116"/>
      <c r="T281" s="116"/>
      <c r="U281" s="103"/>
      <c r="V281" s="103"/>
      <c r="W281" s="103"/>
      <c r="X281" s="103"/>
      <c r="Y281" s="103"/>
      <c r="Z281" s="103"/>
      <c r="AA281" s="103"/>
    </row>
    <row r="282" spans="1:27">
      <c r="A282" s="155"/>
      <c r="B282" s="116"/>
      <c r="C282" s="116"/>
      <c r="D282" s="116"/>
      <c r="E282" s="116"/>
      <c r="F282" s="116"/>
      <c r="G282" s="116"/>
      <c r="H282" s="116"/>
      <c r="I282" s="116"/>
      <c r="J282" s="116"/>
      <c r="K282" s="116"/>
      <c r="L282" s="116"/>
      <c r="M282" s="116"/>
      <c r="N282" s="116"/>
      <c r="O282" s="116"/>
      <c r="P282" s="116"/>
      <c r="Q282" s="116"/>
      <c r="R282" s="116"/>
      <c r="S282" s="116"/>
      <c r="T282" s="116"/>
      <c r="U282" s="103"/>
      <c r="V282" s="103"/>
      <c r="W282" s="103"/>
      <c r="X282" s="103"/>
      <c r="Y282" s="103"/>
      <c r="Z282" s="103"/>
      <c r="AA282" s="103"/>
    </row>
    <row r="283" spans="1:27">
      <c r="A283" s="155"/>
      <c r="B283" s="116"/>
      <c r="C283" s="116"/>
      <c r="D283" s="116"/>
      <c r="E283" s="116"/>
      <c r="F283" s="116"/>
      <c r="G283" s="116"/>
      <c r="H283" s="116"/>
      <c r="I283" s="116"/>
      <c r="J283" s="116"/>
      <c r="K283" s="116"/>
      <c r="L283" s="116"/>
      <c r="M283" s="116"/>
      <c r="N283" s="116"/>
      <c r="O283" s="116"/>
      <c r="P283" s="116"/>
      <c r="Q283" s="116"/>
      <c r="R283" s="116"/>
      <c r="S283" s="116"/>
      <c r="T283" s="116"/>
      <c r="U283" s="103"/>
      <c r="V283" s="103"/>
      <c r="W283" s="103"/>
      <c r="X283" s="103"/>
      <c r="Y283" s="103"/>
      <c r="Z283" s="103"/>
      <c r="AA283" s="103"/>
    </row>
    <row r="284" spans="1:27">
      <c r="A284" s="155"/>
      <c r="B284" s="116"/>
      <c r="C284" s="116"/>
      <c r="D284" s="116"/>
      <c r="E284" s="116"/>
      <c r="F284" s="116"/>
      <c r="G284" s="116"/>
      <c r="H284" s="116"/>
      <c r="I284" s="116"/>
      <c r="J284" s="116"/>
      <c r="K284" s="116"/>
      <c r="L284" s="116"/>
      <c r="M284" s="116"/>
      <c r="N284" s="116"/>
      <c r="O284" s="116"/>
      <c r="P284" s="116"/>
      <c r="Q284" s="116"/>
      <c r="R284" s="116"/>
      <c r="S284" s="116"/>
      <c r="T284" s="116"/>
      <c r="U284" s="103"/>
      <c r="V284" s="103"/>
      <c r="W284" s="103"/>
      <c r="X284" s="103"/>
      <c r="Y284" s="103"/>
      <c r="Z284" s="103"/>
      <c r="AA284" s="103"/>
    </row>
    <row r="285" spans="1:27">
      <c r="A285" s="155"/>
      <c r="B285" s="116"/>
      <c r="C285" s="116"/>
      <c r="D285" s="116"/>
      <c r="E285" s="116"/>
      <c r="F285" s="116"/>
      <c r="G285" s="116"/>
      <c r="H285" s="116"/>
      <c r="I285" s="116"/>
      <c r="J285" s="116"/>
      <c r="K285" s="116"/>
      <c r="L285" s="116"/>
      <c r="M285" s="116"/>
      <c r="N285" s="116"/>
      <c r="O285" s="116"/>
      <c r="P285" s="116"/>
      <c r="Q285" s="116"/>
      <c r="R285" s="116"/>
      <c r="S285" s="116"/>
      <c r="T285" s="116"/>
      <c r="U285" s="103"/>
      <c r="V285" s="103"/>
      <c r="W285" s="103"/>
      <c r="X285" s="103"/>
      <c r="Y285" s="103"/>
      <c r="Z285" s="103"/>
      <c r="AA285" s="103"/>
    </row>
    <row r="286" spans="1:27">
      <c r="A286" s="155"/>
      <c r="B286" s="116"/>
      <c r="C286" s="116"/>
      <c r="D286" s="116"/>
      <c r="E286" s="116"/>
      <c r="F286" s="116"/>
      <c r="G286" s="116"/>
      <c r="H286" s="116"/>
      <c r="I286" s="116"/>
      <c r="J286" s="116"/>
      <c r="K286" s="116"/>
      <c r="L286" s="116"/>
      <c r="M286" s="116"/>
      <c r="N286" s="116"/>
      <c r="O286" s="116"/>
      <c r="P286" s="116"/>
      <c r="Q286" s="116"/>
      <c r="R286" s="116"/>
      <c r="S286" s="116"/>
      <c r="T286" s="116"/>
      <c r="U286" s="103"/>
      <c r="V286" s="103"/>
      <c r="W286" s="103"/>
      <c r="X286" s="103"/>
      <c r="Y286" s="103"/>
      <c r="Z286" s="103"/>
      <c r="AA286" s="103"/>
    </row>
    <row r="287" spans="1:27">
      <c r="A287" s="155"/>
      <c r="B287" s="116"/>
      <c r="C287" s="116"/>
      <c r="D287" s="116"/>
      <c r="E287" s="116"/>
      <c r="F287" s="116"/>
      <c r="G287" s="116"/>
      <c r="H287" s="116"/>
      <c r="I287" s="116"/>
      <c r="J287" s="116"/>
      <c r="K287" s="116"/>
      <c r="L287" s="116"/>
      <c r="M287" s="116"/>
      <c r="N287" s="116"/>
      <c r="O287" s="116"/>
      <c r="P287" s="116"/>
      <c r="Q287" s="116"/>
      <c r="R287" s="116"/>
      <c r="S287" s="116"/>
      <c r="T287" s="116"/>
      <c r="U287" s="103"/>
      <c r="V287" s="103"/>
      <c r="W287" s="103"/>
      <c r="X287" s="103"/>
      <c r="Y287" s="103"/>
      <c r="Z287" s="103"/>
      <c r="AA287" s="103"/>
    </row>
    <row r="288" spans="1:27">
      <c r="A288" s="155"/>
      <c r="B288" s="116"/>
      <c r="C288" s="116"/>
      <c r="D288" s="116"/>
      <c r="E288" s="116"/>
      <c r="F288" s="116"/>
      <c r="G288" s="116"/>
      <c r="H288" s="116"/>
      <c r="I288" s="116"/>
      <c r="J288" s="116"/>
      <c r="K288" s="116"/>
      <c r="L288" s="116"/>
      <c r="M288" s="116"/>
      <c r="N288" s="116"/>
      <c r="O288" s="116"/>
      <c r="P288" s="116"/>
      <c r="Q288" s="116"/>
      <c r="R288" s="116"/>
      <c r="S288" s="116"/>
      <c r="T288" s="116"/>
      <c r="U288" s="103"/>
      <c r="V288" s="103"/>
      <c r="W288" s="103"/>
      <c r="X288" s="103"/>
      <c r="Y288" s="103"/>
      <c r="Z288" s="103"/>
      <c r="AA288" s="103"/>
    </row>
    <row r="289" spans="1:27">
      <c r="A289" s="155"/>
      <c r="B289" s="116"/>
      <c r="C289" s="116"/>
      <c r="D289" s="116"/>
      <c r="E289" s="116"/>
      <c r="F289" s="116"/>
      <c r="G289" s="116"/>
      <c r="H289" s="116"/>
      <c r="I289" s="116"/>
      <c r="J289" s="116"/>
      <c r="K289" s="116"/>
      <c r="L289" s="116"/>
      <c r="M289" s="116"/>
      <c r="N289" s="116"/>
      <c r="O289" s="116"/>
      <c r="P289" s="116"/>
      <c r="Q289" s="116"/>
      <c r="R289" s="116"/>
      <c r="S289" s="116"/>
      <c r="T289" s="116"/>
      <c r="U289" s="103"/>
      <c r="V289" s="103"/>
      <c r="W289" s="103"/>
      <c r="X289" s="103"/>
      <c r="Y289" s="103"/>
      <c r="Z289" s="103"/>
      <c r="AA289" s="103"/>
    </row>
    <row r="290" spans="1:27">
      <c r="A290" s="155"/>
      <c r="B290" s="116"/>
      <c r="C290" s="116"/>
      <c r="D290" s="116"/>
      <c r="E290" s="116"/>
      <c r="F290" s="116"/>
      <c r="G290" s="116"/>
      <c r="H290" s="116"/>
      <c r="I290" s="116"/>
      <c r="J290" s="116"/>
      <c r="K290" s="116"/>
      <c r="L290" s="116"/>
      <c r="M290" s="116"/>
      <c r="N290" s="116"/>
      <c r="O290" s="116"/>
      <c r="P290" s="116"/>
      <c r="Q290" s="116"/>
      <c r="R290" s="116"/>
      <c r="S290" s="116"/>
      <c r="T290" s="116"/>
      <c r="U290" s="103"/>
      <c r="V290" s="103"/>
      <c r="W290" s="103"/>
      <c r="X290" s="103"/>
      <c r="Y290" s="103"/>
      <c r="Z290" s="103"/>
      <c r="AA290" s="103"/>
    </row>
    <row r="291" spans="1:27">
      <c r="A291" s="155"/>
      <c r="B291" s="116"/>
      <c r="C291" s="116"/>
      <c r="D291" s="116"/>
      <c r="E291" s="116"/>
      <c r="F291" s="116"/>
      <c r="G291" s="116"/>
      <c r="H291" s="116"/>
      <c r="I291" s="116"/>
      <c r="J291" s="116"/>
      <c r="K291" s="116"/>
      <c r="L291" s="116"/>
      <c r="M291" s="116"/>
      <c r="N291" s="116"/>
      <c r="O291" s="116"/>
      <c r="P291" s="116"/>
      <c r="Q291" s="116"/>
      <c r="R291" s="116"/>
      <c r="S291" s="116"/>
      <c r="T291" s="116"/>
      <c r="U291" s="103"/>
      <c r="V291" s="103"/>
      <c r="W291" s="103"/>
      <c r="X291" s="103"/>
      <c r="Y291" s="103"/>
      <c r="Z291" s="103"/>
      <c r="AA291" s="103"/>
    </row>
    <row r="292" spans="1:27">
      <c r="A292" s="155"/>
      <c r="B292" s="116"/>
      <c r="C292" s="116"/>
      <c r="D292" s="116"/>
      <c r="E292" s="116"/>
      <c r="F292" s="116"/>
      <c r="G292" s="116"/>
      <c r="H292" s="116"/>
      <c r="I292" s="116"/>
      <c r="J292" s="116"/>
      <c r="K292" s="116"/>
      <c r="L292" s="116"/>
      <c r="M292" s="116"/>
      <c r="N292" s="116"/>
      <c r="O292" s="116"/>
      <c r="P292" s="116"/>
      <c r="Q292" s="116"/>
      <c r="R292" s="116"/>
      <c r="S292" s="116"/>
      <c r="T292" s="116"/>
      <c r="U292" s="103"/>
      <c r="V292" s="103"/>
      <c r="W292" s="103"/>
      <c r="X292" s="103"/>
      <c r="Y292" s="103"/>
      <c r="Z292" s="103"/>
      <c r="AA292" s="103"/>
    </row>
    <row r="293" spans="1:27">
      <c r="A293" s="155"/>
      <c r="B293" s="116"/>
      <c r="C293" s="116"/>
      <c r="D293" s="116"/>
      <c r="E293" s="116"/>
      <c r="F293" s="116"/>
      <c r="G293" s="116"/>
      <c r="H293" s="116"/>
      <c r="I293" s="116"/>
      <c r="J293" s="116"/>
      <c r="K293" s="116"/>
      <c r="L293" s="116"/>
      <c r="M293" s="116"/>
      <c r="N293" s="116"/>
      <c r="O293" s="116"/>
      <c r="P293" s="116"/>
      <c r="Q293" s="116"/>
      <c r="R293" s="116"/>
      <c r="S293" s="116"/>
      <c r="T293" s="116"/>
      <c r="U293" s="103"/>
      <c r="V293" s="103"/>
      <c r="W293" s="103"/>
      <c r="X293" s="103"/>
      <c r="Y293" s="103"/>
      <c r="Z293" s="103"/>
      <c r="AA293" s="103"/>
    </row>
    <row r="294" spans="1:27">
      <c r="A294" s="155"/>
      <c r="B294" s="116"/>
      <c r="C294" s="116"/>
      <c r="D294" s="116"/>
      <c r="E294" s="116"/>
      <c r="F294" s="116"/>
      <c r="G294" s="116"/>
      <c r="H294" s="116"/>
      <c r="I294" s="116"/>
      <c r="J294" s="116"/>
      <c r="K294" s="116"/>
      <c r="L294" s="116"/>
      <c r="M294" s="116"/>
      <c r="N294" s="116"/>
      <c r="O294" s="116"/>
      <c r="P294" s="116"/>
      <c r="Q294" s="116"/>
      <c r="R294" s="116"/>
      <c r="S294" s="116"/>
      <c r="T294" s="116"/>
      <c r="U294" s="103"/>
      <c r="V294" s="103"/>
      <c r="W294" s="103"/>
      <c r="X294" s="103"/>
      <c r="Y294" s="103"/>
      <c r="Z294" s="103"/>
      <c r="AA294" s="103"/>
    </row>
    <row r="295" spans="1:27">
      <c r="A295" s="155"/>
      <c r="B295" s="116"/>
      <c r="C295" s="116"/>
      <c r="D295" s="116"/>
      <c r="E295" s="116"/>
      <c r="F295" s="116"/>
      <c r="G295" s="116"/>
      <c r="H295" s="116"/>
      <c r="I295" s="116"/>
      <c r="J295" s="116"/>
      <c r="K295" s="116"/>
      <c r="L295" s="116"/>
      <c r="M295" s="116"/>
      <c r="N295" s="116"/>
      <c r="O295" s="116"/>
      <c r="P295" s="116"/>
      <c r="Q295" s="116"/>
      <c r="R295" s="116"/>
      <c r="S295" s="116"/>
      <c r="T295" s="116"/>
      <c r="U295" s="103"/>
      <c r="V295" s="103"/>
      <c r="W295" s="103"/>
      <c r="X295" s="103"/>
      <c r="Y295" s="103"/>
      <c r="Z295" s="103"/>
      <c r="AA295" s="103"/>
    </row>
    <row r="296" spans="1:27">
      <c r="A296" s="155"/>
      <c r="B296" s="116"/>
      <c r="C296" s="116"/>
      <c r="D296" s="116"/>
      <c r="E296" s="116"/>
      <c r="F296" s="116"/>
      <c r="G296" s="116"/>
      <c r="H296" s="116"/>
      <c r="I296" s="116"/>
      <c r="J296" s="116"/>
      <c r="K296" s="116"/>
      <c r="L296" s="116"/>
      <c r="M296" s="116"/>
      <c r="N296" s="116"/>
      <c r="O296" s="116"/>
      <c r="P296" s="116"/>
      <c r="Q296" s="116"/>
      <c r="R296" s="116"/>
      <c r="S296" s="116"/>
      <c r="T296" s="116"/>
      <c r="U296" s="103"/>
      <c r="V296" s="103"/>
      <c r="W296" s="103"/>
      <c r="X296" s="103"/>
      <c r="Y296" s="103"/>
      <c r="Z296" s="103"/>
      <c r="AA296" s="103"/>
    </row>
    <row r="297" spans="1:27">
      <c r="A297" s="155"/>
      <c r="B297" s="116"/>
      <c r="C297" s="116"/>
      <c r="D297" s="116"/>
      <c r="E297" s="116"/>
      <c r="F297" s="116"/>
      <c r="G297" s="116"/>
      <c r="H297" s="116"/>
      <c r="I297" s="116"/>
      <c r="J297" s="116"/>
      <c r="K297" s="116"/>
      <c r="L297" s="116"/>
      <c r="M297" s="116"/>
      <c r="N297" s="116"/>
      <c r="O297" s="116"/>
      <c r="P297" s="116"/>
      <c r="Q297" s="116"/>
      <c r="R297" s="116"/>
      <c r="S297" s="116"/>
      <c r="T297" s="116"/>
      <c r="U297" s="103"/>
      <c r="V297" s="103"/>
      <c r="W297" s="103"/>
      <c r="X297" s="103"/>
      <c r="Y297" s="103"/>
      <c r="Z297" s="103"/>
      <c r="AA297" s="103"/>
    </row>
    <row r="298" spans="1:27">
      <c r="A298" s="155"/>
      <c r="B298" s="116"/>
      <c r="C298" s="116"/>
      <c r="D298" s="116"/>
      <c r="E298" s="116"/>
      <c r="F298" s="116"/>
      <c r="G298" s="116"/>
      <c r="H298" s="116"/>
      <c r="I298" s="116"/>
      <c r="J298" s="116"/>
      <c r="K298" s="116"/>
      <c r="L298" s="116"/>
      <c r="M298" s="116"/>
      <c r="N298" s="116"/>
      <c r="O298" s="116"/>
      <c r="P298" s="116"/>
      <c r="Q298" s="116"/>
      <c r="R298" s="116"/>
      <c r="S298" s="116"/>
      <c r="T298" s="116"/>
      <c r="U298" s="103"/>
      <c r="V298" s="103"/>
      <c r="W298" s="103"/>
      <c r="X298" s="103"/>
      <c r="Y298" s="103"/>
      <c r="Z298" s="103"/>
      <c r="AA298" s="103"/>
    </row>
    <row r="299" spans="1:27">
      <c r="A299" s="155"/>
      <c r="B299" s="116"/>
      <c r="C299" s="116"/>
      <c r="D299" s="116"/>
      <c r="E299" s="116"/>
      <c r="F299" s="116"/>
      <c r="G299" s="116"/>
      <c r="H299" s="116"/>
      <c r="I299" s="116"/>
      <c r="J299" s="116"/>
      <c r="K299" s="116"/>
      <c r="L299" s="116"/>
      <c r="M299" s="116"/>
      <c r="N299" s="116"/>
      <c r="O299" s="116"/>
      <c r="P299" s="116"/>
      <c r="Q299" s="116"/>
      <c r="R299" s="116"/>
      <c r="S299" s="116"/>
      <c r="T299" s="116"/>
      <c r="U299" s="103"/>
      <c r="V299" s="103"/>
      <c r="W299" s="103"/>
      <c r="X299" s="103"/>
      <c r="Y299" s="103"/>
      <c r="Z299" s="103"/>
      <c r="AA299" s="103"/>
    </row>
    <row r="300" spans="1:27">
      <c r="A300" s="155"/>
      <c r="B300" s="116"/>
      <c r="C300" s="116"/>
      <c r="D300" s="116"/>
      <c r="E300" s="116"/>
      <c r="F300" s="116"/>
      <c r="G300" s="116"/>
      <c r="H300" s="116"/>
      <c r="I300" s="116"/>
      <c r="J300" s="116"/>
      <c r="K300" s="116"/>
      <c r="L300" s="116"/>
      <c r="M300" s="116"/>
      <c r="N300" s="116"/>
      <c r="O300" s="116"/>
      <c r="P300" s="116"/>
      <c r="Q300" s="116"/>
      <c r="R300" s="116"/>
      <c r="S300" s="116"/>
      <c r="T300" s="116"/>
      <c r="U300" s="103"/>
      <c r="V300" s="103"/>
      <c r="W300" s="103"/>
      <c r="X300" s="103"/>
      <c r="Y300" s="103"/>
      <c r="Z300" s="103"/>
      <c r="AA300" s="103"/>
    </row>
    <row r="301" spans="1:27">
      <c r="A301" s="155"/>
      <c r="B301" s="116"/>
      <c r="C301" s="116"/>
      <c r="D301" s="116"/>
      <c r="E301" s="116"/>
      <c r="F301" s="116"/>
      <c r="G301" s="116"/>
      <c r="H301" s="116"/>
      <c r="I301" s="116"/>
      <c r="J301" s="116"/>
      <c r="K301" s="116"/>
      <c r="L301" s="116"/>
      <c r="M301" s="116"/>
      <c r="N301" s="116"/>
      <c r="O301" s="116"/>
      <c r="P301" s="116"/>
      <c r="Q301" s="116"/>
      <c r="R301" s="116"/>
      <c r="S301" s="116"/>
      <c r="T301" s="116"/>
      <c r="U301" s="103"/>
      <c r="V301" s="103"/>
      <c r="W301" s="103"/>
      <c r="X301" s="103"/>
      <c r="Y301" s="103"/>
      <c r="Z301" s="103"/>
      <c r="AA301" s="103"/>
    </row>
    <row r="302" spans="1:27">
      <c r="A302" s="155"/>
      <c r="B302" s="116"/>
      <c r="C302" s="116"/>
      <c r="D302" s="116"/>
      <c r="E302" s="116"/>
      <c r="F302" s="116"/>
      <c r="G302" s="116"/>
      <c r="H302" s="116"/>
      <c r="I302" s="116"/>
      <c r="J302" s="116"/>
      <c r="K302" s="116"/>
      <c r="L302" s="116"/>
      <c r="M302" s="116"/>
      <c r="N302" s="116"/>
      <c r="O302" s="116"/>
      <c r="P302" s="116"/>
      <c r="Q302" s="116"/>
      <c r="R302" s="116"/>
      <c r="S302" s="116"/>
      <c r="T302" s="116"/>
      <c r="U302" s="103"/>
      <c r="V302" s="103"/>
      <c r="W302" s="103"/>
      <c r="X302" s="103"/>
      <c r="Y302" s="103"/>
      <c r="Z302" s="103"/>
      <c r="AA302" s="103"/>
    </row>
    <row r="303" spans="1:27">
      <c r="A303" s="155"/>
      <c r="B303" s="116"/>
      <c r="C303" s="116"/>
      <c r="D303" s="116"/>
      <c r="E303" s="116"/>
      <c r="F303" s="116"/>
      <c r="G303" s="116"/>
      <c r="H303" s="116"/>
      <c r="I303" s="116"/>
      <c r="J303" s="116"/>
      <c r="K303" s="116"/>
      <c r="L303" s="116"/>
      <c r="M303" s="116"/>
      <c r="N303" s="116"/>
      <c r="O303" s="116"/>
      <c r="P303" s="116"/>
      <c r="Q303" s="116"/>
      <c r="R303" s="116"/>
      <c r="S303" s="116"/>
      <c r="T303" s="116"/>
      <c r="U303" s="103"/>
      <c r="V303" s="103"/>
      <c r="W303" s="103"/>
      <c r="X303" s="103"/>
      <c r="Y303" s="103"/>
      <c r="Z303" s="103"/>
      <c r="AA303" s="103"/>
    </row>
    <row r="304" spans="1:27">
      <c r="A304" s="155"/>
      <c r="B304" s="116"/>
      <c r="C304" s="116"/>
      <c r="D304" s="116"/>
      <c r="E304" s="116"/>
      <c r="F304" s="116"/>
      <c r="G304" s="116"/>
      <c r="H304" s="116"/>
      <c r="I304" s="116"/>
      <c r="J304" s="116"/>
      <c r="K304" s="116"/>
      <c r="L304" s="116"/>
      <c r="M304" s="116"/>
      <c r="N304" s="116"/>
      <c r="O304" s="116"/>
      <c r="P304" s="116"/>
      <c r="Q304" s="116"/>
      <c r="R304" s="116"/>
      <c r="S304" s="116"/>
      <c r="T304" s="116"/>
      <c r="U304" s="103"/>
      <c r="V304" s="103"/>
      <c r="W304" s="103"/>
      <c r="X304" s="103"/>
      <c r="Y304" s="103"/>
      <c r="Z304" s="103"/>
      <c r="AA304" s="103"/>
    </row>
    <row r="305" spans="1:27">
      <c r="A305" s="155"/>
      <c r="B305" s="116"/>
      <c r="C305" s="116"/>
      <c r="D305" s="116"/>
      <c r="E305" s="116"/>
      <c r="F305" s="116"/>
      <c r="G305" s="116"/>
      <c r="H305" s="116"/>
      <c r="I305" s="116"/>
      <c r="J305" s="116"/>
      <c r="K305" s="116"/>
      <c r="L305" s="116"/>
      <c r="M305" s="116"/>
      <c r="N305" s="116"/>
      <c r="O305" s="116"/>
      <c r="P305" s="116"/>
      <c r="Q305" s="116"/>
      <c r="R305" s="116"/>
      <c r="S305" s="116"/>
      <c r="T305" s="116"/>
      <c r="U305" s="103"/>
      <c r="V305" s="103"/>
      <c r="W305" s="103"/>
      <c r="X305" s="103"/>
      <c r="Y305" s="103"/>
      <c r="Z305" s="103"/>
      <c r="AA305" s="103"/>
    </row>
    <row r="306" spans="1:27">
      <c r="A306" s="155"/>
      <c r="B306" s="116"/>
      <c r="C306" s="116"/>
      <c r="D306" s="116"/>
      <c r="E306" s="116"/>
      <c r="F306" s="116"/>
      <c r="G306" s="116"/>
      <c r="H306" s="116"/>
      <c r="I306" s="116"/>
      <c r="J306" s="116"/>
      <c r="K306" s="116"/>
      <c r="L306" s="116"/>
      <c r="M306" s="116"/>
      <c r="N306" s="116"/>
      <c r="O306" s="116"/>
      <c r="P306" s="116"/>
      <c r="Q306" s="116"/>
      <c r="R306" s="116"/>
      <c r="S306" s="116"/>
      <c r="T306" s="116"/>
      <c r="U306" s="103"/>
      <c r="V306" s="103"/>
      <c r="W306" s="103"/>
      <c r="X306" s="103"/>
      <c r="Y306" s="103"/>
      <c r="Z306" s="103"/>
      <c r="AA306" s="103"/>
    </row>
    <row r="307" spans="1:27">
      <c r="A307" s="155"/>
      <c r="B307" s="116"/>
      <c r="C307" s="116"/>
      <c r="D307" s="116"/>
      <c r="E307" s="116"/>
      <c r="F307" s="116"/>
      <c r="G307" s="116"/>
      <c r="H307" s="116"/>
      <c r="I307" s="116"/>
      <c r="J307" s="116"/>
      <c r="K307" s="116"/>
      <c r="L307" s="116"/>
      <c r="M307" s="116"/>
      <c r="N307" s="116"/>
      <c r="O307" s="116"/>
      <c r="P307" s="116"/>
      <c r="Q307" s="116"/>
      <c r="R307" s="116"/>
      <c r="S307" s="116"/>
      <c r="T307" s="116"/>
      <c r="U307" s="103"/>
      <c r="V307" s="103"/>
      <c r="W307" s="103"/>
      <c r="X307" s="103"/>
      <c r="Y307" s="103"/>
      <c r="Z307" s="103"/>
      <c r="AA307" s="103"/>
    </row>
    <row r="308" spans="1:27">
      <c r="A308" s="155"/>
      <c r="B308" s="116"/>
      <c r="C308" s="116"/>
      <c r="D308" s="116"/>
      <c r="E308" s="116"/>
      <c r="F308" s="116"/>
      <c r="G308" s="116"/>
      <c r="H308" s="116"/>
      <c r="I308" s="116"/>
      <c r="J308" s="116"/>
      <c r="K308" s="116"/>
      <c r="L308" s="116"/>
      <c r="M308" s="116"/>
      <c r="N308" s="116"/>
      <c r="O308" s="116"/>
      <c r="P308" s="116"/>
      <c r="Q308" s="116"/>
      <c r="R308" s="116"/>
      <c r="S308" s="116"/>
      <c r="T308" s="116"/>
      <c r="U308" s="103"/>
      <c r="V308" s="103"/>
      <c r="W308" s="103"/>
      <c r="X308" s="103"/>
      <c r="Y308" s="103"/>
      <c r="Z308" s="103"/>
      <c r="AA308" s="103"/>
    </row>
    <row r="309" spans="1:27">
      <c r="A309" s="155"/>
      <c r="B309" s="116"/>
      <c r="C309" s="116"/>
      <c r="D309" s="116"/>
      <c r="E309" s="116"/>
      <c r="F309" s="116"/>
      <c r="G309" s="116"/>
      <c r="H309" s="116"/>
      <c r="I309" s="116"/>
      <c r="J309" s="116"/>
      <c r="K309" s="116"/>
      <c r="L309" s="116"/>
      <c r="M309" s="116"/>
      <c r="N309" s="116"/>
      <c r="O309" s="116"/>
      <c r="P309" s="116"/>
      <c r="Q309" s="116"/>
      <c r="R309" s="116"/>
      <c r="S309" s="116"/>
      <c r="T309" s="116"/>
      <c r="U309" s="103"/>
      <c r="V309" s="103"/>
      <c r="W309" s="103"/>
      <c r="X309" s="103"/>
      <c r="Y309" s="103"/>
      <c r="Z309" s="103"/>
      <c r="AA309" s="103"/>
    </row>
    <row r="310" spans="1:27">
      <c r="A310" s="155"/>
      <c r="B310" s="116"/>
      <c r="C310" s="116"/>
      <c r="D310" s="116"/>
      <c r="E310" s="116"/>
      <c r="F310" s="116"/>
      <c r="G310" s="116"/>
      <c r="H310" s="116"/>
      <c r="I310" s="116"/>
      <c r="J310" s="116"/>
      <c r="K310" s="116"/>
      <c r="L310" s="116"/>
      <c r="M310" s="116"/>
      <c r="N310" s="116"/>
      <c r="O310" s="116"/>
      <c r="P310" s="116"/>
      <c r="Q310" s="116"/>
      <c r="R310" s="116"/>
      <c r="S310" s="116"/>
      <c r="T310" s="116"/>
      <c r="U310" s="103"/>
      <c r="V310" s="103"/>
      <c r="W310" s="103"/>
      <c r="X310" s="103"/>
      <c r="Y310" s="103"/>
      <c r="Z310" s="103"/>
      <c r="AA310" s="103"/>
    </row>
    <row r="311" spans="1:27">
      <c r="A311" s="155"/>
      <c r="B311" s="116"/>
      <c r="C311" s="116"/>
      <c r="D311" s="116"/>
      <c r="E311" s="116"/>
      <c r="F311" s="116"/>
      <c r="G311" s="116"/>
      <c r="H311" s="116"/>
      <c r="I311" s="116"/>
      <c r="J311" s="116"/>
      <c r="K311" s="116"/>
      <c r="L311" s="116"/>
      <c r="M311" s="116"/>
      <c r="N311" s="116"/>
      <c r="O311" s="116"/>
      <c r="P311" s="116"/>
      <c r="Q311" s="116"/>
      <c r="R311" s="116"/>
      <c r="S311" s="116"/>
      <c r="T311" s="116"/>
      <c r="U311" s="103"/>
      <c r="V311" s="103"/>
      <c r="W311" s="103"/>
      <c r="X311" s="103"/>
      <c r="Y311" s="103"/>
      <c r="Z311" s="103"/>
      <c r="AA311" s="103"/>
    </row>
    <row r="312" spans="1:27">
      <c r="A312" s="155"/>
      <c r="B312" s="116"/>
      <c r="C312" s="116"/>
      <c r="D312" s="116"/>
      <c r="E312" s="116"/>
      <c r="F312" s="116"/>
      <c r="G312" s="116"/>
      <c r="H312" s="116"/>
      <c r="I312" s="116"/>
      <c r="J312" s="116"/>
      <c r="K312" s="116"/>
      <c r="L312" s="116"/>
      <c r="M312" s="116"/>
      <c r="N312" s="116"/>
      <c r="O312" s="116"/>
      <c r="P312" s="116"/>
      <c r="Q312" s="116"/>
      <c r="R312" s="116"/>
      <c r="S312" s="116"/>
      <c r="T312" s="116"/>
      <c r="U312" s="103"/>
      <c r="V312" s="103"/>
      <c r="W312" s="103"/>
      <c r="X312" s="103"/>
      <c r="Y312" s="103"/>
      <c r="Z312" s="103"/>
      <c r="AA312" s="103"/>
    </row>
    <row r="313" spans="1:27">
      <c r="A313" s="155"/>
      <c r="B313" s="116"/>
      <c r="C313" s="116"/>
      <c r="D313" s="116"/>
      <c r="E313" s="116"/>
      <c r="F313" s="116"/>
      <c r="G313" s="116"/>
      <c r="H313" s="116"/>
      <c r="I313" s="116"/>
      <c r="J313" s="116"/>
      <c r="K313" s="116"/>
      <c r="L313" s="116"/>
      <c r="M313" s="116"/>
      <c r="N313" s="116"/>
      <c r="O313" s="116"/>
      <c r="P313" s="116"/>
      <c r="Q313" s="116"/>
      <c r="R313" s="116"/>
      <c r="S313" s="116"/>
      <c r="T313" s="116"/>
      <c r="U313" s="103"/>
      <c r="V313" s="103"/>
      <c r="W313" s="103"/>
      <c r="X313" s="103"/>
      <c r="Y313" s="103"/>
      <c r="Z313" s="103"/>
      <c r="AA313" s="103"/>
    </row>
    <row r="314" spans="1:27">
      <c r="A314" s="155"/>
      <c r="B314" s="116"/>
      <c r="C314" s="116"/>
      <c r="D314" s="116"/>
      <c r="E314" s="116"/>
      <c r="F314" s="116"/>
      <c r="G314" s="116"/>
      <c r="H314" s="116"/>
      <c r="I314" s="116"/>
      <c r="J314" s="116"/>
      <c r="K314" s="116"/>
      <c r="L314" s="116"/>
      <c r="M314" s="116"/>
      <c r="N314" s="116"/>
      <c r="O314" s="116"/>
      <c r="P314" s="116"/>
      <c r="Q314" s="116"/>
      <c r="R314" s="116"/>
      <c r="S314" s="116"/>
      <c r="T314" s="116"/>
      <c r="U314" s="103"/>
      <c r="V314" s="103"/>
      <c r="W314" s="103"/>
      <c r="X314" s="103"/>
      <c r="Y314" s="103"/>
      <c r="Z314" s="103"/>
      <c r="AA314" s="103"/>
    </row>
    <row r="315" spans="1:27">
      <c r="A315" s="155"/>
      <c r="B315" s="116"/>
      <c r="C315" s="116"/>
      <c r="D315" s="116"/>
      <c r="E315" s="116"/>
      <c r="F315" s="116"/>
      <c r="G315" s="116"/>
      <c r="H315" s="116"/>
      <c r="I315" s="116"/>
      <c r="J315" s="116"/>
      <c r="K315" s="116"/>
      <c r="L315" s="116"/>
      <c r="M315" s="116"/>
      <c r="N315" s="116"/>
      <c r="O315" s="116"/>
      <c r="P315" s="116"/>
      <c r="Q315" s="116"/>
      <c r="R315" s="116"/>
      <c r="S315" s="116"/>
      <c r="T315" s="116"/>
      <c r="U315" s="103"/>
      <c r="V315" s="103"/>
      <c r="W315" s="103"/>
      <c r="X315" s="103"/>
      <c r="Y315" s="103"/>
      <c r="Z315" s="103"/>
      <c r="AA315" s="103"/>
    </row>
    <row r="316" spans="1:27">
      <c r="A316" s="155"/>
      <c r="B316" s="116"/>
      <c r="C316" s="116"/>
      <c r="D316" s="116"/>
      <c r="E316" s="116"/>
      <c r="F316" s="116"/>
      <c r="G316" s="116"/>
      <c r="H316" s="116"/>
      <c r="I316" s="116"/>
      <c r="J316" s="116"/>
      <c r="K316" s="116"/>
      <c r="L316" s="116"/>
      <c r="M316" s="116"/>
      <c r="N316" s="116"/>
      <c r="O316" s="116"/>
      <c r="P316" s="116"/>
      <c r="Q316" s="116"/>
      <c r="R316" s="116"/>
      <c r="S316" s="116"/>
      <c r="T316" s="116"/>
      <c r="U316" s="103"/>
      <c r="V316" s="103"/>
      <c r="W316" s="103"/>
      <c r="X316" s="103"/>
      <c r="Y316" s="103"/>
      <c r="Z316" s="103"/>
      <c r="AA316" s="103"/>
    </row>
    <row r="317" spans="1:27">
      <c r="A317" s="155"/>
      <c r="B317" s="116"/>
      <c r="C317" s="116"/>
      <c r="D317" s="116"/>
      <c r="E317" s="116"/>
      <c r="F317" s="116"/>
      <c r="G317" s="116"/>
      <c r="H317" s="116"/>
      <c r="I317" s="116"/>
      <c r="J317" s="116"/>
      <c r="K317" s="116"/>
      <c r="L317" s="116"/>
      <c r="M317" s="116"/>
      <c r="N317" s="116"/>
      <c r="O317" s="116"/>
      <c r="P317" s="116"/>
      <c r="Q317" s="116"/>
      <c r="R317" s="116"/>
      <c r="S317" s="116"/>
      <c r="T317" s="116"/>
      <c r="U317" s="103"/>
      <c r="V317" s="103"/>
      <c r="W317" s="103"/>
      <c r="X317" s="103"/>
      <c r="Y317" s="103"/>
      <c r="Z317" s="103"/>
      <c r="AA317" s="103"/>
    </row>
    <row r="318" spans="1:27">
      <c r="A318" s="155"/>
      <c r="B318" s="116"/>
      <c r="C318" s="116"/>
      <c r="D318" s="116"/>
      <c r="E318" s="116"/>
      <c r="F318" s="116"/>
      <c r="G318" s="116"/>
      <c r="H318" s="116"/>
      <c r="I318" s="116"/>
      <c r="J318" s="116"/>
      <c r="K318" s="116"/>
      <c r="L318" s="116"/>
      <c r="M318" s="116"/>
      <c r="N318" s="116"/>
      <c r="O318" s="116"/>
      <c r="P318" s="116"/>
      <c r="Q318" s="116"/>
      <c r="R318" s="116"/>
      <c r="S318" s="116"/>
      <c r="T318" s="116"/>
      <c r="U318" s="103"/>
      <c r="V318" s="103"/>
      <c r="W318" s="103"/>
      <c r="X318" s="103"/>
      <c r="Y318" s="103"/>
      <c r="Z318" s="103"/>
      <c r="AA318" s="103"/>
    </row>
    <row r="319" spans="1:27">
      <c r="A319" s="155"/>
      <c r="B319" s="116"/>
      <c r="C319" s="116"/>
      <c r="D319" s="116"/>
      <c r="E319" s="116"/>
      <c r="F319" s="116"/>
      <c r="G319" s="116"/>
      <c r="H319" s="116"/>
      <c r="I319" s="116"/>
      <c r="J319" s="116"/>
      <c r="K319" s="116"/>
      <c r="L319" s="116"/>
      <c r="M319" s="116"/>
      <c r="N319" s="116"/>
      <c r="O319" s="116"/>
      <c r="P319" s="116"/>
      <c r="Q319" s="116"/>
      <c r="R319" s="116"/>
      <c r="S319" s="116"/>
      <c r="T319" s="116"/>
      <c r="U319" s="103"/>
      <c r="V319" s="103"/>
      <c r="W319" s="103"/>
      <c r="X319" s="103"/>
      <c r="Y319" s="103"/>
      <c r="Z319" s="103"/>
      <c r="AA319" s="103"/>
    </row>
    <row r="320" spans="1:27">
      <c r="A320" s="155"/>
      <c r="B320" s="116"/>
      <c r="C320" s="116"/>
      <c r="D320" s="116"/>
      <c r="E320" s="116"/>
      <c r="F320" s="116"/>
      <c r="G320" s="116"/>
      <c r="H320" s="116"/>
      <c r="I320" s="116"/>
      <c r="J320" s="116"/>
      <c r="K320" s="116"/>
      <c r="L320" s="116"/>
      <c r="M320" s="116"/>
      <c r="N320" s="116"/>
      <c r="O320" s="116"/>
      <c r="P320" s="116"/>
      <c r="Q320" s="116"/>
      <c r="R320" s="116"/>
      <c r="S320" s="116"/>
      <c r="T320" s="116"/>
      <c r="U320" s="103"/>
      <c r="V320" s="103"/>
      <c r="W320" s="103"/>
      <c r="X320" s="103"/>
      <c r="Y320" s="103"/>
      <c r="Z320" s="103"/>
      <c r="AA320" s="103"/>
    </row>
    <row r="321" spans="1:27">
      <c r="A321" s="155"/>
      <c r="B321" s="116"/>
      <c r="C321" s="116"/>
      <c r="D321" s="116"/>
      <c r="E321" s="116"/>
      <c r="F321" s="116"/>
      <c r="G321" s="116"/>
      <c r="H321" s="116"/>
      <c r="I321" s="116"/>
      <c r="J321" s="116"/>
      <c r="K321" s="116"/>
      <c r="L321" s="116"/>
      <c r="M321" s="116"/>
      <c r="N321" s="116"/>
      <c r="O321" s="116"/>
      <c r="P321" s="116"/>
      <c r="Q321" s="116"/>
      <c r="R321" s="116"/>
      <c r="S321" s="116"/>
      <c r="T321" s="116"/>
      <c r="U321" s="103"/>
      <c r="V321" s="103"/>
      <c r="W321" s="103"/>
      <c r="X321" s="103"/>
      <c r="Y321" s="103"/>
      <c r="Z321" s="103"/>
      <c r="AA321" s="103"/>
    </row>
    <row r="322" spans="1:27">
      <c r="A322" s="155"/>
      <c r="B322" s="116"/>
      <c r="C322" s="116"/>
      <c r="D322" s="116"/>
      <c r="E322" s="116"/>
      <c r="F322" s="116"/>
      <c r="G322" s="116"/>
      <c r="H322" s="116"/>
      <c r="I322" s="116"/>
      <c r="J322" s="116"/>
      <c r="K322" s="116"/>
      <c r="L322" s="116"/>
      <c r="M322" s="116"/>
      <c r="N322" s="116"/>
      <c r="O322" s="116"/>
      <c r="P322" s="116"/>
      <c r="Q322" s="116"/>
      <c r="R322" s="116"/>
      <c r="S322" s="116"/>
      <c r="T322" s="116"/>
      <c r="U322" s="103"/>
      <c r="V322" s="103"/>
      <c r="W322" s="103"/>
      <c r="X322" s="103"/>
      <c r="Y322" s="103"/>
      <c r="Z322" s="103"/>
      <c r="AA322" s="103"/>
    </row>
    <row r="323" spans="1:27">
      <c r="A323" s="155"/>
      <c r="B323" s="116"/>
      <c r="C323" s="116"/>
      <c r="D323" s="116"/>
      <c r="E323" s="116"/>
      <c r="F323" s="116"/>
      <c r="G323" s="116"/>
      <c r="H323" s="116"/>
      <c r="I323" s="116"/>
      <c r="J323" s="116"/>
      <c r="K323" s="116"/>
      <c r="L323" s="116"/>
      <c r="M323" s="116"/>
      <c r="N323" s="116"/>
      <c r="O323" s="116"/>
      <c r="P323" s="116"/>
      <c r="Q323" s="116"/>
      <c r="R323" s="116"/>
      <c r="S323" s="116"/>
      <c r="T323" s="116"/>
      <c r="U323" s="103"/>
      <c r="V323" s="103"/>
      <c r="W323" s="103"/>
      <c r="X323" s="103"/>
      <c r="Y323" s="103"/>
      <c r="Z323" s="103"/>
      <c r="AA323" s="103"/>
    </row>
    <row r="324" spans="1:27">
      <c r="A324" s="155"/>
      <c r="B324" s="116"/>
      <c r="C324" s="116"/>
      <c r="D324" s="116"/>
      <c r="E324" s="116"/>
      <c r="F324" s="116"/>
      <c r="G324" s="116"/>
      <c r="H324" s="116"/>
      <c r="I324" s="116"/>
      <c r="J324" s="116"/>
      <c r="K324" s="116"/>
      <c r="L324" s="116"/>
      <c r="M324" s="116"/>
      <c r="N324" s="116"/>
      <c r="O324" s="116"/>
      <c r="P324" s="116"/>
      <c r="Q324" s="116"/>
      <c r="R324" s="116"/>
      <c r="S324" s="116"/>
      <c r="T324" s="116"/>
      <c r="U324" s="103"/>
      <c r="V324" s="103"/>
      <c r="W324" s="103"/>
      <c r="X324" s="103"/>
      <c r="Y324" s="103"/>
      <c r="Z324" s="103"/>
      <c r="AA324" s="103"/>
    </row>
    <row r="325" spans="1:27">
      <c r="A325" s="155"/>
      <c r="B325" s="116"/>
      <c r="C325" s="116"/>
      <c r="D325" s="116"/>
      <c r="E325" s="116"/>
      <c r="F325" s="116"/>
      <c r="G325" s="116"/>
      <c r="H325" s="116"/>
      <c r="I325" s="116"/>
      <c r="J325" s="116"/>
      <c r="K325" s="116"/>
      <c r="L325" s="116"/>
      <c r="M325" s="116"/>
      <c r="N325" s="116"/>
      <c r="O325" s="116"/>
      <c r="P325" s="116"/>
      <c r="Q325" s="116"/>
      <c r="R325" s="116"/>
      <c r="S325" s="116"/>
      <c r="T325" s="116"/>
      <c r="U325" s="103"/>
      <c r="V325" s="103"/>
      <c r="W325" s="103"/>
      <c r="X325" s="103"/>
      <c r="Y325" s="103"/>
      <c r="Z325" s="103"/>
      <c r="AA325" s="103"/>
    </row>
    <row r="326" spans="1:27">
      <c r="A326" s="155"/>
      <c r="B326" s="116"/>
      <c r="C326" s="116"/>
      <c r="D326" s="116"/>
      <c r="E326" s="116"/>
      <c r="F326" s="116"/>
      <c r="G326" s="116"/>
      <c r="H326" s="116"/>
      <c r="I326" s="116"/>
      <c r="J326" s="116"/>
      <c r="K326" s="116"/>
      <c r="L326" s="116"/>
      <c r="M326" s="116"/>
      <c r="N326" s="116"/>
      <c r="O326" s="116"/>
      <c r="P326" s="116"/>
      <c r="Q326" s="116"/>
      <c r="R326" s="116"/>
      <c r="S326" s="116"/>
      <c r="T326" s="116"/>
      <c r="U326" s="103"/>
      <c r="V326" s="103"/>
      <c r="W326" s="103"/>
      <c r="X326" s="103"/>
      <c r="Y326" s="103"/>
      <c r="Z326" s="103"/>
      <c r="AA326" s="103"/>
    </row>
    <row r="327" spans="1:27">
      <c r="A327" s="155"/>
      <c r="B327" s="116"/>
      <c r="C327" s="116"/>
      <c r="D327" s="116"/>
      <c r="E327" s="116"/>
      <c r="F327" s="116"/>
      <c r="G327" s="116"/>
      <c r="H327" s="116"/>
      <c r="I327" s="116"/>
      <c r="J327" s="116"/>
      <c r="K327" s="116"/>
      <c r="L327" s="116"/>
      <c r="M327" s="116"/>
      <c r="N327" s="116"/>
      <c r="O327" s="116"/>
      <c r="P327" s="116"/>
      <c r="Q327" s="116"/>
      <c r="R327" s="116"/>
      <c r="S327" s="116"/>
      <c r="T327" s="116"/>
      <c r="U327" s="103"/>
      <c r="V327" s="103"/>
      <c r="W327" s="103"/>
      <c r="X327" s="103"/>
      <c r="Y327" s="103"/>
      <c r="Z327" s="103"/>
      <c r="AA327" s="103"/>
    </row>
    <row r="328" spans="1:27">
      <c r="A328" s="155"/>
      <c r="B328" s="116"/>
      <c r="C328" s="116"/>
      <c r="D328" s="116"/>
      <c r="E328" s="116"/>
      <c r="F328" s="116"/>
      <c r="G328" s="116"/>
      <c r="H328" s="116"/>
      <c r="I328" s="116"/>
      <c r="J328" s="116"/>
      <c r="K328" s="116"/>
      <c r="L328" s="116"/>
      <c r="M328" s="116"/>
      <c r="N328" s="116"/>
      <c r="O328" s="116"/>
      <c r="P328" s="116"/>
      <c r="Q328" s="116"/>
      <c r="R328" s="116"/>
      <c r="S328" s="116"/>
      <c r="T328" s="116"/>
      <c r="U328" s="103"/>
      <c r="V328" s="103"/>
      <c r="W328" s="103"/>
      <c r="X328" s="103"/>
      <c r="Y328" s="103"/>
      <c r="Z328" s="103"/>
      <c r="AA328" s="103"/>
    </row>
    <row r="329" spans="1:27">
      <c r="A329" s="155"/>
      <c r="B329" s="116"/>
      <c r="C329" s="116"/>
      <c r="D329" s="116"/>
      <c r="E329" s="116"/>
      <c r="F329" s="116"/>
      <c r="G329" s="116"/>
      <c r="H329" s="116"/>
      <c r="I329" s="116"/>
      <c r="J329" s="116"/>
      <c r="K329" s="116"/>
      <c r="L329" s="116"/>
      <c r="M329" s="116"/>
      <c r="N329" s="116"/>
      <c r="O329" s="116"/>
      <c r="P329" s="116"/>
      <c r="Q329" s="116"/>
      <c r="R329" s="116"/>
      <c r="S329" s="116"/>
      <c r="T329" s="116"/>
      <c r="U329" s="103"/>
      <c r="V329" s="103"/>
      <c r="W329" s="103"/>
      <c r="X329" s="103"/>
      <c r="Y329" s="103"/>
      <c r="Z329" s="103"/>
      <c r="AA329" s="103"/>
    </row>
    <row r="330" spans="1:27">
      <c r="A330" s="155"/>
      <c r="B330" s="116"/>
      <c r="C330" s="116"/>
      <c r="D330" s="116"/>
      <c r="E330" s="116"/>
      <c r="F330" s="116"/>
      <c r="G330" s="116"/>
      <c r="H330" s="116"/>
      <c r="I330" s="116"/>
      <c r="J330" s="116"/>
      <c r="K330" s="116"/>
      <c r="L330" s="116"/>
      <c r="M330" s="116"/>
      <c r="N330" s="116"/>
      <c r="O330" s="116"/>
      <c r="P330" s="116"/>
      <c r="Q330" s="116"/>
      <c r="R330" s="116"/>
      <c r="S330" s="116"/>
      <c r="T330" s="116"/>
      <c r="U330" s="103"/>
      <c r="V330" s="103"/>
      <c r="W330" s="103"/>
      <c r="X330" s="103"/>
      <c r="Y330" s="103"/>
      <c r="Z330" s="103"/>
      <c r="AA330" s="103"/>
    </row>
    <row r="331" spans="1:27">
      <c r="A331" s="155"/>
      <c r="B331" s="116"/>
      <c r="C331" s="116"/>
      <c r="D331" s="116"/>
      <c r="E331" s="116"/>
      <c r="F331" s="116"/>
      <c r="G331" s="116"/>
      <c r="H331" s="116"/>
      <c r="I331" s="116"/>
      <c r="J331" s="116"/>
      <c r="K331" s="116"/>
      <c r="L331" s="116"/>
      <c r="M331" s="116"/>
      <c r="N331" s="116"/>
      <c r="O331" s="116"/>
      <c r="P331" s="116"/>
      <c r="Q331" s="116"/>
      <c r="R331" s="116"/>
      <c r="S331" s="116"/>
      <c r="T331" s="116"/>
      <c r="U331" s="103"/>
      <c r="V331" s="103"/>
      <c r="W331" s="103"/>
      <c r="X331" s="103"/>
      <c r="Y331" s="103"/>
      <c r="Z331" s="103"/>
      <c r="AA331" s="103"/>
    </row>
    <row r="332" spans="1:27">
      <c r="A332" s="155"/>
      <c r="B332" s="116"/>
      <c r="C332" s="116"/>
      <c r="D332" s="116"/>
      <c r="E332" s="116"/>
      <c r="F332" s="116"/>
      <c r="G332" s="116"/>
      <c r="H332" s="116"/>
      <c r="I332" s="116"/>
      <c r="J332" s="116"/>
      <c r="K332" s="116"/>
      <c r="L332" s="116"/>
      <c r="M332" s="116"/>
      <c r="N332" s="116"/>
      <c r="O332" s="116"/>
      <c r="P332" s="116"/>
      <c r="Q332" s="116"/>
      <c r="R332" s="116"/>
      <c r="S332" s="116"/>
      <c r="T332" s="116"/>
      <c r="U332" s="103"/>
      <c r="V332" s="103"/>
      <c r="W332" s="103"/>
      <c r="X332" s="103"/>
      <c r="Y332" s="103"/>
      <c r="Z332" s="103"/>
      <c r="AA332" s="103"/>
    </row>
    <row r="333" spans="1:27">
      <c r="A333" s="155"/>
      <c r="B333" s="116"/>
      <c r="C333" s="116"/>
      <c r="D333" s="116"/>
      <c r="E333" s="116"/>
      <c r="F333" s="116"/>
      <c r="G333" s="116"/>
      <c r="H333" s="116"/>
      <c r="I333" s="116"/>
      <c r="J333" s="116"/>
      <c r="K333" s="116"/>
      <c r="L333" s="116"/>
      <c r="M333" s="116"/>
      <c r="N333" s="116"/>
      <c r="O333" s="116"/>
      <c r="P333" s="116"/>
      <c r="Q333" s="116"/>
      <c r="R333" s="116"/>
      <c r="S333" s="116"/>
      <c r="T333" s="116"/>
      <c r="U333" s="103"/>
      <c r="V333" s="103"/>
      <c r="W333" s="103"/>
      <c r="X333" s="103"/>
      <c r="Y333" s="103"/>
      <c r="Z333" s="103"/>
      <c r="AA333" s="103"/>
    </row>
    <row r="334" spans="1:27">
      <c r="A334" s="155"/>
      <c r="B334" s="116"/>
      <c r="C334" s="116"/>
      <c r="D334" s="116"/>
      <c r="E334" s="116"/>
      <c r="F334" s="116"/>
      <c r="G334" s="116"/>
      <c r="H334" s="116"/>
      <c r="I334" s="116"/>
      <c r="J334" s="116"/>
      <c r="K334" s="116"/>
      <c r="L334" s="116"/>
      <c r="M334" s="116"/>
      <c r="N334" s="116"/>
      <c r="O334" s="116"/>
      <c r="P334" s="116"/>
      <c r="Q334" s="116"/>
      <c r="R334" s="116"/>
      <c r="S334" s="116"/>
      <c r="T334" s="116"/>
      <c r="U334" s="103"/>
      <c r="V334" s="103"/>
      <c r="W334" s="103"/>
      <c r="X334" s="103"/>
      <c r="Y334" s="103"/>
      <c r="Z334" s="103"/>
      <c r="AA334" s="103"/>
    </row>
    <row r="335" spans="1:27">
      <c r="A335" s="155"/>
      <c r="B335" s="116"/>
      <c r="C335" s="116"/>
      <c r="D335" s="116"/>
      <c r="E335" s="116"/>
      <c r="F335" s="116"/>
      <c r="G335" s="116"/>
      <c r="H335" s="116"/>
      <c r="I335" s="116"/>
      <c r="J335" s="116"/>
      <c r="K335" s="116"/>
      <c r="L335" s="116"/>
      <c r="M335" s="116"/>
      <c r="N335" s="116"/>
      <c r="O335" s="116"/>
      <c r="P335" s="116"/>
      <c r="Q335" s="116"/>
      <c r="R335" s="116"/>
      <c r="S335" s="116"/>
      <c r="T335" s="116"/>
      <c r="U335" s="103"/>
      <c r="V335" s="103"/>
      <c r="W335" s="103"/>
      <c r="X335" s="103"/>
      <c r="Y335" s="103"/>
      <c r="Z335" s="103"/>
      <c r="AA335" s="103"/>
    </row>
    <row r="336" spans="1:27">
      <c r="A336" s="155"/>
      <c r="B336" s="116"/>
      <c r="C336" s="116"/>
      <c r="D336" s="116"/>
      <c r="E336" s="116"/>
      <c r="F336" s="116"/>
      <c r="G336" s="116"/>
      <c r="H336" s="116"/>
      <c r="I336" s="116"/>
      <c r="J336" s="116"/>
      <c r="K336" s="116"/>
      <c r="L336" s="116"/>
      <c r="M336" s="116"/>
      <c r="N336" s="116"/>
      <c r="O336" s="116"/>
      <c r="P336" s="116"/>
      <c r="Q336" s="116"/>
      <c r="R336" s="116"/>
      <c r="S336" s="116"/>
      <c r="T336" s="116"/>
      <c r="U336" s="103"/>
      <c r="V336" s="103"/>
      <c r="W336" s="103"/>
      <c r="X336" s="103"/>
      <c r="Y336" s="103"/>
      <c r="Z336" s="103"/>
      <c r="AA336" s="103"/>
    </row>
    <row r="337" spans="1:27">
      <c r="A337" s="155"/>
      <c r="B337" s="116"/>
      <c r="C337" s="116"/>
      <c r="D337" s="116"/>
      <c r="E337" s="116"/>
      <c r="F337" s="116"/>
      <c r="G337" s="116"/>
      <c r="H337" s="116"/>
      <c r="I337" s="116"/>
      <c r="J337" s="116"/>
      <c r="K337" s="116"/>
      <c r="L337" s="116"/>
      <c r="M337" s="116"/>
      <c r="N337" s="116"/>
      <c r="O337" s="116"/>
      <c r="P337" s="116"/>
      <c r="Q337" s="116"/>
      <c r="R337" s="116"/>
      <c r="S337" s="116"/>
      <c r="T337" s="116"/>
      <c r="U337" s="103"/>
      <c r="V337" s="103"/>
      <c r="W337" s="103"/>
      <c r="X337" s="103"/>
      <c r="Y337" s="103"/>
      <c r="Z337" s="103"/>
      <c r="AA337" s="103"/>
    </row>
    <row r="338" spans="1:27">
      <c r="A338" s="155"/>
      <c r="B338" s="116"/>
      <c r="C338" s="116"/>
      <c r="D338" s="116"/>
      <c r="E338" s="116"/>
      <c r="F338" s="116"/>
      <c r="G338" s="116"/>
      <c r="H338" s="116"/>
      <c r="I338" s="116"/>
      <c r="J338" s="116"/>
      <c r="K338" s="116"/>
      <c r="L338" s="116"/>
      <c r="M338" s="116"/>
      <c r="N338" s="116"/>
      <c r="O338" s="116"/>
      <c r="P338" s="116"/>
      <c r="Q338" s="116"/>
      <c r="R338" s="116"/>
      <c r="S338" s="116"/>
      <c r="T338" s="116"/>
      <c r="U338" s="103"/>
      <c r="V338" s="103"/>
      <c r="W338" s="103"/>
      <c r="X338" s="103"/>
      <c r="Y338" s="103"/>
      <c r="Z338" s="103"/>
      <c r="AA338" s="103"/>
    </row>
    <row r="339" spans="1:27">
      <c r="A339" s="155"/>
      <c r="B339" s="116"/>
      <c r="C339" s="116"/>
      <c r="D339" s="116"/>
      <c r="E339" s="116"/>
      <c r="F339" s="116"/>
      <c r="G339" s="116"/>
      <c r="H339" s="116"/>
      <c r="I339" s="116"/>
      <c r="J339" s="116"/>
      <c r="K339" s="116"/>
      <c r="L339" s="116"/>
      <c r="M339" s="116"/>
      <c r="N339" s="116"/>
      <c r="O339" s="116"/>
      <c r="P339" s="116"/>
      <c r="Q339" s="116"/>
      <c r="R339" s="116"/>
      <c r="S339" s="116"/>
      <c r="T339" s="116"/>
      <c r="U339" s="103"/>
      <c r="V339" s="103"/>
      <c r="W339" s="103"/>
      <c r="X339" s="103"/>
      <c r="Y339" s="103"/>
      <c r="Z339" s="103"/>
      <c r="AA339" s="103"/>
    </row>
    <row r="340" spans="1:27">
      <c r="A340" s="155"/>
      <c r="B340" s="116"/>
      <c r="C340" s="116"/>
      <c r="D340" s="116"/>
      <c r="E340" s="116"/>
      <c r="F340" s="116"/>
      <c r="G340" s="116"/>
      <c r="H340" s="116"/>
      <c r="I340" s="116"/>
      <c r="J340" s="116"/>
      <c r="K340" s="116"/>
      <c r="L340" s="116"/>
      <c r="M340" s="116"/>
      <c r="N340" s="116"/>
      <c r="O340" s="116"/>
      <c r="P340" s="116"/>
      <c r="Q340" s="116"/>
      <c r="R340" s="116"/>
      <c r="S340" s="116"/>
      <c r="T340" s="116"/>
      <c r="U340" s="103"/>
      <c r="V340" s="103"/>
      <c r="W340" s="103"/>
      <c r="X340" s="103"/>
      <c r="Y340" s="103"/>
      <c r="Z340" s="103"/>
      <c r="AA340" s="103"/>
    </row>
    <row r="341" spans="1:27">
      <c r="A341" s="155"/>
      <c r="B341" s="116"/>
      <c r="C341" s="116"/>
      <c r="D341" s="116"/>
      <c r="E341" s="116"/>
      <c r="F341" s="116"/>
      <c r="G341" s="116"/>
      <c r="H341" s="116"/>
      <c r="I341" s="116"/>
      <c r="J341" s="116"/>
      <c r="K341" s="116"/>
      <c r="L341" s="116"/>
      <c r="M341" s="116"/>
      <c r="N341" s="116"/>
      <c r="O341" s="116"/>
      <c r="P341" s="116"/>
      <c r="Q341" s="116"/>
      <c r="R341" s="116"/>
      <c r="S341" s="116"/>
      <c r="T341" s="116"/>
      <c r="U341" s="103"/>
      <c r="V341" s="103"/>
      <c r="W341" s="103"/>
      <c r="X341" s="103"/>
      <c r="Y341" s="103"/>
      <c r="Z341" s="103"/>
      <c r="AA341" s="103"/>
    </row>
    <row r="342" spans="1:27">
      <c r="A342" s="155"/>
      <c r="B342" s="116"/>
      <c r="C342" s="116"/>
      <c r="D342" s="116"/>
      <c r="E342" s="116"/>
      <c r="F342" s="116"/>
      <c r="G342" s="116"/>
      <c r="H342" s="116"/>
      <c r="I342" s="116"/>
      <c r="J342" s="116"/>
      <c r="K342" s="116"/>
      <c r="L342" s="116"/>
      <c r="M342" s="116"/>
      <c r="N342" s="116"/>
      <c r="O342" s="116"/>
      <c r="P342" s="116"/>
      <c r="Q342" s="116"/>
      <c r="R342" s="116"/>
      <c r="S342" s="116"/>
      <c r="T342" s="116"/>
      <c r="U342" s="103"/>
      <c r="V342" s="103"/>
      <c r="W342" s="103"/>
      <c r="X342" s="103"/>
      <c r="Y342" s="103"/>
      <c r="Z342" s="103"/>
      <c r="AA342" s="103"/>
    </row>
    <row r="343" spans="1:27">
      <c r="A343" s="155"/>
      <c r="B343" s="116"/>
      <c r="C343" s="116"/>
      <c r="D343" s="116"/>
      <c r="E343" s="116"/>
      <c r="F343" s="116"/>
      <c r="G343" s="116"/>
      <c r="H343" s="116"/>
      <c r="I343" s="116"/>
      <c r="J343" s="116"/>
      <c r="K343" s="116"/>
      <c r="L343" s="116"/>
      <c r="M343" s="116"/>
      <c r="N343" s="116"/>
      <c r="O343" s="116"/>
      <c r="P343" s="116"/>
      <c r="Q343" s="116"/>
      <c r="R343" s="116"/>
      <c r="S343" s="116"/>
      <c r="T343" s="116"/>
      <c r="U343" s="103"/>
      <c r="V343" s="103"/>
      <c r="W343" s="103"/>
      <c r="X343" s="103"/>
      <c r="Y343" s="103"/>
      <c r="Z343" s="103"/>
      <c r="AA343" s="103"/>
    </row>
    <row r="344" spans="1:27">
      <c r="A344" s="155"/>
      <c r="B344" s="116"/>
      <c r="C344" s="116"/>
      <c r="D344" s="116"/>
      <c r="E344" s="116"/>
      <c r="F344" s="116"/>
      <c r="G344" s="116"/>
      <c r="H344" s="116"/>
      <c r="I344" s="116"/>
      <c r="J344" s="116"/>
      <c r="K344" s="116"/>
      <c r="L344" s="116"/>
      <c r="M344" s="116"/>
      <c r="N344" s="116"/>
      <c r="O344" s="116"/>
      <c r="P344" s="116"/>
      <c r="Q344" s="116"/>
      <c r="R344" s="116"/>
      <c r="S344" s="116"/>
      <c r="T344" s="116"/>
      <c r="U344" s="103"/>
      <c r="V344" s="103"/>
      <c r="W344" s="103"/>
      <c r="X344" s="103"/>
      <c r="Y344" s="103"/>
      <c r="Z344" s="103"/>
      <c r="AA344" s="103"/>
    </row>
    <row r="345" spans="1:27">
      <c r="A345" s="155"/>
      <c r="B345" s="116"/>
      <c r="C345" s="116"/>
      <c r="D345" s="116"/>
      <c r="E345" s="116"/>
      <c r="F345" s="116"/>
      <c r="G345" s="116"/>
      <c r="H345" s="116"/>
      <c r="I345" s="116"/>
      <c r="J345" s="116"/>
      <c r="K345" s="116"/>
      <c r="L345" s="116"/>
      <c r="M345" s="116"/>
      <c r="N345" s="116"/>
      <c r="O345" s="116"/>
      <c r="P345" s="116"/>
      <c r="Q345" s="116"/>
      <c r="R345" s="116"/>
      <c r="S345" s="116"/>
      <c r="T345" s="116"/>
      <c r="U345" s="103"/>
      <c r="V345" s="103"/>
      <c r="W345" s="103"/>
      <c r="X345" s="103"/>
      <c r="Y345" s="103"/>
      <c r="Z345" s="103"/>
      <c r="AA345" s="103"/>
    </row>
    <row r="346" spans="1:27">
      <c r="A346" s="155"/>
      <c r="B346" s="116"/>
      <c r="C346" s="116"/>
      <c r="D346" s="116"/>
      <c r="E346" s="116"/>
      <c r="F346" s="116"/>
      <c r="G346" s="116"/>
      <c r="H346" s="116"/>
      <c r="I346" s="116"/>
      <c r="J346" s="116"/>
      <c r="K346" s="116"/>
      <c r="L346" s="116"/>
      <c r="M346" s="116"/>
      <c r="N346" s="116"/>
      <c r="O346" s="116"/>
      <c r="P346" s="116"/>
      <c r="Q346" s="116"/>
      <c r="R346" s="116"/>
      <c r="S346" s="116"/>
      <c r="T346" s="116"/>
      <c r="U346" s="103"/>
      <c r="V346" s="103"/>
      <c r="W346" s="103"/>
      <c r="X346" s="103"/>
      <c r="Y346" s="103"/>
      <c r="Z346" s="103"/>
      <c r="AA346" s="103"/>
    </row>
    <row r="347" spans="1:27">
      <c r="A347" s="155"/>
      <c r="B347" s="116"/>
      <c r="C347" s="116"/>
      <c r="D347" s="116"/>
      <c r="E347" s="116"/>
      <c r="F347" s="116"/>
      <c r="G347" s="116"/>
      <c r="H347" s="116"/>
      <c r="I347" s="116"/>
      <c r="J347" s="116"/>
      <c r="K347" s="116"/>
      <c r="L347" s="116"/>
      <c r="M347" s="116"/>
      <c r="N347" s="116"/>
      <c r="O347" s="116"/>
      <c r="P347" s="116"/>
      <c r="Q347" s="116"/>
      <c r="R347" s="116"/>
      <c r="S347" s="116"/>
      <c r="T347" s="116"/>
      <c r="U347" s="103"/>
      <c r="V347" s="103"/>
      <c r="W347" s="103"/>
      <c r="X347" s="103"/>
      <c r="Y347" s="103"/>
      <c r="Z347" s="103"/>
      <c r="AA347" s="103"/>
    </row>
    <row r="348" spans="1:27">
      <c r="A348" s="155"/>
      <c r="B348" s="116"/>
      <c r="C348" s="116"/>
      <c r="D348" s="116"/>
      <c r="E348" s="116"/>
      <c r="F348" s="116"/>
      <c r="G348" s="116"/>
      <c r="H348" s="116"/>
      <c r="I348" s="116"/>
      <c r="J348" s="116"/>
      <c r="K348" s="116"/>
      <c r="L348" s="116"/>
      <c r="M348" s="116"/>
      <c r="N348" s="116"/>
      <c r="O348" s="116"/>
      <c r="P348" s="116"/>
      <c r="Q348" s="116"/>
      <c r="R348" s="116"/>
      <c r="S348" s="116"/>
      <c r="T348" s="116"/>
      <c r="U348" s="103"/>
      <c r="V348" s="103"/>
      <c r="W348" s="103"/>
      <c r="X348" s="103"/>
      <c r="Y348" s="103"/>
      <c r="Z348" s="103"/>
      <c r="AA348" s="103"/>
    </row>
    <row r="349" spans="1:27">
      <c r="A349" s="155"/>
      <c r="B349" s="116"/>
      <c r="C349" s="116"/>
      <c r="D349" s="116"/>
      <c r="E349" s="116"/>
      <c r="F349" s="116"/>
      <c r="G349" s="116"/>
      <c r="H349" s="116"/>
      <c r="I349" s="116"/>
      <c r="J349" s="116"/>
      <c r="K349" s="116"/>
      <c r="L349" s="116"/>
      <c r="M349" s="116"/>
      <c r="N349" s="116"/>
      <c r="O349" s="116"/>
      <c r="P349" s="116"/>
      <c r="Q349" s="116"/>
      <c r="R349" s="116"/>
      <c r="S349" s="116"/>
      <c r="T349" s="116"/>
      <c r="U349" s="103"/>
      <c r="V349" s="103"/>
      <c r="W349" s="103"/>
      <c r="X349" s="103"/>
      <c r="Y349" s="103"/>
      <c r="Z349" s="103"/>
      <c r="AA349" s="103"/>
    </row>
    <row r="350" spans="1:27">
      <c r="A350" s="155"/>
      <c r="B350" s="116"/>
      <c r="C350" s="116"/>
      <c r="D350" s="116"/>
      <c r="E350" s="116"/>
      <c r="F350" s="116"/>
      <c r="G350" s="116"/>
      <c r="H350" s="116"/>
      <c r="I350" s="116"/>
      <c r="J350" s="116"/>
      <c r="K350" s="116"/>
      <c r="L350" s="116"/>
      <c r="M350" s="116"/>
      <c r="N350" s="116"/>
      <c r="O350" s="116"/>
      <c r="P350" s="116"/>
      <c r="Q350" s="116"/>
      <c r="R350" s="116"/>
      <c r="S350" s="116"/>
      <c r="T350" s="116"/>
      <c r="U350" s="103"/>
      <c r="V350" s="103"/>
      <c r="W350" s="103"/>
      <c r="X350" s="103"/>
      <c r="Y350" s="103"/>
      <c r="Z350" s="103"/>
      <c r="AA350" s="103"/>
    </row>
    <row r="351" spans="1:27">
      <c r="A351" s="155"/>
      <c r="B351" s="116"/>
      <c r="C351" s="116"/>
      <c r="D351" s="116"/>
      <c r="E351" s="116"/>
      <c r="F351" s="116"/>
      <c r="G351" s="116"/>
      <c r="H351" s="116"/>
      <c r="I351" s="116"/>
      <c r="J351" s="116"/>
      <c r="K351" s="116"/>
      <c r="L351" s="116"/>
      <c r="M351" s="116"/>
      <c r="N351" s="116"/>
      <c r="O351" s="116"/>
      <c r="P351" s="116"/>
      <c r="Q351" s="116"/>
      <c r="R351" s="116"/>
      <c r="S351" s="116"/>
      <c r="T351" s="116"/>
      <c r="U351" s="103"/>
      <c r="V351" s="103"/>
      <c r="W351" s="103"/>
      <c r="X351" s="103"/>
      <c r="Y351" s="103"/>
      <c r="Z351" s="103"/>
      <c r="AA351" s="103"/>
    </row>
    <row r="352" spans="1:27">
      <c r="A352" s="155"/>
      <c r="B352" s="116"/>
      <c r="C352" s="116"/>
      <c r="D352" s="116"/>
      <c r="E352" s="116"/>
      <c r="F352" s="116"/>
      <c r="G352" s="116"/>
      <c r="H352" s="116"/>
      <c r="I352" s="116"/>
      <c r="J352" s="116"/>
      <c r="K352" s="116"/>
      <c r="L352" s="116"/>
      <c r="M352" s="116"/>
      <c r="N352" s="116"/>
      <c r="O352" s="116"/>
      <c r="P352" s="116"/>
      <c r="Q352" s="116"/>
      <c r="R352" s="116"/>
      <c r="S352" s="116"/>
      <c r="T352" s="116"/>
      <c r="U352" s="103"/>
      <c r="V352" s="103"/>
      <c r="W352" s="103"/>
      <c r="X352" s="103"/>
      <c r="Y352" s="103"/>
      <c r="Z352" s="103"/>
      <c r="AA352" s="103"/>
    </row>
    <row r="353" spans="1:27">
      <c r="A353" s="155"/>
      <c r="B353" s="116"/>
      <c r="C353" s="116"/>
      <c r="D353" s="116"/>
      <c r="E353" s="116"/>
      <c r="F353" s="116"/>
      <c r="G353" s="116"/>
      <c r="H353" s="116"/>
      <c r="I353" s="116"/>
      <c r="J353" s="116"/>
      <c r="K353" s="116"/>
      <c r="L353" s="116"/>
      <c r="M353" s="116"/>
      <c r="N353" s="116"/>
      <c r="O353" s="116"/>
      <c r="P353" s="116"/>
      <c r="Q353" s="116"/>
      <c r="R353" s="116"/>
      <c r="S353" s="116"/>
      <c r="T353" s="116"/>
      <c r="U353" s="103"/>
      <c r="V353" s="103"/>
      <c r="W353" s="103"/>
      <c r="X353" s="103"/>
      <c r="Y353" s="103"/>
      <c r="Z353" s="103"/>
      <c r="AA353" s="103"/>
    </row>
    <row r="354" spans="1:27">
      <c r="A354" s="155"/>
      <c r="B354" s="116"/>
      <c r="C354" s="116"/>
      <c r="D354" s="116"/>
      <c r="E354" s="116"/>
      <c r="F354" s="116"/>
      <c r="G354" s="116"/>
      <c r="H354" s="116"/>
      <c r="I354" s="116"/>
      <c r="J354" s="116"/>
      <c r="K354" s="116"/>
      <c r="L354" s="116"/>
      <c r="M354" s="116"/>
      <c r="N354" s="116"/>
      <c r="O354" s="116"/>
      <c r="P354" s="116"/>
      <c r="Q354" s="116"/>
      <c r="R354" s="116"/>
      <c r="S354" s="116"/>
      <c r="T354" s="116"/>
      <c r="U354" s="103"/>
      <c r="V354" s="103"/>
      <c r="W354" s="103"/>
      <c r="X354" s="103"/>
      <c r="Y354" s="103"/>
      <c r="Z354" s="103"/>
      <c r="AA354" s="103"/>
    </row>
    <row r="355" spans="1:27">
      <c r="A355" s="155"/>
      <c r="B355" s="116"/>
      <c r="C355" s="116"/>
      <c r="D355" s="116"/>
      <c r="E355" s="116"/>
      <c r="F355" s="116"/>
      <c r="G355" s="116"/>
      <c r="H355" s="116"/>
      <c r="I355" s="116"/>
      <c r="J355" s="116"/>
      <c r="K355" s="116"/>
      <c r="L355" s="116"/>
      <c r="M355" s="116"/>
      <c r="N355" s="116"/>
      <c r="O355" s="116"/>
      <c r="P355" s="116"/>
      <c r="Q355" s="116"/>
      <c r="R355" s="116"/>
      <c r="S355" s="116"/>
      <c r="T355" s="116"/>
      <c r="U355" s="103"/>
      <c r="V355" s="103"/>
      <c r="W355" s="103"/>
      <c r="X355" s="103"/>
      <c r="Y355" s="103"/>
      <c r="Z355" s="103"/>
      <c r="AA355" s="103"/>
    </row>
    <row r="356" spans="1:27">
      <c r="A356" s="155"/>
      <c r="B356" s="116"/>
      <c r="C356" s="116"/>
      <c r="D356" s="116"/>
      <c r="E356" s="116"/>
      <c r="F356" s="116"/>
      <c r="G356" s="116"/>
      <c r="H356" s="116"/>
      <c r="I356" s="116"/>
      <c r="J356" s="116"/>
      <c r="K356" s="116"/>
      <c r="L356" s="116"/>
      <c r="M356" s="116"/>
      <c r="N356" s="116"/>
      <c r="O356" s="116"/>
      <c r="P356" s="116"/>
      <c r="Q356" s="116"/>
      <c r="R356" s="116"/>
      <c r="S356" s="116"/>
      <c r="T356" s="116"/>
      <c r="U356" s="103"/>
      <c r="V356" s="103"/>
      <c r="W356" s="103"/>
      <c r="X356" s="103"/>
      <c r="Y356" s="103"/>
      <c r="Z356" s="103"/>
      <c r="AA356" s="103"/>
    </row>
    <row r="357" spans="1:27">
      <c r="A357" s="155"/>
      <c r="B357" s="116"/>
      <c r="C357" s="116"/>
      <c r="D357" s="116"/>
      <c r="E357" s="116"/>
      <c r="F357" s="116"/>
      <c r="G357" s="116"/>
      <c r="H357" s="116"/>
      <c r="I357" s="116"/>
      <c r="J357" s="116"/>
      <c r="K357" s="116"/>
      <c r="L357" s="116"/>
      <c r="M357" s="116"/>
      <c r="N357" s="116"/>
      <c r="O357" s="116"/>
      <c r="P357" s="116"/>
      <c r="Q357" s="116"/>
      <c r="R357" s="116"/>
      <c r="S357" s="116"/>
      <c r="T357" s="116"/>
      <c r="U357" s="103"/>
      <c r="V357" s="103"/>
      <c r="W357" s="103"/>
      <c r="X357" s="103"/>
      <c r="Y357" s="103"/>
      <c r="Z357" s="103"/>
      <c r="AA357" s="103"/>
    </row>
    <row r="358" spans="1:27">
      <c r="A358" s="155"/>
      <c r="B358" s="116"/>
      <c r="C358" s="116"/>
      <c r="D358" s="116"/>
      <c r="E358" s="116"/>
      <c r="F358" s="116"/>
      <c r="G358" s="116"/>
      <c r="H358" s="116"/>
      <c r="I358" s="116"/>
      <c r="J358" s="116"/>
      <c r="K358" s="116"/>
      <c r="L358" s="116"/>
      <c r="M358" s="116"/>
      <c r="N358" s="116"/>
      <c r="O358" s="116"/>
      <c r="P358" s="116"/>
      <c r="Q358" s="116"/>
      <c r="R358" s="116"/>
      <c r="S358" s="116"/>
      <c r="T358" s="116"/>
      <c r="U358" s="103"/>
      <c r="V358" s="103"/>
      <c r="W358" s="103"/>
      <c r="X358" s="103"/>
      <c r="Y358" s="103"/>
      <c r="Z358" s="103"/>
      <c r="AA358" s="103"/>
    </row>
    <row r="359" spans="1:27">
      <c r="A359" s="155"/>
      <c r="B359" s="116"/>
      <c r="C359" s="116"/>
      <c r="D359" s="116"/>
      <c r="E359" s="116"/>
      <c r="F359" s="116"/>
      <c r="G359" s="116"/>
      <c r="H359" s="116"/>
      <c r="I359" s="116"/>
      <c r="J359" s="116"/>
      <c r="K359" s="116"/>
      <c r="L359" s="116"/>
      <c r="M359" s="116"/>
      <c r="N359" s="116"/>
      <c r="O359" s="116"/>
      <c r="P359" s="116"/>
      <c r="Q359" s="116"/>
      <c r="R359" s="116"/>
      <c r="S359" s="116"/>
      <c r="T359" s="116"/>
      <c r="U359" s="103"/>
      <c r="V359" s="103"/>
      <c r="W359" s="103"/>
      <c r="X359" s="103"/>
      <c r="Y359" s="103"/>
      <c r="Z359" s="103"/>
      <c r="AA359" s="103"/>
    </row>
    <row r="360" spans="1:27">
      <c r="A360" s="155"/>
      <c r="B360" s="116"/>
      <c r="C360" s="116"/>
      <c r="D360" s="116"/>
      <c r="E360" s="116"/>
      <c r="F360" s="116"/>
      <c r="G360" s="116"/>
      <c r="H360" s="116"/>
      <c r="I360" s="116"/>
      <c r="J360" s="116"/>
      <c r="K360" s="116"/>
      <c r="L360" s="116"/>
      <c r="M360" s="116"/>
      <c r="N360" s="116"/>
      <c r="O360" s="116"/>
      <c r="P360" s="116"/>
      <c r="Q360" s="116"/>
      <c r="R360" s="116"/>
      <c r="S360" s="116"/>
      <c r="T360" s="116"/>
      <c r="U360" s="103"/>
      <c r="V360" s="103"/>
      <c r="W360" s="103"/>
      <c r="X360" s="103"/>
      <c r="Y360" s="103"/>
      <c r="Z360" s="103"/>
      <c r="AA360" s="103"/>
    </row>
    <row r="361" spans="1:27">
      <c r="A361" s="155"/>
      <c r="B361" s="116"/>
      <c r="C361" s="116"/>
      <c r="D361" s="116"/>
      <c r="E361" s="116"/>
      <c r="F361" s="116"/>
      <c r="G361" s="116"/>
      <c r="H361" s="116"/>
      <c r="I361" s="116"/>
      <c r="J361" s="116"/>
      <c r="K361" s="116"/>
      <c r="L361" s="116"/>
      <c r="M361" s="116"/>
      <c r="N361" s="116"/>
      <c r="O361" s="116"/>
      <c r="P361" s="116"/>
      <c r="Q361" s="116"/>
      <c r="R361" s="116"/>
      <c r="S361" s="116"/>
      <c r="T361" s="116"/>
      <c r="U361" s="103"/>
      <c r="V361" s="103"/>
      <c r="W361" s="103"/>
      <c r="X361" s="103"/>
      <c r="Y361" s="103"/>
      <c r="Z361" s="103"/>
      <c r="AA361" s="103"/>
    </row>
    <row r="362" spans="1:27">
      <c r="A362" s="155"/>
      <c r="B362" s="116"/>
      <c r="C362" s="116"/>
      <c r="D362" s="116"/>
      <c r="E362" s="116"/>
      <c r="F362" s="116"/>
      <c r="G362" s="116"/>
      <c r="H362" s="116"/>
      <c r="I362" s="116"/>
      <c r="J362" s="116"/>
      <c r="K362" s="116"/>
      <c r="L362" s="116"/>
      <c r="M362" s="116"/>
      <c r="N362" s="116"/>
      <c r="O362" s="116"/>
      <c r="P362" s="116"/>
      <c r="Q362" s="116"/>
      <c r="R362" s="116"/>
      <c r="S362" s="116"/>
      <c r="T362" s="116"/>
      <c r="U362" s="103"/>
      <c r="V362" s="103"/>
      <c r="W362" s="103"/>
      <c r="X362" s="103"/>
      <c r="Y362" s="103"/>
      <c r="Z362" s="103"/>
      <c r="AA362" s="103"/>
    </row>
    <row r="363" spans="1:27">
      <c r="A363" s="155"/>
      <c r="B363" s="116"/>
      <c r="C363" s="116"/>
      <c r="D363" s="116"/>
      <c r="E363" s="116"/>
      <c r="F363" s="116"/>
      <c r="G363" s="116"/>
      <c r="H363" s="116"/>
      <c r="I363" s="116"/>
      <c r="J363" s="116"/>
      <c r="K363" s="116"/>
      <c r="L363" s="116"/>
      <c r="M363" s="116"/>
      <c r="N363" s="116"/>
      <c r="O363" s="116"/>
      <c r="P363" s="116"/>
      <c r="Q363" s="116"/>
      <c r="R363" s="116"/>
      <c r="S363" s="116"/>
      <c r="T363" s="116"/>
      <c r="U363" s="103"/>
      <c r="V363" s="103"/>
      <c r="W363" s="103"/>
      <c r="X363" s="103"/>
      <c r="Y363" s="103"/>
      <c r="Z363" s="103"/>
      <c r="AA363" s="103"/>
    </row>
    <row r="364" spans="1:27">
      <c r="A364" s="155"/>
      <c r="B364" s="116"/>
      <c r="C364" s="116"/>
      <c r="D364" s="116"/>
      <c r="E364" s="116"/>
      <c r="F364" s="116"/>
      <c r="G364" s="116"/>
      <c r="H364" s="116"/>
      <c r="I364" s="116"/>
      <c r="J364" s="116"/>
      <c r="K364" s="116"/>
      <c r="L364" s="116"/>
      <c r="M364" s="116"/>
      <c r="N364" s="116"/>
      <c r="O364" s="116"/>
      <c r="P364" s="116"/>
      <c r="Q364" s="116"/>
      <c r="R364" s="116"/>
      <c r="S364" s="116"/>
      <c r="T364" s="116"/>
      <c r="U364" s="103"/>
      <c r="V364" s="103"/>
      <c r="W364" s="103"/>
      <c r="X364" s="103"/>
      <c r="Y364" s="103"/>
      <c r="Z364" s="103"/>
      <c r="AA364" s="103"/>
    </row>
    <row r="365" spans="1:27">
      <c r="A365" s="155"/>
      <c r="B365" s="116"/>
      <c r="C365" s="116"/>
      <c r="D365" s="116"/>
      <c r="E365" s="116"/>
      <c r="F365" s="116"/>
      <c r="G365" s="116"/>
      <c r="H365" s="116"/>
      <c r="I365" s="116"/>
      <c r="J365" s="116"/>
      <c r="K365" s="116"/>
      <c r="L365" s="116"/>
      <c r="M365" s="116"/>
      <c r="N365" s="116"/>
      <c r="O365" s="116"/>
      <c r="P365" s="116"/>
      <c r="Q365" s="116"/>
      <c r="R365" s="116"/>
      <c r="S365" s="116"/>
      <c r="T365" s="116"/>
      <c r="U365" s="103"/>
      <c r="V365" s="103"/>
      <c r="W365" s="103"/>
      <c r="X365" s="103"/>
      <c r="Y365" s="103"/>
      <c r="Z365" s="103"/>
      <c r="AA365" s="103"/>
    </row>
    <row r="366" spans="1:27">
      <c r="A366" s="155"/>
      <c r="B366" s="116"/>
      <c r="C366" s="116"/>
      <c r="D366" s="116"/>
      <c r="E366" s="116"/>
      <c r="F366" s="116"/>
      <c r="G366" s="116"/>
      <c r="H366" s="116"/>
      <c r="I366" s="116"/>
      <c r="J366" s="116"/>
      <c r="K366" s="116"/>
      <c r="L366" s="116"/>
      <c r="M366" s="116"/>
      <c r="N366" s="116"/>
      <c r="O366" s="116"/>
      <c r="P366" s="116"/>
      <c r="Q366" s="116"/>
      <c r="R366" s="116"/>
      <c r="S366" s="116"/>
      <c r="T366" s="116"/>
      <c r="U366" s="103"/>
      <c r="V366" s="103"/>
      <c r="W366" s="103"/>
      <c r="X366" s="103"/>
      <c r="Y366" s="103"/>
      <c r="Z366" s="103"/>
      <c r="AA366" s="103"/>
    </row>
    <row r="367" spans="1:27">
      <c r="A367" s="155"/>
      <c r="B367" s="116"/>
      <c r="C367" s="116"/>
      <c r="D367" s="116"/>
      <c r="E367" s="116"/>
      <c r="F367" s="116"/>
      <c r="G367" s="116"/>
      <c r="H367" s="116"/>
      <c r="I367" s="116"/>
      <c r="J367" s="116"/>
      <c r="K367" s="116"/>
      <c r="L367" s="116"/>
      <c r="M367" s="116"/>
      <c r="N367" s="116"/>
      <c r="O367" s="116"/>
      <c r="P367" s="116"/>
      <c r="Q367" s="116"/>
      <c r="R367" s="116"/>
      <c r="S367" s="116"/>
      <c r="T367" s="116"/>
      <c r="U367" s="103"/>
      <c r="V367" s="103"/>
      <c r="W367" s="103"/>
      <c r="X367" s="103"/>
      <c r="Y367" s="103"/>
      <c r="Z367" s="103"/>
      <c r="AA367" s="103"/>
    </row>
    <row r="368" spans="1:27">
      <c r="A368" s="155"/>
      <c r="B368" s="116"/>
      <c r="C368" s="116"/>
      <c r="D368" s="116"/>
      <c r="E368" s="116"/>
      <c r="F368" s="116"/>
      <c r="G368" s="116"/>
      <c r="H368" s="116"/>
      <c r="I368" s="116"/>
      <c r="J368" s="116"/>
      <c r="K368" s="116"/>
      <c r="L368" s="116"/>
      <c r="M368" s="116"/>
      <c r="N368" s="116"/>
      <c r="O368" s="116"/>
      <c r="P368" s="116"/>
      <c r="Q368" s="116"/>
      <c r="R368" s="116"/>
      <c r="S368" s="116"/>
      <c r="T368" s="116"/>
      <c r="U368" s="103"/>
      <c r="V368" s="103"/>
      <c r="W368" s="103"/>
      <c r="X368" s="103"/>
      <c r="Y368" s="103"/>
      <c r="Z368" s="103"/>
      <c r="AA368" s="103"/>
    </row>
    <row r="369" spans="1:27">
      <c r="A369" s="155"/>
      <c r="B369" s="116"/>
      <c r="C369" s="116"/>
      <c r="D369" s="116"/>
      <c r="E369" s="116"/>
      <c r="F369" s="116"/>
      <c r="G369" s="116"/>
      <c r="H369" s="116"/>
      <c r="I369" s="116"/>
      <c r="J369" s="116"/>
      <c r="K369" s="116"/>
      <c r="L369" s="116"/>
      <c r="M369" s="116"/>
      <c r="N369" s="116"/>
      <c r="O369" s="116"/>
      <c r="P369" s="116"/>
      <c r="Q369" s="116"/>
      <c r="R369" s="116"/>
      <c r="S369" s="116"/>
      <c r="T369" s="116"/>
      <c r="U369" s="103"/>
      <c r="V369" s="103"/>
      <c r="W369" s="103"/>
      <c r="X369" s="103"/>
      <c r="Y369" s="103"/>
      <c r="Z369" s="103"/>
      <c r="AA369" s="103"/>
    </row>
    <row r="370" spans="1:27">
      <c r="A370" s="155"/>
      <c r="B370" s="116"/>
      <c r="C370" s="116"/>
      <c r="D370" s="116"/>
      <c r="E370" s="116"/>
      <c r="F370" s="116"/>
      <c r="G370" s="116"/>
      <c r="H370" s="116"/>
      <c r="I370" s="116"/>
      <c r="J370" s="116"/>
      <c r="K370" s="116"/>
      <c r="L370" s="116"/>
      <c r="M370" s="116"/>
      <c r="N370" s="116"/>
      <c r="O370" s="116"/>
      <c r="P370" s="116"/>
      <c r="Q370" s="116"/>
      <c r="R370" s="116"/>
      <c r="S370" s="116"/>
      <c r="T370" s="116"/>
      <c r="U370" s="103"/>
      <c r="V370" s="103"/>
      <c r="W370" s="103"/>
      <c r="X370" s="103"/>
      <c r="Y370" s="103"/>
      <c r="Z370" s="103"/>
      <c r="AA370" s="103"/>
    </row>
    <row r="371" spans="1:27">
      <c r="A371" s="155"/>
      <c r="B371" s="116"/>
      <c r="C371" s="116"/>
      <c r="D371" s="116"/>
      <c r="E371" s="116"/>
      <c r="F371" s="116"/>
      <c r="G371" s="116"/>
      <c r="H371" s="116"/>
      <c r="I371" s="116"/>
      <c r="J371" s="116"/>
      <c r="K371" s="116"/>
      <c r="L371" s="116"/>
      <c r="M371" s="116"/>
      <c r="N371" s="116"/>
      <c r="O371" s="116"/>
      <c r="P371" s="116"/>
      <c r="Q371" s="116"/>
      <c r="R371" s="116"/>
      <c r="S371" s="116"/>
      <c r="T371" s="116"/>
      <c r="U371" s="103"/>
      <c r="V371" s="103"/>
      <c r="W371" s="103"/>
      <c r="X371" s="103"/>
      <c r="Y371" s="103"/>
      <c r="Z371" s="103"/>
      <c r="AA371" s="103"/>
    </row>
    <row r="372" spans="1:27">
      <c r="A372" s="155"/>
      <c r="B372" s="116"/>
      <c r="C372" s="116"/>
      <c r="D372" s="116"/>
      <c r="E372" s="116"/>
      <c r="F372" s="116"/>
      <c r="G372" s="116"/>
      <c r="H372" s="116"/>
      <c r="I372" s="116"/>
      <c r="J372" s="116"/>
      <c r="K372" s="116"/>
      <c r="L372" s="116"/>
      <c r="M372" s="116"/>
      <c r="N372" s="116"/>
      <c r="O372" s="116"/>
      <c r="P372" s="116"/>
      <c r="Q372" s="116"/>
      <c r="R372" s="116"/>
      <c r="S372" s="116"/>
      <c r="T372" s="116"/>
      <c r="U372" s="103"/>
      <c r="V372" s="103"/>
      <c r="W372" s="103"/>
      <c r="X372" s="103"/>
      <c r="Y372" s="103"/>
      <c r="Z372" s="103"/>
      <c r="AA372" s="103"/>
    </row>
    <row r="373" spans="1:27">
      <c r="A373" s="155"/>
      <c r="B373" s="116"/>
      <c r="C373" s="116"/>
      <c r="D373" s="116"/>
      <c r="E373" s="116"/>
      <c r="F373" s="116"/>
      <c r="G373" s="116"/>
      <c r="H373" s="116"/>
      <c r="I373" s="116"/>
      <c r="J373" s="116"/>
      <c r="K373" s="116"/>
      <c r="L373" s="116"/>
      <c r="M373" s="116"/>
      <c r="N373" s="116"/>
      <c r="O373" s="116"/>
      <c r="P373" s="116"/>
      <c r="Q373" s="116"/>
      <c r="R373" s="116"/>
      <c r="S373" s="116"/>
      <c r="T373" s="116"/>
      <c r="U373" s="103"/>
      <c r="V373" s="103"/>
      <c r="W373" s="103"/>
      <c r="X373" s="103"/>
      <c r="Y373" s="103"/>
      <c r="Z373" s="103"/>
      <c r="AA373" s="103"/>
    </row>
    <row r="374" spans="1:27">
      <c r="A374" s="155"/>
      <c r="B374" s="116"/>
      <c r="C374" s="116"/>
      <c r="D374" s="116"/>
      <c r="E374" s="116"/>
      <c r="F374" s="116"/>
      <c r="G374" s="116"/>
      <c r="H374" s="116"/>
      <c r="I374" s="116"/>
      <c r="J374" s="116"/>
      <c r="K374" s="116"/>
      <c r="L374" s="116"/>
      <c r="M374" s="116"/>
      <c r="N374" s="116"/>
      <c r="O374" s="116"/>
      <c r="P374" s="116"/>
      <c r="Q374" s="116"/>
      <c r="R374" s="116"/>
      <c r="S374" s="116"/>
      <c r="T374" s="116"/>
      <c r="U374" s="103"/>
      <c r="V374" s="103"/>
      <c r="W374" s="103"/>
      <c r="X374" s="103"/>
      <c r="Y374" s="103"/>
      <c r="Z374" s="103"/>
      <c r="AA374" s="103"/>
    </row>
    <row r="375" spans="1:27">
      <c r="A375" s="155"/>
      <c r="B375" s="116"/>
      <c r="C375" s="116"/>
      <c r="D375" s="116"/>
      <c r="E375" s="116"/>
      <c r="F375" s="116"/>
      <c r="G375" s="116"/>
      <c r="H375" s="116"/>
      <c r="I375" s="116"/>
      <c r="J375" s="116"/>
      <c r="K375" s="116"/>
      <c r="L375" s="116"/>
      <c r="M375" s="116"/>
      <c r="N375" s="116"/>
      <c r="O375" s="116"/>
      <c r="P375" s="116"/>
      <c r="Q375" s="116"/>
      <c r="R375" s="116"/>
      <c r="S375" s="116"/>
      <c r="T375" s="116"/>
      <c r="U375" s="103"/>
      <c r="V375" s="103"/>
      <c r="W375" s="103"/>
      <c r="X375" s="103"/>
      <c r="Y375" s="103"/>
      <c r="Z375" s="103"/>
      <c r="AA375" s="103"/>
    </row>
    <row r="376" spans="1:27">
      <c r="A376" s="155"/>
      <c r="B376" s="116"/>
      <c r="C376" s="116"/>
      <c r="D376" s="116"/>
      <c r="E376" s="116"/>
      <c r="F376" s="116"/>
      <c r="G376" s="116"/>
      <c r="H376" s="116"/>
      <c r="I376" s="116"/>
      <c r="J376" s="116"/>
      <c r="K376" s="116"/>
      <c r="L376" s="116"/>
      <c r="M376" s="116"/>
      <c r="N376" s="116"/>
      <c r="O376" s="116"/>
      <c r="P376" s="116"/>
      <c r="Q376" s="116"/>
      <c r="R376" s="116"/>
      <c r="S376" s="116"/>
      <c r="T376" s="116"/>
      <c r="U376" s="103"/>
      <c r="V376" s="103"/>
      <c r="W376" s="103"/>
      <c r="X376" s="103"/>
      <c r="Y376" s="103"/>
      <c r="Z376" s="103"/>
      <c r="AA376" s="103"/>
    </row>
    <row r="377" spans="1:27">
      <c r="A377" s="155"/>
      <c r="B377" s="116"/>
      <c r="C377" s="116"/>
      <c r="D377" s="116"/>
      <c r="E377" s="116"/>
      <c r="F377" s="116"/>
      <c r="G377" s="116"/>
      <c r="H377" s="116"/>
      <c r="I377" s="116"/>
      <c r="J377" s="116"/>
      <c r="K377" s="116"/>
      <c r="L377" s="116"/>
      <c r="M377" s="116"/>
      <c r="N377" s="116"/>
      <c r="O377" s="116"/>
      <c r="P377" s="116"/>
      <c r="Q377" s="116"/>
      <c r="R377" s="116"/>
      <c r="S377" s="116"/>
      <c r="T377" s="116"/>
      <c r="U377" s="103"/>
      <c r="V377" s="103"/>
      <c r="W377" s="103"/>
      <c r="X377" s="103"/>
      <c r="Y377" s="103"/>
      <c r="Z377" s="103"/>
      <c r="AA377" s="103"/>
    </row>
    <row r="378" spans="1:27">
      <c r="A378" s="155"/>
      <c r="B378" s="116"/>
      <c r="C378" s="116"/>
      <c r="D378" s="116"/>
      <c r="E378" s="116"/>
      <c r="F378" s="116"/>
      <c r="G378" s="116"/>
      <c r="H378" s="116"/>
      <c r="I378" s="116"/>
      <c r="J378" s="116"/>
      <c r="K378" s="116"/>
      <c r="L378" s="116"/>
      <c r="M378" s="116"/>
      <c r="N378" s="116"/>
      <c r="O378" s="116"/>
      <c r="P378" s="116"/>
      <c r="Q378" s="116"/>
      <c r="R378" s="116"/>
      <c r="S378" s="116"/>
      <c r="T378" s="116"/>
      <c r="U378" s="103"/>
      <c r="V378" s="103"/>
      <c r="W378" s="103"/>
      <c r="X378" s="103"/>
      <c r="Y378" s="103"/>
      <c r="Z378" s="103"/>
      <c r="AA378" s="103"/>
    </row>
    <row r="379" spans="1:27">
      <c r="A379" s="155"/>
      <c r="B379" s="116"/>
      <c r="C379" s="116"/>
      <c r="D379" s="116"/>
      <c r="E379" s="116"/>
      <c r="F379" s="116"/>
      <c r="G379" s="116"/>
      <c r="H379" s="116"/>
      <c r="I379" s="116"/>
      <c r="J379" s="116"/>
      <c r="K379" s="116"/>
      <c r="L379" s="116"/>
      <c r="M379" s="116"/>
      <c r="N379" s="116"/>
      <c r="O379" s="116"/>
      <c r="P379" s="116"/>
      <c r="Q379" s="116"/>
      <c r="R379" s="116"/>
      <c r="S379" s="116"/>
      <c r="T379" s="116"/>
      <c r="U379" s="103"/>
      <c r="V379" s="103"/>
      <c r="W379" s="103"/>
      <c r="X379" s="103"/>
      <c r="Y379" s="103"/>
      <c r="Z379" s="103"/>
      <c r="AA379" s="103"/>
    </row>
    <row r="380" spans="1:27">
      <c r="A380" s="155"/>
      <c r="B380" s="116"/>
      <c r="C380" s="116"/>
      <c r="D380" s="116"/>
      <c r="E380" s="116"/>
      <c r="F380" s="116"/>
      <c r="G380" s="116"/>
      <c r="H380" s="116"/>
      <c r="I380" s="116"/>
      <c r="J380" s="116"/>
      <c r="K380" s="116"/>
      <c r="L380" s="116"/>
      <c r="M380" s="116"/>
      <c r="N380" s="116"/>
      <c r="O380" s="116"/>
      <c r="P380" s="116"/>
      <c r="Q380" s="116"/>
      <c r="R380" s="116"/>
      <c r="S380" s="116"/>
      <c r="T380" s="116"/>
      <c r="U380" s="103"/>
      <c r="V380" s="103"/>
      <c r="W380" s="103"/>
      <c r="X380" s="103"/>
      <c r="Y380" s="103"/>
      <c r="Z380" s="103"/>
      <c r="AA380" s="103"/>
    </row>
    <row r="381" spans="1:27">
      <c r="A381" s="155"/>
      <c r="B381" s="116"/>
      <c r="C381" s="116"/>
      <c r="D381" s="116"/>
      <c r="E381" s="116"/>
      <c r="F381" s="116"/>
      <c r="G381" s="116"/>
      <c r="H381" s="116"/>
      <c r="I381" s="116"/>
      <c r="J381" s="116"/>
      <c r="K381" s="116"/>
      <c r="L381" s="116"/>
      <c r="M381" s="116"/>
      <c r="N381" s="116"/>
      <c r="O381" s="116"/>
      <c r="P381" s="116"/>
      <c r="Q381" s="116"/>
      <c r="R381" s="116"/>
      <c r="S381" s="116"/>
      <c r="T381" s="116"/>
      <c r="U381" s="103"/>
      <c r="V381" s="103"/>
      <c r="W381" s="103"/>
      <c r="X381" s="103"/>
      <c r="Y381" s="103"/>
      <c r="Z381" s="103"/>
      <c r="AA381" s="103"/>
    </row>
    <row r="382" spans="1:27">
      <c r="A382" s="155"/>
      <c r="B382" s="116"/>
      <c r="C382" s="116"/>
      <c r="D382" s="116"/>
      <c r="E382" s="116"/>
      <c r="F382" s="116"/>
      <c r="G382" s="116"/>
      <c r="H382" s="116"/>
      <c r="I382" s="116"/>
      <c r="J382" s="116"/>
      <c r="K382" s="116"/>
      <c r="L382" s="116"/>
      <c r="M382" s="116"/>
      <c r="N382" s="116"/>
      <c r="O382" s="116"/>
      <c r="P382" s="116"/>
      <c r="Q382" s="116"/>
      <c r="R382" s="116"/>
      <c r="S382" s="116"/>
      <c r="T382" s="116"/>
      <c r="U382" s="103"/>
      <c r="V382" s="103"/>
      <c r="W382" s="103"/>
      <c r="X382" s="103"/>
      <c r="Y382" s="103"/>
      <c r="Z382" s="103"/>
      <c r="AA382" s="103"/>
    </row>
    <row r="383" spans="1:27">
      <c r="A383" s="155"/>
      <c r="B383" s="116"/>
      <c r="C383" s="116"/>
      <c r="D383" s="116"/>
      <c r="E383" s="116"/>
      <c r="F383" s="116"/>
      <c r="G383" s="116"/>
      <c r="H383" s="116"/>
      <c r="I383" s="116"/>
      <c r="J383" s="116"/>
      <c r="K383" s="116"/>
      <c r="L383" s="116"/>
      <c r="M383" s="116"/>
      <c r="N383" s="116"/>
      <c r="O383" s="116"/>
      <c r="P383" s="116"/>
      <c r="Q383" s="116"/>
      <c r="R383" s="116"/>
      <c r="S383" s="116"/>
      <c r="T383" s="116"/>
      <c r="U383" s="103"/>
      <c r="V383" s="103"/>
      <c r="W383" s="103"/>
      <c r="X383" s="103"/>
      <c r="Y383" s="103"/>
      <c r="Z383" s="103"/>
      <c r="AA383" s="103"/>
    </row>
    <row r="384" spans="1:27">
      <c r="A384" s="155"/>
      <c r="B384" s="116"/>
      <c r="C384" s="116"/>
      <c r="D384" s="116"/>
      <c r="E384" s="116"/>
      <c r="F384" s="116"/>
      <c r="G384" s="116"/>
      <c r="H384" s="116"/>
      <c r="I384" s="116"/>
      <c r="J384" s="116"/>
      <c r="K384" s="116"/>
      <c r="L384" s="116"/>
      <c r="M384" s="116"/>
      <c r="N384" s="116"/>
      <c r="O384" s="116"/>
      <c r="P384" s="116"/>
      <c r="Q384" s="116"/>
      <c r="R384" s="116"/>
      <c r="S384" s="116"/>
      <c r="T384" s="116"/>
      <c r="U384" s="103"/>
      <c r="V384" s="103"/>
      <c r="W384" s="103"/>
      <c r="X384" s="103"/>
      <c r="Y384" s="103"/>
      <c r="Z384" s="103"/>
      <c r="AA384" s="103"/>
    </row>
    <row r="385" spans="1:27">
      <c r="A385" s="155"/>
      <c r="B385" s="116"/>
      <c r="C385" s="116"/>
      <c r="D385" s="116"/>
      <c r="E385" s="116"/>
      <c r="F385" s="116"/>
      <c r="G385" s="116"/>
      <c r="H385" s="116"/>
      <c r="I385" s="116"/>
      <c r="J385" s="116"/>
      <c r="K385" s="116"/>
      <c r="L385" s="116"/>
      <c r="M385" s="116"/>
      <c r="N385" s="116"/>
      <c r="O385" s="116"/>
      <c r="P385" s="116"/>
      <c r="Q385" s="116"/>
      <c r="R385" s="116"/>
      <c r="S385" s="116"/>
      <c r="T385" s="116"/>
      <c r="U385" s="103"/>
      <c r="V385" s="103"/>
      <c r="W385" s="103"/>
      <c r="X385" s="103"/>
      <c r="Y385" s="103"/>
      <c r="Z385" s="103"/>
      <c r="AA385" s="103"/>
    </row>
    <row r="386" spans="1:27">
      <c r="A386" s="155"/>
      <c r="B386" s="116"/>
      <c r="C386" s="116"/>
      <c r="D386" s="116"/>
      <c r="E386" s="116"/>
      <c r="F386" s="116"/>
      <c r="G386" s="116"/>
      <c r="H386" s="116"/>
      <c r="I386" s="116"/>
      <c r="J386" s="116"/>
      <c r="K386" s="116"/>
      <c r="L386" s="116"/>
      <c r="M386" s="116"/>
      <c r="N386" s="116"/>
      <c r="O386" s="116"/>
      <c r="P386" s="116"/>
      <c r="Q386" s="116"/>
      <c r="R386" s="116"/>
      <c r="S386" s="116"/>
      <c r="T386" s="116"/>
      <c r="U386" s="103"/>
      <c r="V386" s="103"/>
      <c r="W386" s="103"/>
      <c r="X386" s="103"/>
      <c r="Y386" s="103"/>
      <c r="Z386" s="103"/>
      <c r="AA386" s="103"/>
    </row>
    <row r="387" spans="1:27">
      <c r="A387" s="155"/>
      <c r="B387" s="116"/>
      <c r="C387" s="116"/>
      <c r="D387" s="116"/>
      <c r="E387" s="116"/>
      <c r="F387" s="116"/>
      <c r="G387" s="116"/>
      <c r="H387" s="116"/>
      <c r="I387" s="116"/>
      <c r="J387" s="116"/>
      <c r="K387" s="116"/>
      <c r="L387" s="116"/>
      <c r="M387" s="116"/>
      <c r="N387" s="116"/>
      <c r="O387" s="116"/>
      <c r="P387" s="116"/>
      <c r="Q387" s="116"/>
      <c r="R387" s="116"/>
      <c r="S387" s="116"/>
      <c r="T387" s="116"/>
      <c r="U387" s="103"/>
      <c r="V387" s="103"/>
      <c r="W387" s="103"/>
      <c r="X387" s="103"/>
      <c r="Y387" s="103"/>
      <c r="Z387" s="103"/>
      <c r="AA387" s="103"/>
    </row>
    <row r="388" spans="1:27">
      <c r="A388" s="155"/>
      <c r="B388" s="116"/>
      <c r="C388" s="116"/>
      <c r="D388" s="116"/>
      <c r="E388" s="116"/>
      <c r="F388" s="116"/>
      <c r="G388" s="116"/>
      <c r="H388" s="116"/>
      <c r="I388" s="116"/>
      <c r="J388" s="116"/>
      <c r="K388" s="116"/>
      <c r="L388" s="116"/>
      <c r="M388" s="116"/>
      <c r="N388" s="116"/>
      <c r="O388" s="116"/>
      <c r="P388" s="116"/>
      <c r="Q388" s="116"/>
      <c r="R388" s="116"/>
      <c r="S388" s="116"/>
      <c r="T388" s="116"/>
      <c r="U388" s="103"/>
      <c r="V388" s="103"/>
      <c r="W388" s="103"/>
      <c r="X388" s="103"/>
      <c r="Y388" s="103"/>
      <c r="Z388" s="103"/>
      <c r="AA388" s="103"/>
    </row>
    <row r="389" spans="1:27">
      <c r="A389" s="155"/>
      <c r="B389" s="116"/>
      <c r="C389" s="116"/>
      <c r="D389" s="116"/>
      <c r="E389" s="116"/>
      <c r="F389" s="116"/>
      <c r="G389" s="116"/>
      <c r="H389" s="116"/>
      <c r="I389" s="116"/>
      <c r="J389" s="116"/>
      <c r="K389" s="116"/>
      <c r="L389" s="116"/>
      <c r="M389" s="116"/>
      <c r="N389" s="116"/>
      <c r="O389" s="116"/>
      <c r="P389" s="116"/>
      <c r="Q389" s="116"/>
      <c r="R389" s="116"/>
      <c r="S389" s="116"/>
      <c r="T389" s="116"/>
      <c r="U389" s="103"/>
      <c r="V389" s="103"/>
      <c r="W389" s="103"/>
      <c r="X389" s="103"/>
      <c r="Y389" s="103"/>
      <c r="Z389" s="103"/>
      <c r="AA389" s="103"/>
    </row>
    <row r="390" spans="1:27">
      <c r="A390" s="155"/>
      <c r="B390" s="116"/>
      <c r="C390" s="116"/>
      <c r="D390" s="116"/>
      <c r="E390" s="116"/>
      <c r="F390" s="116"/>
      <c r="G390" s="116"/>
      <c r="H390" s="116"/>
      <c r="I390" s="116"/>
      <c r="J390" s="116"/>
      <c r="K390" s="116"/>
      <c r="L390" s="116"/>
      <c r="M390" s="116"/>
      <c r="N390" s="116"/>
      <c r="O390" s="116"/>
      <c r="P390" s="116"/>
      <c r="Q390" s="116"/>
      <c r="R390" s="116"/>
      <c r="S390" s="116"/>
      <c r="T390" s="116"/>
      <c r="U390" s="103"/>
      <c r="V390" s="103"/>
      <c r="W390" s="103"/>
      <c r="X390" s="103"/>
      <c r="Y390" s="103"/>
      <c r="Z390" s="103"/>
      <c r="AA390" s="103"/>
    </row>
    <row r="391" spans="1:27">
      <c r="A391" s="155"/>
      <c r="B391" s="116"/>
      <c r="C391" s="116"/>
      <c r="D391" s="116"/>
      <c r="E391" s="116"/>
      <c r="F391" s="116"/>
      <c r="G391" s="116"/>
      <c r="H391" s="116"/>
      <c r="I391" s="116"/>
      <c r="J391" s="116"/>
      <c r="K391" s="116"/>
      <c r="L391" s="116"/>
      <c r="M391" s="116"/>
      <c r="N391" s="116"/>
      <c r="O391" s="116"/>
      <c r="P391" s="116"/>
      <c r="Q391" s="116"/>
      <c r="R391" s="116"/>
      <c r="S391" s="116"/>
      <c r="T391" s="116"/>
      <c r="U391" s="103"/>
      <c r="V391" s="103"/>
      <c r="W391" s="103"/>
      <c r="X391" s="103"/>
      <c r="Y391" s="103"/>
      <c r="Z391" s="103"/>
      <c r="AA391" s="103"/>
    </row>
    <row r="392" spans="1:27">
      <c r="A392" s="155"/>
      <c r="B392" s="116"/>
      <c r="C392" s="116"/>
      <c r="D392" s="116"/>
      <c r="E392" s="116"/>
      <c r="F392" s="116"/>
      <c r="G392" s="116"/>
      <c r="H392" s="116"/>
      <c r="I392" s="116"/>
      <c r="J392" s="116"/>
      <c r="K392" s="116"/>
      <c r="L392" s="116"/>
      <c r="M392" s="116"/>
      <c r="N392" s="116"/>
      <c r="O392" s="116"/>
      <c r="P392" s="116"/>
      <c r="Q392" s="116"/>
      <c r="R392" s="116"/>
      <c r="S392" s="116"/>
      <c r="T392" s="116"/>
      <c r="U392" s="103"/>
      <c r="V392" s="103"/>
      <c r="W392" s="103"/>
      <c r="X392" s="103"/>
      <c r="Y392" s="103"/>
      <c r="Z392" s="103"/>
      <c r="AA392" s="103"/>
    </row>
    <row r="393" spans="1:27">
      <c r="A393" s="155"/>
      <c r="B393" s="116"/>
      <c r="C393" s="116"/>
      <c r="D393" s="116"/>
      <c r="E393" s="116"/>
      <c r="F393" s="116"/>
      <c r="G393" s="116"/>
      <c r="H393" s="116"/>
      <c r="I393" s="116"/>
      <c r="J393" s="116"/>
      <c r="K393" s="116"/>
      <c r="L393" s="116"/>
      <c r="M393" s="116"/>
      <c r="N393" s="116"/>
      <c r="O393" s="116"/>
      <c r="P393" s="116"/>
      <c r="Q393" s="116"/>
      <c r="R393" s="116"/>
      <c r="S393" s="116"/>
      <c r="T393" s="116"/>
      <c r="U393" s="103"/>
      <c r="V393" s="103"/>
      <c r="W393" s="103"/>
      <c r="X393" s="103"/>
      <c r="Y393" s="103"/>
      <c r="Z393" s="103"/>
      <c r="AA393" s="103"/>
    </row>
    <row r="394" spans="1:27">
      <c r="A394" s="155"/>
      <c r="B394" s="116"/>
      <c r="C394" s="116"/>
      <c r="D394" s="116"/>
      <c r="E394" s="116"/>
      <c r="F394" s="116"/>
      <c r="G394" s="116"/>
      <c r="H394" s="116"/>
      <c r="I394" s="116"/>
      <c r="J394" s="116"/>
      <c r="K394" s="116"/>
      <c r="L394" s="116"/>
      <c r="M394" s="116"/>
      <c r="N394" s="116"/>
      <c r="O394" s="116"/>
      <c r="P394" s="116"/>
      <c r="Q394" s="116"/>
      <c r="R394" s="116"/>
      <c r="S394" s="116"/>
      <c r="T394" s="116"/>
      <c r="U394" s="103"/>
      <c r="V394" s="103"/>
      <c r="W394" s="103"/>
      <c r="X394" s="103"/>
      <c r="Y394" s="103"/>
      <c r="Z394" s="103"/>
      <c r="AA394" s="103"/>
    </row>
    <row r="395" spans="1:27">
      <c r="A395" s="155"/>
      <c r="B395" s="116"/>
      <c r="C395" s="116"/>
      <c r="D395" s="116"/>
      <c r="E395" s="116"/>
      <c r="F395" s="116"/>
      <c r="G395" s="116"/>
      <c r="H395" s="116"/>
      <c r="I395" s="116"/>
      <c r="J395" s="116"/>
      <c r="K395" s="116"/>
      <c r="L395" s="116"/>
      <c r="M395" s="116"/>
      <c r="N395" s="116"/>
      <c r="O395" s="116"/>
      <c r="P395" s="116"/>
      <c r="Q395" s="116"/>
      <c r="R395" s="116"/>
      <c r="S395" s="116"/>
      <c r="T395" s="116"/>
      <c r="U395" s="103"/>
      <c r="V395" s="103"/>
      <c r="W395" s="103"/>
      <c r="X395" s="103"/>
      <c r="Y395" s="103"/>
      <c r="Z395" s="103"/>
      <c r="AA395" s="103"/>
    </row>
    <row r="396" spans="1:27">
      <c r="A396" s="155"/>
      <c r="B396" s="116"/>
      <c r="C396" s="116"/>
      <c r="D396" s="116"/>
      <c r="E396" s="116"/>
      <c r="F396" s="116"/>
      <c r="G396" s="116"/>
      <c r="H396" s="116"/>
      <c r="I396" s="116"/>
      <c r="J396" s="116"/>
      <c r="K396" s="116"/>
      <c r="L396" s="116"/>
      <c r="M396" s="116"/>
      <c r="N396" s="116"/>
      <c r="O396" s="116"/>
      <c r="P396" s="116"/>
      <c r="Q396" s="116"/>
      <c r="R396" s="116"/>
      <c r="S396" s="116"/>
      <c r="T396" s="116"/>
      <c r="U396" s="103"/>
      <c r="V396" s="103"/>
      <c r="W396" s="103"/>
      <c r="X396" s="103"/>
      <c r="Y396" s="103"/>
      <c r="Z396" s="103"/>
      <c r="AA396" s="103"/>
    </row>
    <row r="397" spans="1:27">
      <c r="A397" s="155"/>
      <c r="B397" s="116"/>
      <c r="C397" s="116"/>
      <c r="D397" s="116"/>
      <c r="E397" s="116"/>
      <c r="F397" s="116"/>
      <c r="G397" s="116"/>
      <c r="H397" s="116"/>
      <c r="I397" s="116"/>
      <c r="J397" s="116"/>
      <c r="K397" s="116"/>
      <c r="L397" s="116"/>
      <c r="M397" s="116"/>
      <c r="N397" s="116"/>
      <c r="O397" s="116"/>
      <c r="P397" s="116"/>
      <c r="Q397" s="116"/>
      <c r="R397" s="116"/>
      <c r="S397" s="116"/>
      <c r="T397" s="116"/>
      <c r="U397" s="103"/>
      <c r="V397" s="103"/>
      <c r="W397" s="103"/>
      <c r="X397" s="103"/>
      <c r="Y397" s="103"/>
      <c r="Z397" s="103"/>
      <c r="AA397" s="103"/>
    </row>
    <row r="398" spans="1:27">
      <c r="A398" s="155"/>
      <c r="B398" s="116"/>
      <c r="C398" s="116"/>
      <c r="D398" s="116"/>
      <c r="E398" s="116"/>
      <c r="F398" s="116"/>
      <c r="G398" s="116"/>
      <c r="H398" s="116"/>
      <c r="I398" s="116"/>
      <c r="J398" s="116"/>
      <c r="K398" s="116"/>
      <c r="L398" s="116"/>
      <c r="M398" s="116"/>
      <c r="N398" s="116"/>
      <c r="O398" s="116"/>
      <c r="P398" s="116"/>
      <c r="Q398" s="116"/>
      <c r="R398" s="116"/>
      <c r="S398" s="116"/>
      <c r="T398" s="116"/>
      <c r="U398" s="103"/>
      <c r="V398" s="103"/>
      <c r="W398" s="103"/>
      <c r="X398" s="103"/>
      <c r="Y398" s="103"/>
      <c r="Z398" s="103"/>
      <c r="AA398" s="103"/>
    </row>
    <row r="399" spans="1:27">
      <c r="A399" s="155"/>
      <c r="B399" s="116"/>
      <c r="C399" s="116"/>
      <c r="D399" s="116"/>
      <c r="E399" s="116"/>
      <c r="F399" s="116"/>
      <c r="G399" s="116"/>
      <c r="H399" s="116"/>
      <c r="I399" s="116"/>
      <c r="J399" s="116"/>
      <c r="K399" s="116"/>
      <c r="L399" s="116"/>
      <c r="M399" s="116"/>
      <c r="N399" s="116"/>
      <c r="O399" s="116"/>
      <c r="P399" s="116"/>
      <c r="Q399" s="116"/>
      <c r="R399" s="116"/>
      <c r="S399" s="116"/>
      <c r="T399" s="116"/>
      <c r="U399" s="103"/>
      <c r="V399" s="103"/>
      <c r="W399" s="103"/>
      <c r="X399" s="103"/>
      <c r="Y399" s="103"/>
      <c r="Z399" s="103"/>
      <c r="AA399" s="103"/>
    </row>
    <row r="400" spans="1:27">
      <c r="A400" s="155"/>
      <c r="B400" s="116"/>
      <c r="C400" s="116"/>
      <c r="D400" s="116"/>
      <c r="E400" s="116"/>
      <c r="F400" s="116"/>
      <c r="G400" s="116"/>
      <c r="H400" s="116"/>
      <c r="I400" s="116"/>
      <c r="J400" s="116"/>
      <c r="K400" s="116"/>
      <c r="L400" s="116"/>
      <c r="M400" s="116"/>
      <c r="N400" s="116"/>
      <c r="O400" s="116"/>
      <c r="P400" s="116"/>
      <c r="Q400" s="116"/>
      <c r="R400" s="116"/>
      <c r="S400" s="116"/>
      <c r="T400" s="116"/>
      <c r="U400" s="103"/>
      <c r="V400" s="103"/>
      <c r="W400" s="103"/>
      <c r="X400" s="103"/>
      <c r="Y400" s="103"/>
      <c r="Z400" s="103"/>
      <c r="AA400" s="103"/>
    </row>
    <row r="401" spans="1:27">
      <c r="A401" s="155"/>
      <c r="B401" s="116"/>
      <c r="C401" s="116"/>
      <c r="D401" s="116"/>
      <c r="E401" s="116"/>
      <c r="F401" s="116"/>
      <c r="G401" s="116"/>
      <c r="H401" s="116"/>
      <c r="I401" s="116"/>
      <c r="J401" s="116"/>
      <c r="K401" s="116"/>
      <c r="L401" s="116"/>
      <c r="M401" s="116"/>
      <c r="N401" s="116"/>
      <c r="O401" s="116"/>
      <c r="P401" s="116"/>
      <c r="Q401" s="116"/>
      <c r="R401" s="116"/>
      <c r="S401" s="116"/>
      <c r="T401" s="116"/>
      <c r="U401" s="103"/>
      <c r="V401" s="103"/>
      <c r="W401" s="103"/>
      <c r="X401" s="103"/>
      <c r="Y401" s="103"/>
      <c r="Z401" s="103"/>
      <c r="AA401" s="103"/>
    </row>
    <row r="402" spans="1:27">
      <c r="A402" s="155"/>
      <c r="B402" s="116"/>
      <c r="C402" s="116"/>
      <c r="D402" s="116"/>
      <c r="E402" s="116"/>
      <c r="F402" s="116"/>
      <c r="G402" s="116"/>
      <c r="H402" s="116"/>
      <c r="I402" s="116"/>
      <c r="J402" s="116"/>
      <c r="K402" s="116"/>
      <c r="L402" s="116"/>
      <c r="M402" s="116"/>
      <c r="N402" s="116"/>
      <c r="O402" s="116"/>
      <c r="P402" s="116"/>
      <c r="Q402" s="116"/>
      <c r="R402" s="116"/>
      <c r="S402" s="116"/>
      <c r="T402" s="116"/>
      <c r="U402" s="103"/>
      <c r="V402" s="103"/>
      <c r="W402" s="103"/>
      <c r="X402" s="103"/>
      <c r="Y402" s="103"/>
      <c r="Z402" s="103"/>
      <c r="AA402" s="103"/>
    </row>
    <row r="403" spans="1:27">
      <c r="A403" s="155"/>
      <c r="B403" s="116"/>
      <c r="C403" s="116"/>
      <c r="D403" s="116"/>
      <c r="E403" s="116"/>
      <c r="F403" s="116"/>
      <c r="G403" s="116"/>
      <c r="H403" s="116"/>
      <c r="I403" s="116"/>
      <c r="J403" s="116"/>
      <c r="K403" s="116"/>
      <c r="L403" s="116"/>
      <c r="M403" s="116"/>
      <c r="N403" s="116"/>
      <c r="O403" s="116"/>
      <c r="P403" s="116"/>
      <c r="Q403" s="116"/>
      <c r="R403" s="116"/>
      <c r="S403" s="116"/>
      <c r="T403" s="116"/>
      <c r="U403" s="103"/>
      <c r="V403" s="103"/>
      <c r="W403" s="103"/>
      <c r="X403" s="103"/>
      <c r="Y403" s="103"/>
      <c r="Z403" s="103"/>
      <c r="AA403" s="103"/>
    </row>
    <row r="404" spans="1:27">
      <c r="A404" s="155"/>
      <c r="B404" s="116"/>
      <c r="C404" s="116"/>
      <c r="D404" s="116"/>
      <c r="E404" s="116"/>
      <c r="F404" s="116"/>
      <c r="G404" s="116"/>
      <c r="H404" s="116"/>
      <c r="I404" s="116"/>
      <c r="J404" s="116"/>
      <c r="K404" s="116"/>
      <c r="L404" s="116"/>
      <c r="M404" s="116"/>
      <c r="N404" s="116"/>
      <c r="O404" s="116"/>
      <c r="P404" s="116"/>
      <c r="Q404" s="116"/>
      <c r="R404" s="116"/>
      <c r="S404" s="116"/>
      <c r="T404" s="116"/>
      <c r="U404" s="103"/>
      <c r="V404" s="103"/>
      <c r="W404" s="103"/>
      <c r="X404" s="103"/>
      <c r="Y404" s="103"/>
      <c r="Z404" s="103"/>
      <c r="AA404" s="103"/>
    </row>
    <row r="405" spans="1:27">
      <c r="A405" s="155"/>
      <c r="B405" s="116"/>
      <c r="C405" s="116"/>
      <c r="D405" s="116"/>
      <c r="E405" s="116"/>
      <c r="F405" s="116"/>
      <c r="G405" s="116"/>
      <c r="H405" s="116"/>
      <c r="I405" s="116"/>
      <c r="J405" s="116"/>
      <c r="K405" s="116"/>
      <c r="L405" s="116"/>
      <c r="M405" s="116"/>
      <c r="N405" s="116"/>
      <c r="O405" s="116"/>
      <c r="P405" s="116"/>
      <c r="Q405" s="116"/>
      <c r="R405" s="116"/>
      <c r="S405" s="116"/>
      <c r="T405" s="116"/>
      <c r="U405" s="103"/>
      <c r="V405" s="103"/>
      <c r="W405" s="103"/>
      <c r="X405" s="103"/>
      <c r="Y405" s="103"/>
      <c r="Z405" s="103"/>
      <c r="AA405" s="103"/>
    </row>
    <row r="406" spans="1:27">
      <c r="A406" s="155"/>
      <c r="B406" s="116"/>
      <c r="C406" s="116"/>
      <c r="D406" s="116"/>
      <c r="E406" s="116"/>
      <c r="F406" s="116"/>
      <c r="G406" s="116"/>
      <c r="H406" s="116"/>
      <c r="I406" s="116"/>
      <c r="J406" s="116"/>
      <c r="K406" s="116"/>
      <c r="L406" s="116"/>
      <c r="M406" s="116"/>
      <c r="N406" s="116"/>
      <c r="O406" s="116"/>
      <c r="P406" s="116"/>
      <c r="Q406" s="116"/>
      <c r="R406" s="116"/>
      <c r="S406" s="116"/>
      <c r="T406" s="116"/>
      <c r="U406" s="103"/>
      <c r="V406" s="103"/>
      <c r="W406" s="103"/>
      <c r="X406" s="103"/>
      <c r="Y406" s="103"/>
      <c r="Z406" s="103"/>
      <c r="AA406" s="103"/>
    </row>
    <row r="407" spans="1:27">
      <c r="A407" s="155"/>
      <c r="B407" s="116"/>
      <c r="C407" s="116"/>
      <c r="D407" s="116"/>
      <c r="E407" s="116"/>
      <c r="F407" s="116"/>
      <c r="G407" s="116"/>
      <c r="H407" s="116"/>
      <c r="I407" s="116"/>
      <c r="J407" s="116"/>
      <c r="K407" s="116"/>
      <c r="L407" s="116"/>
      <c r="M407" s="116"/>
      <c r="N407" s="116"/>
      <c r="O407" s="116"/>
      <c r="P407" s="116"/>
      <c r="Q407" s="116"/>
      <c r="R407" s="116"/>
      <c r="S407" s="116"/>
      <c r="T407" s="116"/>
      <c r="U407" s="103"/>
      <c r="V407" s="103"/>
      <c r="W407" s="103"/>
      <c r="X407" s="103"/>
      <c r="Y407" s="103"/>
      <c r="Z407" s="103"/>
      <c r="AA407" s="103"/>
    </row>
    <row r="408" spans="1:27">
      <c r="A408" s="155"/>
      <c r="B408" s="116"/>
      <c r="C408" s="116"/>
      <c r="D408" s="116"/>
      <c r="E408" s="116"/>
      <c r="F408" s="116"/>
      <c r="G408" s="116"/>
      <c r="H408" s="116"/>
      <c r="I408" s="116"/>
      <c r="J408" s="116"/>
      <c r="K408" s="116"/>
      <c r="L408" s="116"/>
      <c r="M408" s="116"/>
      <c r="N408" s="116"/>
      <c r="O408" s="116"/>
      <c r="P408" s="116"/>
      <c r="Q408" s="116"/>
      <c r="R408" s="116"/>
      <c r="S408" s="116"/>
      <c r="T408" s="116"/>
      <c r="U408" s="103"/>
      <c r="V408" s="103"/>
      <c r="W408" s="103"/>
      <c r="X408" s="103"/>
      <c r="Y408" s="103"/>
      <c r="Z408" s="103"/>
      <c r="AA408" s="103"/>
    </row>
    <row r="409" spans="1:27">
      <c r="A409" s="155"/>
      <c r="B409" s="116"/>
      <c r="C409" s="116"/>
      <c r="D409" s="116"/>
      <c r="E409" s="116"/>
      <c r="F409" s="116"/>
      <c r="G409" s="116"/>
      <c r="H409" s="116"/>
      <c r="I409" s="116"/>
      <c r="J409" s="116"/>
      <c r="K409" s="116"/>
      <c r="L409" s="116"/>
      <c r="M409" s="116"/>
      <c r="N409" s="116"/>
      <c r="O409" s="116"/>
      <c r="P409" s="116"/>
      <c r="Q409" s="116"/>
      <c r="R409" s="116"/>
      <c r="S409" s="116"/>
      <c r="T409" s="116"/>
      <c r="U409" s="103"/>
      <c r="V409" s="103"/>
      <c r="W409" s="103"/>
      <c r="X409" s="103"/>
      <c r="Y409" s="103"/>
      <c r="Z409" s="103"/>
      <c r="AA409" s="103"/>
    </row>
    <row r="410" spans="1:27">
      <c r="A410" s="155"/>
      <c r="B410" s="116"/>
      <c r="C410" s="116"/>
      <c r="D410" s="116"/>
      <c r="E410" s="116"/>
      <c r="F410" s="116"/>
      <c r="G410" s="116"/>
      <c r="H410" s="116"/>
      <c r="I410" s="116"/>
      <c r="J410" s="116"/>
      <c r="K410" s="116"/>
      <c r="L410" s="116"/>
      <c r="M410" s="116"/>
      <c r="N410" s="116"/>
      <c r="O410" s="116"/>
      <c r="P410" s="116"/>
      <c r="Q410" s="116"/>
      <c r="R410" s="116"/>
      <c r="S410" s="116"/>
      <c r="T410" s="116"/>
      <c r="U410" s="103"/>
      <c r="V410" s="103"/>
      <c r="W410" s="103"/>
      <c r="X410" s="103"/>
      <c r="Y410" s="103"/>
      <c r="Z410" s="103"/>
      <c r="AA410" s="103"/>
    </row>
    <row r="411" spans="1:27">
      <c r="A411" s="155"/>
      <c r="B411" s="116"/>
      <c r="C411" s="116"/>
      <c r="D411" s="116"/>
      <c r="E411" s="116"/>
      <c r="F411" s="116"/>
      <c r="G411" s="116"/>
      <c r="H411" s="116"/>
      <c r="I411" s="116"/>
      <c r="J411" s="116"/>
      <c r="K411" s="116"/>
      <c r="L411" s="116"/>
      <c r="M411" s="116"/>
      <c r="N411" s="116"/>
      <c r="O411" s="116"/>
      <c r="P411" s="116"/>
      <c r="Q411" s="116"/>
      <c r="R411" s="116"/>
      <c r="S411" s="116"/>
      <c r="T411" s="116"/>
      <c r="U411" s="103"/>
      <c r="V411" s="103"/>
      <c r="W411" s="103"/>
      <c r="X411" s="103"/>
      <c r="Y411" s="103"/>
      <c r="Z411" s="103"/>
      <c r="AA411" s="103"/>
    </row>
    <row r="412" spans="1:27">
      <c r="A412" s="155"/>
      <c r="B412" s="116"/>
      <c r="C412" s="116"/>
      <c r="D412" s="116"/>
      <c r="E412" s="116"/>
      <c r="F412" s="116"/>
      <c r="G412" s="116"/>
      <c r="H412" s="116"/>
      <c r="I412" s="116"/>
      <c r="J412" s="116"/>
      <c r="K412" s="116"/>
      <c r="L412" s="116"/>
      <c r="M412" s="116"/>
      <c r="N412" s="116"/>
      <c r="O412" s="116"/>
      <c r="P412" s="116"/>
      <c r="Q412" s="116"/>
      <c r="R412" s="116"/>
      <c r="S412" s="116"/>
      <c r="T412" s="116"/>
      <c r="U412" s="103"/>
      <c r="V412" s="103"/>
      <c r="W412" s="103"/>
      <c r="X412" s="103"/>
      <c r="Y412" s="103"/>
      <c r="Z412" s="103"/>
      <c r="AA412" s="103"/>
    </row>
    <row r="413" spans="1:27">
      <c r="A413" s="155"/>
      <c r="B413" s="116"/>
      <c r="C413" s="116"/>
      <c r="D413" s="116"/>
      <c r="E413" s="116"/>
      <c r="F413" s="116"/>
      <c r="G413" s="116"/>
      <c r="H413" s="116"/>
      <c r="I413" s="116"/>
      <c r="J413" s="116"/>
      <c r="K413" s="116"/>
      <c r="L413" s="116"/>
      <c r="M413" s="116"/>
      <c r="N413" s="116"/>
      <c r="O413" s="116"/>
      <c r="P413" s="116"/>
      <c r="Q413" s="116"/>
      <c r="R413" s="116"/>
      <c r="S413" s="116"/>
      <c r="T413" s="116"/>
      <c r="U413" s="103"/>
      <c r="V413" s="103"/>
      <c r="W413" s="103"/>
      <c r="X413" s="103"/>
      <c r="Y413" s="103"/>
      <c r="Z413" s="103"/>
      <c r="AA413" s="103"/>
    </row>
    <row r="414" spans="1:27">
      <c r="A414" s="155"/>
      <c r="B414" s="116"/>
      <c r="C414" s="116"/>
      <c r="D414" s="116"/>
      <c r="E414" s="116"/>
      <c r="F414" s="116"/>
      <c r="G414" s="116"/>
      <c r="H414" s="116"/>
      <c r="I414" s="116"/>
      <c r="J414" s="116"/>
      <c r="K414" s="116"/>
      <c r="L414" s="116"/>
      <c r="M414" s="116"/>
      <c r="N414" s="116"/>
      <c r="O414" s="116"/>
      <c r="P414" s="116"/>
      <c r="Q414" s="116"/>
      <c r="R414" s="116"/>
      <c r="S414" s="116"/>
      <c r="T414" s="116"/>
      <c r="U414" s="103"/>
      <c r="V414" s="103"/>
      <c r="W414" s="103"/>
      <c r="X414" s="103"/>
      <c r="Y414" s="103"/>
      <c r="Z414" s="103"/>
      <c r="AA414" s="103"/>
    </row>
    <row r="415" spans="1:27">
      <c r="A415" s="155"/>
      <c r="B415" s="116"/>
      <c r="C415" s="116"/>
      <c r="D415" s="116"/>
      <c r="E415" s="116"/>
      <c r="F415" s="116"/>
      <c r="G415" s="116"/>
      <c r="H415" s="116"/>
      <c r="I415" s="116"/>
      <c r="J415" s="116"/>
      <c r="K415" s="116"/>
      <c r="L415" s="116"/>
      <c r="M415" s="116"/>
      <c r="N415" s="116"/>
      <c r="O415" s="116"/>
      <c r="P415" s="116"/>
      <c r="Q415" s="116"/>
      <c r="R415" s="116"/>
      <c r="S415" s="116"/>
      <c r="T415" s="116"/>
      <c r="U415" s="103"/>
      <c r="V415" s="103"/>
      <c r="W415" s="103"/>
      <c r="X415" s="103"/>
      <c r="Y415" s="103"/>
      <c r="Z415" s="103"/>
      <c r="AA415" s="103"/>
    </row>
    <row r="416" spans="1:27">
      <c r="A416" s="155"/>
      <c r="B416" s="116"/>
      <c r="C416" s="116"/>
      <c r="D416" s="116"/>
      <c r="E416" s="116"/>
      <c r="F416" s="116"/>
      <c r="G416" s="116"/>
      <c r="H416" s="116"/>
      <c r="I416" s="116"/>
      <c r="J416" s="116"/>
      <c r="K416" s="116"/>
      <c r="L416" s="116"/>
      <c r="M416" s="116"/>
      <c r="N416" s="116"/>
      <c r="O416" s="116"/>
      <c r="P416" s="116"/>
      <c r="Q416" s="116"/>
      <c r="R416" s="116"/>
      <c r="S416" s="116"/>
      <c r="T416" s="116"/>
      <c r="U416" s="103"/>
      <c r="V416" s="103"/>
      <c r="W416" s="103"/>
      <c r="X416" s="103"/>
      <c r="Y416" s="103"/>
      <c r="Z416" s="103"/>
      <c r="AA416" s="103"/>
    </row>
    <row r="417" spans="1:27">
      <c r="A417" s="155"/>
      <c r="B417" s="116"/>
      <c r="C417" s="116"/>
      <c r="D417" s="116"/>
      <c r="E417" s="116"/>
      <c r="F417" s="116"/>
      <c r="G417" s="116"/>
      <c r="H417" s="116"/>
      <c r="I417" s="116"/>
      <c r="J417" s="116"/>
      <c r="K417" s="116"/>
      <c r="L417" s="116"/>
      <c r="M417" s="116"/>
      <c r="N417" s="116"/>
      <c r="O417" s="116"/>
      <c r="P417" s="116"/>
      <c r="Q417" s="116"/>
      <c r="R417" s="116"/>
      <c r="S417" s="116"/>
      <c r="T417" s="116"/>
      <c r="U417" s="103"/>
      <c r="V417" s="103"/>
      <c r="W417" s="103"/>
      <c r="X417" s="103"/>
      <c r="Y417" s="103"/>
      <c r="Z417" s="103"/>
      <c r="AA417" s="103"/>
    </row>
    <row r="418" spans="1:27">
      <c r="A418" s="155"/>
      <c r="B418" s="116"/>
      <c r="C418" s="116"/>
      <c r="D418" s="116"/>
      <c r="E418" s="116"/>
      <c r="F418" s="116"/>
      <c r="G418" s="116"/>
      <c r="H418" s="116"/>
      <c r="I418" s="116"/>
      <c r="J418" s="116"/>
      <c r="K418" s="116"/>
      <c r="L418" s="116"/>
      <c r="M418" s="116"/>
      <c r="N418" s="116"/>
      <c r="O418" s="116"/>
      <c r="P418" s="116"/>
      <c r="Q418" s="116"/>
      <c r="R418" s="116"/>
      <c r="S418" s="116"/>
      <c r="T418" s="116"/>
      <c r="U418" s="103"/>
      <c r="V418" s="103"/>
      <c r="W418" s="103"/>
      <c r="X418" s="103"/>
      <c r="Y418" s="103"/>
      <c r="Z418" s="103"/>
      <c r="AA418" s="103"/>
    </row>
    <row r="419" spans="1:27">
      <c r="A419" s="155"/>
      <c r="B419" s="116"/>
      <c r="C419" s="116"/>
      <c r="D419" s="116"/>
      <c r="E419" s="116"/>
      <c r="F419" s="116"/>
      <c r="G419" s="116"/>
      <c r="H419" s="116"/>
      <c r="I419" s="116"/>
      <c r="J419" s="116"/>
      <c r="K419" s="116"/>
      <c r="L419" s="116"/>
      <c r="M419" s="116"/>
      <c r="N419" s="116"/>
      <c r="O419" s="116"/>
      <c r="P419" s="116"/>
      <c r="Q419" s="116"/>
      <c r="R419" s="116"/>
      <c r="S419" s="116"/>
      <c r="T419" s="116"/>
      <c r="U419" s="103"/>
      <c r="V419" s="103"/>
      <c r="W419" s="103"/>
      <c r="X419" s="103"/>
      <c r="Y419" s="103"/>
      <c r="Z419" s="103"/>
      <c r="AA419" s="103"/>
    </row>
    <row r="420" spans="1:27">
      <c r="A420" s="155"/>
      <c r="B420" s="116"/>
      <c r="C420" s="116"/>
      <c r="D420" s="116"/>
      <c r="E420" s="116"/>
      <c r="F420" s="116"/>
      <c r="G420" s="116"/>
      <c r="H420" s="116"/>
      <c r="I420" s="116"/>
      <c r="J420" s="116"/>
      <c r="K420" s="116"/>
      <c r="L420" s="116"/>
      <c r="M420" s="116"/>
      <c r="N420" s="116"/>
      <c r="O420" s="116"/>
      <c r="P420" s="116"/>
      <c r="Q420" s="116"/>
      <c r="R420" s="116"/>
      <c r="S420" s="116"/>
      <c r="T420" s="116"/>
      <c r="U420" s="103"/>
      <c r="V420" s="103"/>
      <c r="W420" s="103"/>
      <c r="X420" s="103"/>
      <c r="Y420" s="103"/>
      <c r="Z420" s="103"/>
      <c r="AA420" s="103"/>
    </row>
    <row r="421" spans="1:27">
      <c r="A421" s="155"/>
      <c r="B421" s="116"/>
      <c r="C421" s="116"/>
      <c r="D421" s="116"/>
      <c r="E421" s="116"/>
      <c r="F421" s="116"/>
      <c r="G421" s="116"/>
      <c r="H421" s="116"/>
      <c r="I421" s="116"/>
      <c r="J421" s="116"/>
      <c r="K421" s="116"/>
      <c r="L421" s="116"/>
      <c r="M421" s="116"/>
      <c r="N421" s="116"/>
      <c r="O421" s="116"/>
      <c r="P421" s="116"/>
      <c r="Q421" s="116"/>
      <c r="R421" s="116"/>
      <c r="S421" s="116"/>
      <c r="T421" s="116"/>
      <c r="U421" s="103"/>
      <c r="V421" s="103"/>
      <c r="W421" s="103"/>
      <c r="X421" s="103"/>
      <c r="Y421" s="103"/>
      <c r="Z421" s="103"/>
      <c r="AA421" s="103"/>
    </row>
    <row r="422" spans="1:27">
      <c r="A422" s="155"/>
      <c r="B422" s="116"/>
      <c r="C422" s="116"/>
      <c r="D422" s="116"/>
      <c r="E422" s="116"/>
      <c r="F422" s="116"/>
      <c r="G422" s="116"/>
      <c r="H422" s="116"/>
      <c r="I422" s="116"/>
      <c r="J422" s="116"/>
      <c r="K422" s="116"/>
      <c r="L422" s="116"/>
      <c r="M422" s="116"/>
      <c r="N422" s="116"/>
      <c r="O422" s="116"/>
      <c r="P422" s="116"/>
      <c r="Q422" s="116"/>
      <c r="R422" s="116"/>
      <c r="S422" s="116"/>
      <c r="T422" s="116"/>
      <c r="U422" s="103"/>
      <c r="V422" s="103"/>
      <c r="W422" s="103"/>
      <c r="X422" s="103"/>
      <c r="Y422" s="103"/>
      <c r="Z422" s="103"/>
      <c r="AA422" s="103"/>
    </row>
    <row r="423" spans="1:27">
      <c r="A423" s="155"/>
      <c r="B423" s="116"/>
      <c r="C423" s="116"/>
      <c r="D423" s="116"/>
      <c r="E423" s="116"/>
      <c r="F423" s="116"/>
      <c r="G423" s="116"/>
      <c r="H423" s="116"/>
      <c r="I423" s="116"/>
      <c r="J423" s="116"/>
      <c r="K423" s="116"/>
      <c r="L423" s="116"/>
      <c r="M423" s="116"/>
      <c r="N423" s="116"/>
      <c r="O423" s="116"/>
      <c r="P423" s="116"/>
      <c r="Q423" s="116"/>
      <c r="R423" s="116"/>
      <c r="S423" s="116"/>
      <c r="T423" s="116"/>
      <c r="U423" s="103"/>
      <c r="V423" s="103"/>
      <c r="W423" s="103"/>
      <c r="X423" s="103"/>
      <c r="Y423" s="103"/>
      <c r="Z423" s="103"/>
      <c r="AA423" s="103"/>
    </row>
    <row r="424" spans="1:27">
      <c r="A424" s="155"/>
      <c r="B424" s="116"/>
      <c r="C424" s="116"/>
      <c r="D424" s="116"/>
      <c r="E424" s="116"/>
      <c r="F424" s="116"/>
      <c r="G424" s="116"/>
      <c r="H424" s="116"/>
      <c r="I424" s="116"/>
      <c r="J424" s="116"/>
      <c r="K424" s="116"/>
      <c r="L424" s="116"/>
      <c r="M424" s="116"/>
      <c r="N424" s="116"/>
      <c r="O424" s="116"/>
      <c r="P424" s="116"/>
      <c r="Q424" s="116"/>
      <c r="R424" s="116"/>
      <c r="S424" s="116"/>
      <c r="T424" s="116"/>
      <c r="U424" s="103"/>
      <c r="V424" s="103"/>
      <c r="W424" s="103"/>
      <c r="X424" s="103"/>
      <c r="Y424" s="103"/>
      <c r="Z424" s="103"/>
      <c r="AA424" s="103"/>
    </row>
    <row r="425" spans="1:27">
      <c r="A425" s="155"/>
      <c r="B425" s="116"/>
      <c r="C425" s="116"/>
      <c r="D425" s="116"/>
      <c r="E425" s="116"/>
      <c r="F425" s="116"/>
      <c r="G425" s="116"/>
      <c r="H425" s="116"/>
      <c r="I425" s="116"/>
      <c r="J425" s="116"/>
      <c r="K425" s="116"/>
      <c r="L425" s="116"/>
      <c r="M425" s="116"/>
      <c r="N425" s="116"/>
      <c r="O425" s="116"/>
      <c r="P425" s="116"/>
      <c r="Q425" s="116"/>
      <c r="R425" s="116"/>
      <c r="S425" s="116"/>
      <c r="T425" s="116"/>
      <c r="U425" s="103"/>
      <c r="V425" s="103"/>
      <c r="W425" s="103"/>
      <c r="X425" s="103"/>
      <c r="Y425" s="103"/>
      <c r="Z425" s="103"/>
      <c r="AA425" s="103"/>
    </row>
    <row r="426" spans="1:27">
      <c r="A426" s="155"/>
      <c r="B426" s="116"/>
      <c r="C426" s="116"/>
      <c r="D426" s="116"/>
      <c r="E426" s="116"/>
      <c r="F426" s="116"/>
      <c r="G426" s="116"/>
      <c r="H426" s="116"/>
      <c r="I426" s="116"/>
      <c r="J426" s="116"/>
      <c r="K426" s="116"/>
      <c r="L426" s="116"/>
      <c r="M426" s="116"/>
      <c r="N426" s="116"/>
      <c r="O426" s="116"/>
      <c r="P426" s="116"/>
      <c r="Q426" s="116"/>
      <c r="R426" s="116"/>
      <c r="S426" s="116"/>
      <c r="T426" s="116"/>
      <c r="U426" s="103"/>
      <c r="V426" s="103"/>
      <c r="W426" s="103"/>
      <c r="X426" s="103"/>
      <c r="Y426" s="103"/>
      <c r="Z426" s="103"/>
      <c r="AA426" s="103"/>
    </row>
    <row r="427" spans="1:27">
      <c r="A427" s="155"/>
      <c r="B427" s="116"/>
      <c r="C427" s="116"/>
      <c r="D427" s="116"/>
      <c r="E427" s="116"/>
      <c r="F427" s="116"/>
      <c r="G427" s="116"/>
      <c r="H427" s="116"/>
      <c r="I427" s="116"/>
      <c r="J427" s="116"/>
      <c r="K427" s="116"/>
      <c r="L427" s="116"/>
      <c r="M427" s="116"/>
      <c r="N427" s="116"/>
      <c r="O427" s="116"/>
      <c r="P427" s="116"/>
      <c r="Q427" s="116"/>
      <c r="R427" s="116"/>
      <c r="S427" s="116"/>
      <c r="T427" s="116"/>
      <c r="U427" s="103"/>
      <c r="V427" s="103"/>
      <c r="W427" s="103"/>
      <c r="X427" s="103"/>
      <c r="Y427" s="103"/>
      <c r="Z427" s="103"/>
      <c r="AA427" s="103"/>
    </row>
    <row r="428" spans="1:27">
      <c r="A428" s="155"/>
      <c r="B428" s="116"/>
      <c r="C428" s="116"/>
      <c r="D428" s="116"/>
      <c r="E428" s="116"/>
      <c r="F428" s="116"/>
      <c r="G428" s="116"/>
      <c r="H428" s="116"/>
      <c r="I428" s="116"/>
      <c r="J428" s="116"/>
      <c r="K428" s="116"/>
      <c r="L428" s="116"/>
      <c r="M428" s="116"/>
      <c r="N428" s="116"/>
      <c r="O428" s="116"/>
      <c r="P428" s="116"/>
      <c r="Q428" s="116"/>
      <c r="R428" s="116"/>
      <c r="S428" s="116"/>
      <c r="T428" s="116"/>
      <c r="U428" s="103"/>
      <c r="V428" s="103"/>
      <c r="W428" s="103"/>
      <c r="X428" s="103"/>
      <c r="Y428" s="103"/>
      <c r="Z428" s="103"/>
      <c r="AA428" s="103"/>
    </row>
    <row r="429" spans="1:27">
      <c r="A429" s="155"/>
      <c r="B429" s="116"/>
      <c r="C429" s="116"/>
      <c r="D429" s="116"/>
      <c r="E429" s="116"/>
      <c r="F429" s="116"/>
      <c r="G429" s="116"/>
      <c r="H429" s="116"/>
      <c r="I429" s="116"/>
      <c r="J429" s="116"/>
      <c r="K429" s="116"/>
      <c r="L429" s="116"/>
      <c r="M429" s="116"/>
      <c r="N429" s="116"/>
      <c r="O429" s="116"/>
      <c r="P429" s="116"/>
      <c r="Q429" s="116"/>
      <c r="R429" s="116"/>
      <c r="S429" s="116"/>
      <c r="T429" s="116"/>
      <c r="U429" s="103"/>
      <c r="V429" s="103"/>
      <c r="W429" s="103"/>
      <c r="X429" s="103"/>
      <c r="Y429" s="103"/>
      <c r="Z429" s="103"/>
      <c r="AA429" s="103"/>
    </row>
    <row r="430" spans="1:27">
      <c r="A430" s="155"/>
      <c r="B430" s="116"/>
      <c r="C430" s="116"/>
      <c r="D430" s="116"/>
      <c r="E430" s="116"/>
      <c r="F430" s="116"/>
      <c r="G430" s="116"/>
      <c r="H430" s="116"/>
      <c r="I430" s="116"/>
      <c r="J430" s="116"/>
      <c r="K430" s="116"/>
      <c r="L430" s="116"/>
      <c r="M430" s="116"/>
      <c r="N430" s="116"/>
      <c r="O430" s="116"/>
      <c r="P430" s="116"/>
      <c r="Q430" s="116"/>
      <c r="R430" s="116"/>
      <c r="S430" s="116"/>
      <c r="T430" s="116"/>
      <c r="U430" s="103"/>
      <c r="V430" s="103"/>
      <c r="W430" s="103"/>
      <c r="X430" s="103"/>
      <c r="Y430" s="103"/>
      <c r="Z430" s="103"/>
      <c r="AA430" s="103"/>
    </row>
    <row r="431" spans="1:27">
      <c r="A431" s="155"/>
      <c r="B431" s="116"/>
      <c r="C431" s="116"/>
      <c r="D431" s="116"/>
      <c r="E431" s="116"/>
      <c r="F431" s="116"/>
      <c r="G431" s="116"/>
      <c r="H431" s="116"/>
      <c r="I431" s="116"/>
      <c r="J431" s="116"/>
      <c r="K431" s="116"/>
      <c r="L431" s="116"/>
      <c r="M431" s="116"/>
      <c r="N431" s="116"/>
      <c r="O431" s="116"/>
      <c r="P431" s="116"/>
      <c r="Q431" s="116"/>
      <c r="R431" s="116"/>
      <c r="S431" s="116"/>
      <c r="T431" s="116"/>
      <c r="U431" s="103"/>
      <c r="V431" s="103"/>
      <c r="W431" s="103"/>
      <c r="X431" s="103"/>
      <c r="Y431" s="103"/>
      <c r="Z431" s="103"/>
      <c r="AA431" s="103"/>
    </row>
    <row r="432" spans="1:27">
      <c r="A432" s="155"/>
      <c r="B432" s="116"/>
      <c r="C432" s="116"/>
      <c r="D432" s="116"/>
      <c r="E432" s="116"/>
      <c r="F432" s="116"/>
      <c r="G432" s="116"/>
      <c r="H432" s="116"/>
      <c r="I432" s="116"/>
      <c r="J432" s="116"/>
      <c r="K432" s="116"/>
      <c r="L432" s="116"/>
      <c r="M432" s="116"/>
      <c r="N432" s="116"/>
      <c r="O432" s="116"/>
      <c r="P432" s="116"/>
      <c r="Q432" s="116"/>
      <c r="R432" s="116"/>
      <c r="S432" s="116"/>
      <c r="T432" s="116"/>
      <c r="U432" s="103"/>
      <c r="V432" s="103"/>
      <c r="W432" s="103"/>
      <c r="X432" s="103"/>
      <c r="Y432" s="103"/>
      <c r="Z432" s="103"/>
      <c r="AA432" s="103"/>
    </row>
    <row r="433" spans="1:27">
      <c r="A433" s="155"/>
      <c r="B433" s="116"/>
      <c r="C433" s="116"/>
      <c r="D433" s="116"/>
      <c r="E433" s="116"/>
      <c r="F433" s="116"/>
      <c r="G433" s="116"/>
      <c r="H433" s="116"/>
      <c r="I433" s="116"/>
      <c r="J433" s="116"/>
      <c r="K433" s="116"/>
      <c r="L433" s="116"/>
      <c r="M433" s="116"/>
      <c r="N433" s="116"/>
      <c r="O433" s="116"/>
      <c r="P433" s="116"/>
      <c r="Q433" s="116"/>
      <c r="R433" s="116"/>
      <c r="S433" s="116"/>
      <c r="T433" s="116"/>
      <c r="U433" s="103"/>
      <c r="V433" s="103"/>
      <c r="W433" s="103"/>
      <c r="X433" s="103"/>
      <c r="Y433" s="103"/>
      <c r="Z433" s="103"/>
      <c r="AA433" s="103"/>
    </row>
    <row r="434" spans="1:27">
      <c r="A434" s="155"/>
      <c r="B434" s="116"/>
      <c r="C434" s="116"/>
      <c r="D434" s="116"/>
      <c r="E434" s="116"/>
      <c r="F434" s="116"/>
      <c r="G434" s="116"/>
      <c r="H434" s="116"/>
      <c r="I434" s="116"/>
      <c r="J434" s="116"/>
      <c r="K434" s="116"/>
      <c r="L434" s="116"/>
      <c r="M434" s="116"/>
      <c r="N434" s="116"/>
      <c r="O434" s="116"/>
      <c r="P434" s="116"/>
      <c r="Q434" s="116"/>
      <c r="R434" s="116"/>
      <c r="S434" s="116"/>
      <c r="T434" s="116"/>
      <c r="U434" s="103"/>
      <c r="V434" s="103"/>
      <c r="W434" s="103"/>
      <c r="X434" s="103"/>
      <c r="Y434" s="103"/>
      <c r="Z434" s="103"/>
      <c r="AA434" s="103"/>
    </row>
    <row r="435" spans="1:27">
      <c r="A435" s="155"/>
      <c r="B435" s="116"/>
      <c r="C435" s="116"/>
      <c r="D435" s="116"/>
      <c r="E435" s="116"/>
      <c r="F435" s="116"/>
      <c r="G435" s="116"/>
      <c r="H435" s="116"/>
      <c r="I435" s="116"/>
      <c r="J435" s="116"/>
      <c r="K435" s="116"/>
      <c r="L435" s="116"/>
      <c r="M435" s="116"/>
      <c r="N435" s="116"/>
      <c r="O435" s="116"/>
      <c r="P435" s="116"/>
      <c r="Q435" s="116"/>
      <c r="R435" s="116"/>
      <c r="S435" s="116"/>
      <c r="T435" s="116"/>
      <c r="U435" s="103"/>
      <c r="V435" s="103"/>
      <c r="W435" s="103"/>
      <c r="X435" s="103"/>
      <c r="Y435" s="103"/>
      <c r="Z435" s="103"/>
      <c r="AA435" s="103"/>
    </row>
    <row r="436" spans="1:27">
      <c r="A436" s="155"/>
      <c r="B436" s="116"/>
      <c r="C436" s="116"/>
      <c r="D436" s="116"/>
      <c r="E436" s="116"/>
      <c r="F436" s="116"/>
      <c r="G436" s="116"/>
      <c r="H436" s="116"/>
      <c r="I436" s="116"/>
      <c r="J436" s="116"/>
      <c r="K436" s="116"/>
      <c r="L436" s="116"/>
      <c r="M436" s="116"/>
      <c r="N436" s="116"/>
      <c r="O436" s="116"/>
      <c r="P436" s="116"/>
      <c r="Q436" s="116"/>
      <c r="R436" s="116"/>
      <c r="S436" s="116"/>
      <c r="T436" s="116"/>
      <c r="U436" s="103"/>
      <c r="V436" s="103"/>
      <c r="W436" s="103"/>
      <c r="X436" s="103"/>
      <c r="Y436" s="103"/>
      <c r="Z436" s="103"/>
      <c r="AA436" s="103"/>
    </row>
    <row r="437" spans="1:27">
      <c r="A437" s="155"/>
      <c r="B437" s="116"/>
      <c r="C437" s="116"/>
      <c r="D437" s="116"/>
      <c r="E437" s="116"/>
      <c r="F437" s="116"/>
      <c r="G437" s="116"/>
      <c r="H437" s="116"/>
      <c r="I437" s="116"/>
      <c r="J437" s="116"/>
      <c r="K437" s="116"/>
      <c r="L437" s="116"/>
      <c r="M437" s="116"/>
      <c r="N437" s="116"/>
      <c r="O437" s="116"/>
      <c r="P437" s="116"/>
      <c r="Q437" s="116"/>
      <c r="R437" s="116"/>
      <c r="S437" s="116"/>
      <c r="T437" s="116"/>
      <c r="U437" s="103"/>
      <c r="V437" s="103"/>
      <c r="W437" s="103"/>
      <c r="X437" s="103"/>
      <c r="Y437" s="103"/>
      <c r="Z437" s="103"/>
      <c r="AA437" s="103"/>
    </row>
    <row r="438" spans="1:27">
      <c r="A438" s="155"/>
      <c r="B438" s="116"/>
      <c r="C438" s="116"/>
      <c r="D438" s="116"/>
      <c r="E438" s="116"/>
      <c r="F438" s="116"/>
      <c r="G438" s="116"/>
      <c r="H438" s="116"/>
      <c r="I438" s="116"/>
      <c r="J438" s="116"/>
      <c r="K438" s="116"/>
      <c r="L438" s="116"/>
      <c r="M438" s="116"/>
      <c r="N438" s="116"/>
      <c r="O438" s="116"/>
      <c r="P438" s="116"/>
      <c r="Q438" s="116"/>
      <c r="R438" s="116"/>
      <c r="S438" s="116"/>
      <c r="T438" s="116"/>
      <c r="U438" s="103"/>
      <c r="V438" s="103"/>
      <c r="W438" s="103"/>
      <c r="X438" s="103"/>
      <c r="Y438" s="103"/>
      <c r="Z438" s="103"/>
      <c r="AA438" s="103"/>
    </row>
    <row r="439" spans="1:27">
      <c r="A439" s="155"/>
      <c r="B439" s="116"/>
      <c r="C439" s="116"/>
      <c r="D439" s="116"/>
      <c r="E439" s="116"/>
      <c r="F439" s="116"/>
      <c r="G439" s="116"/>
      <c r="H439" s="116"/>
      <c r="I439" s="116"/>
      <c r="J439" s="116"/>
      <c r="K439" s="116"/>
      <c r="L439" s="116"/>
      <c r="M439" s="116"/>
      <c r="N439" s="116"/>
      <c r="O439" s="116"/>
      <c r="P439" s="116"/>
      <c r="Q439" s="116"/>
      <c r="R439" s="116"/>
      <c r="S439" s="116"/>
      <c r="T439" s="116"/>
      <c r="U439" s="103"/>
      <c r="V439" s="103"/>
      <c r="W439" s="103"/>
      <c r="X439" s="103"/>
      <c r="Y439" s="103"/>
      <c r="Z439" s="103"/>
      <c r="AA439" s="103"/>
    </row>
    <row r="440" spans="1:27">
      <c r="A440" s="155"/>
      <c r="B440" s="116"/>
      <c r="C440" s="116"/>
      <c r="D440" s="116"/>
      <c r="E440" s="116"/>
      <c r="F440" s="116"/>
      <c r="G440" s="116"/>
      <c r="H440" s="116"/>
      <c r="I440" s="116"/>
      <c r="J440" s="116"/>
      <c r="K440" s="116"/>
      <c r="L440" s="116"/>
      <c r="M440" s="116"/>
      <c r="N440" s="116"/>
      <c r="O440" s="116"/>
      <c r="P440" s="116"/>
      <c r="Q440" s="116"/>
      <c r="R440" s="116"/>
      <c r="S440" s="116"/>
      <c r="T440" s="116"/>
      <c r="U440" s="103"/>
      <c r="V440" s="103"/>
      <c r="W440" s="103"/>
      <c r="X440" s="103"/>
      <c r="Y440" s="103"/>
      <c r="Z440" s="103"/>
      <c r="AA440" s="103"/>
    </row>
    <row r="441" spans="1:27">
      <c r="A441" s="155"/>
      <c r="B441" s="116"/>
      <c r="C441" s="116"/>
      <c r="D441" s="116"/>
      <c r="E441" s="116"/>
      <c r="F441" s="116"/>
      <c r="G441" s="116"/>
      <c r="H441" s="116"/>
      <c r="I441" s="116"/>
      <c r="J441" s="116"/>
      <c r="K441" s="116"/>
      <c r="L441" s="116"/>
      <c r="M441" s="116"/>
      <c r="N441" s="116"/>
      <c r="O441" s="116"/>
      <c r="P441" s="116"/>
      <c r="Q441" s="116"/>
      <c r="R441" s="116"/>
      <c r="S441" s="116"/>
      <c r="T441" s="116"/>
      <c r="U441" s="103"/>
      <c r="V441" s="103"/>
      <c r="W441" s="103"/>
      <c r="X441" s="103"/>
      <c r="Y441" s="103"/>
      <c r="Z441" s="103"/>
      <c r="AA441" s="103"/>
    </row>
    <row r="442" spans="1:27">
      <c r="A442" s="155"/>
      <c r="B442" s="116"/>
      <c r="C442" s="116"/>
      <c r="D442" s="116"/>
      <c r="E442" s="116"/>
      <c r="F442" s="116"/>
      <c r="G442" s="116"/>
      <c r="H442" s="116"/>
      <c r="I442" s="116"/>
      <c r="J442" s="116"/>
      <c r="K442" s="116"/>
      <c r="L442" s="116"/>
      <c r="M442" s="116"/>
      <c r="N442" s="116"/>
      <c r="O442" s="116"/>
      <c r="P442" s="116"/>
      <c r="Q442" s="116"/>
      <c r="R442" s="116"/>
      <c r="S442" s="116"/>
      <c r="T442" s="116"/>
      <c r="U442" s="103"/>
      <c r="V442" s="103"/>
      <c r="W442" s="103"/>
      <c r="X442" s="103"/>
      <c r="Y442" s="103"/>
      <c r="Z442" s="103"/>
      <c r="AA442" s="103"/>
    </row>
    <row r="443" spans="1:27">
      <c r="A443" s="155"/>
      <c r="B443" s="116"/>
      <c r="C443" s="116"/>
      <c r="D443" s="116"/>
      <c r="E443" s="116"/>
      <c r="F443" s="116"/>
      <c r="G443" s="116"/>
      <c r="H443" s="116"/>
      <c r="I443" s="116"/>
      <c r="J443" s="116"/>
      <c r="K443" s="116"/>
      <c r="L443" s="116"/>
      <c r="M443" s="116"/>
      <c r="N443" s="116"/>
      <c r="O443" s="116"/>
      <c r="P443" s="116"/>
      <c r="Q443" s="116"/>
      <c r="R443" s="116"/>
      <c r="S443" s="116"/>
      <c r="T443" s="116"/>
      <c r="U443" s="103"/>
      <c r="V443" s="103"/>
      <c r="W443" s="103"/>
      <c r="X443" s="103"/>
      <c r="Y443" s="103"/>
      <c r="Z443" s="103"/>
      <c r="AA443" s="103"/>
    </row>
    <row r="444" spans="1:27">
      <c r="A444" s="155"/>
      <c r="B444" s="116"/>
      <c r="C444" s="116"/>
      <c r="D444" s="116"/>
      <c r="E444" s="116"/>
      <c r="F444" s="116"/>
      <c r="G444" s="116"/>
      <c r="H444" s="116"/>
      <c r="I444" s="116"/>
      <c r="J444" s="116"/>
      <c r="K444" s="116"/>
      <c r="L444" s="116"/>
      <c r="M444" s="116"/>
      <c r="N444" s="116"/>
      <c r="O444" s="116"/>
      <c r="P444" s="116"/>
      <c r="Q444" s="116"/>
      <c r="R444" s="116"/>
      <c r="S444" s="116"/>
      <c r="T444" s="116"/>
      <c r="U444" s="103"/>
      <c r="V444" s="103"/>
      <c r="W444" s="103"/>
      <c r="X444" s="103"/>
      <c r="Y444" s="103"/>
      <c r="Z444" s="103"/>
      <c r="AA444" s="103"/>
    </row>
    <row r="445" spans="1:27">
      <c r="A445" s="155"/>
      <c r="B445" s="116"/>
      <c r="C445" s="116"/>
      <c r="D445" s="116"/>
      <c r="E445" s="116"/>
      <c r="F445" s="116"/>
      <c r="G445" s="116"/>
      <c r="H445" s="116"/>
      <c r="I445" s="116"/>
      <c r="J445" s="116"/>
      <c r="K445" s="116"/>
      <c r="L445" s="116"/>
      <c r="M445" s="116"/>
      <c r="N445" s="116"/>
      <c r="O445" s="116"/>
      <c r="P445" s="116"/>
      <c r="Q445" s="116"/>
      <c r="R445" s="116"/>
      <c r="S445" s="116"/>
      <c r="T445" s="116"/>
      <c r="U445" s="103"/>
      <c r="V445" s="103"/>
      <c r="W445" s="103"/>
      <c r="X445" s="103"/>
      <c r="Y445" s="103"/>
      <c r="Z445" s="103"/>
      <c r="AA445" s="103"/>
    </row>
    <row r="446" spans="1:27">
      <c r="A446" s="155"/>
      <c r="B446" s="116"/>
      <c r="C446" s="116"/>
      <c r="D446" s="116"/>
      <c r="E446" s="116"/>
      <c r="F446" s="116"/>
      <c r="G446" s="116"/>
      <c r="H446" s="116"/>
      <c r="I446" s="116"/>
      <c r="J446" s="116"/>
      <c r="K446" s="116"/>
      <c r="L446" s="116"/>
      <c r="M446" s="116"/>
      <c r="N446" s="116"/>
      <c r="O446" s="116"/>
      <c r="P446" s="116"/>
      <c r="Q446" s="116"/>
      <c r="R446" s="116"/>
      <c r="S446" s="116"/>
      <c r="T446" s="116"/>
      <c r="U446" s="103"/>
      <c r="V446" s="103"/>
      <c r="W446" s="103"/>
      <c r="X446" s="103"/>
      <c r="Y446" s="103"/>
      <c r="Z446" s="103"/>
      <c r="AA446" s="103"/>
    </row>
    <row r="447" spans="1:27">
      <c r="A447" s="155"/>
      <c r="B447" s="116"/>
      <c r="C447" s="116"/>
      <c r="D447" s="116"/>
      <c r="E447" s="116"/>
      <c r="F447" s="116"/>
      <c r="G447" s="116"/>
      <c r="H447" s="116"/>
      <c r="I447" s="116"/>
      <c r="J447" s="116"/>
      <c r="K447" s="116"/>
      <c r="L447" s="116"/>
      <c r="M447" s="116"/>
      <c r="N447" s="116"/>
      <c r="O447" s="116"/>
      <c r="P447" s="116"/>
      <c r="Q447" s="116"/>
      <c r="R447" s="116"/>
      <c r="S447" s="116"/>
      <c r="T447" s="116"/>
      <c r="U447" s="103"/>
      <c r="V447" s="103"/>
      <c r="W447" s="103"/>
      <c r="X447" s="103"/>
      <c r="Y447" s="103"/>
      <c r="Z447" s="103"/>
      <c r="AA447" s="103"/>
    </row>
    <row r="448" spans="1:27">
      <c r="A448" s="155"/>
      <c r="B448" s="116"/>
      <c r="C448" s="116"/>
      <c r="D448" s="116"/>
      <c r="E448" s="116"/>
      <c r="F448" s="116"/>
      <c r="G448" s="116"/>
      <c r="H448" s="116"/>
      <c r="I448" s="116"/>
      <c r="J448" s="116"/>
      <c r="K448" s="116"/>
      <c r="L448" s="116"/>
      <c r="M448" s="116"/>
      <c r="N448" s="116"/>
      <c r="O448" s="116"/>
      <c r="P448" s="116"/>
      <c r="Q448" s="116"/>
      <c r="R448" s="116"/>
      <c r="S448" s="116"/>
      <c r="T448" s="116"/>
      <c r="U448" s="103"/>
      <c r="V448" s="103"/>
      <c r="W448" s="103"/>
      <c r="X448" s="103"/>
      <c r="Y448" s="103"/>
      <c r="Z448" s="103"/>
      <c r="AA448" s="103"/>
    </row>
    <row r="449" spans="1:27">
      <c r="A449" s="155"/>
      <c r="B449" s="116"/>
      <c r="C449" s="116"/>
      <c r="D449" s="116"/>
      <c r="E449" s="116"/>
      <c r="F449" s="116"/>
      <c r="G449" s="116"/>
      <c r="H449" s="116"/>
      <c r="I449" s="116"/>
      <c r="J449" s="116"/>
      <c r="K449" s="116"/>
      <c r="L449" s="116"/>
      <c r="M449" s="116"/>
      <c r="N449" s="116"/>
      <c r="O449" s="116"/>
      <c r="P449" s="116"/>
      <c r="Q449" s="116"/>
      <c r="R449" s="116"/>
      <c r="S449" s="116"/>
      <c r="T449" s="116"/>
      <c r="U449" s="103"/>
      <c r="V449" s="103"/>
      <c r="W449" s="103"/>
      <c r="X449" s="103"/>
      <c r="Y449" s="103"/>
      <c r="Z449" s="103"/>
      <c r="AA449" s="103"/>
    </row>
    <row r="450" spans="1:27">
      <c r="A450" s="155"/>
      <c r="B450" s="116"/>
      <c r="C450" s="116"/>
      <c r="D450" s="116"/>
      <c r="E450" s="116"/>
      <c r="F450" s="116"/>
      <c r="G450" s="116"/>
      <c r="H450" s="116"/>
      <c r="I450" s="116"/>
      <c r="J450" s="116"/>
      <c r="K450" s="116"/>
      <c r="L450" s="116"/>
      <c r="M450" s="116"/>
      <c r="N450" s="116"/>
      <c r="O450" s="116"/>
      <c r="P450" s="116"/>
      <c r="Q450" s="116"/>
      <c r="R450" s="116"/>
      <c r="S450" s="116"/>
      <c r="T450" s="116"/>
      <c r="U450" s="103"/>
      <c r="V450" s="103"/>
      <c r="W450" s="103"/>
      <c r="X450" s="103"/>
      <c r="Y450" s="103"/>
      <c r="Z450" s="103"/>
      <c r="AA450" s="103"/>
    </row>
    <row r="451" spans="1:27">
      <c r="A451" s="155"/>
      <c r="B451" s="116"/>
      <c r="C451" s="116"/>
      <c r="D451" s="116"/>
      <c r="E451" s="116"/>
      <c r="F451" s="116"/>
      <c r="G451" s="116"/>
      <c r="H451" s="116"/>
      <c r="I451" s="116"/>
      <c r="J451" s="116"/>
      <c r="K451" s="116"/>
      <c r="L451" s="116"/>
      <c r="M451" s="116"/>
      <c r="N451" s="116"/>
      <c r="O451" s="116"/>
      <c r="P451" s="116"/>
      <c r="Q451" s="116"/>
      <c r="R451" s="116"/>
      <c r="S451" s="116"/>
      <c r="T451" s="116"/>
      <c r="U451" s="103"/>
      <c r="V451" s="103"/>
      <c r="W451" s="103"/>
      <c r="X451" s="103"/>
      <c r="Y451" s="103"/>
      <c r="Z451" s="103"/>
      <c r="AA451" s="103"/>
    </row>
    <row r="452" spans="1:27">
      <c r="A452" s="155"/>
      <c r="B452" s="116"/>
      <c r="C452" s="116"/>
      <c r="D452" s="116"/>
      <c r="E452" s="116"/>
      <c r="F452" s="116"/>
      <c r="G452" s="116"/>
      <c r="H452" s="116"/>
      <c r="I452" s="116"/>
      <c r="J452" s="116"/>
      <c r="K452" s="116"/>
      <c r="L452" s="116"/>
      <c r="M452" s="116"/>
      <c r="N452" s="116"/>
      <c r="O452" s="116"/>
      <c r="P452" s="116"/>
      <c r="Q452" s="116"/>
      <c r="R452" s="116"/>
      <c r="S452" s="116"/>
      <c r="T452" s="116"/>
      <c r="U452" s="103"/>
      <c r="V452" s="103"/>
      <c r="W452" s="103"/>
      <c r="X452" s="103"/>
      <c r="Y452" s="103"/>
      <c r="Z452" s="103"/>
      <c r="AA452" s="103"/>
    </row>
    <row r="453" spans="1:27">
      <c r="A453" s="155"/>
      <c r="B453" s="116"/>
      <c r="C453" s="116"/>
      <c r="D453" s="116"/>
      <c r="E453" s="116"/>
      <c r="F453" s="116"/>
      <c r="G453" s="116"/>
      <c r="H453" s="116"/>
      <c r="I453" s="116"/>
      <c r="J453" s="116"/>
      <c r="K453" s="116"/>
      <c r="L453" s="116"/>
      <c r="M453" s="116"/>
      <c r="N453" s="116"/>
      <c r="O453" s="116"/>
      <c r="P453" s="116"/>
      <c r="Q453" s="116"/>
      <c r="R453" s="116"/>
      <c r="S453" s="116"/>
      <c r="T453" s="116"/>
      <c r="U453" s="103"/>
      <c r="V453" s="103"/>
      <c r="W453" s="103"/>
      <c r="X453" s="103"/>
      <c r="Y453" s="103"/>
      <c r="Z453" s="103"/>
      <c r="AA453" s="103"/>
    </row>
    <row r="454" spans="1:27">
      <c r="A454" s="155"/>
      <c r="B454" s="116"/>
      <c r="C454" s="116"/>
      <c r="D454" s="116"/>
      <c r="E454" s="116"/>
      <c r="F454" s="116"/>
      <c r="G454" s="116"/>
      <c r="H454" s="116"/>
      <c r="I454" s="116"/>
      <c r="J454" s="116"/>
      <c r="K454" s="116"/>
      <c r="L454" s="116"/>
      <c r="M454" s="116"/>
      <c r="N454" s="116"/>
      <c r="O454" s="116"/>
      <c r="P454" s="116"/>
      <c r="Q454" s="116"/>
      <c r="R454" s="116"/>
      <c r="S454" s="116"/>
      <c r="T454" s="116"/>
      <c r="U454" s="103"/>
      <c r="V454" s="103"/>
      <c r="W454" s="103"/>
      <c r="X454" s="103"/>
      <c r="Y454" s="103"/>
      <c r="Z454" s="103"/>
      <c r="AA454" s="103"/>
    </row>
    <row r="455" spans="1:27">
      <c r="A455" s="155"/>
      <c r="B455" s="116"/>
      <c r="C455" s="116"/>
      <c r="D455" s="116"/>
      <c r="E455" s="116"/>
      <c r="F455" s="116"/>
      <c r="G455" s="116"/>
      <c r="H455" s="116"/>
      <c r="I455" s="116"/>
      <c r="J455" s="116"/>
      <c r="K455" s="116"/>
      <c r="L455" s="116"/>
      <c r="M455" s="116"/>
      <c r="N455" s="116"/>
      <c r="O455" s="116"/>
      <c r="P455" s="116"/>
      <c r="Q455" s="116"/>
      <c r="R455" s="116"/>
      <c r="S455" s="116"/>
      <c r="T455" s="116"/>
      <c r="U455" s="103"/>
      <c r="V455" s="103"/>
      <c r="W455" s="103"/>
      <c r="X455" s="103"/>
      <c r="Y455" s="103"/>
      <c r="Z455" s="103"/>
      <c r="AA455" s="103"/>
    </row>
    <row r="456" spans="1:27">
      <c r="A456" s="155"/>
      <c r="B456" s="116"/>
      <c r="C456" s="116"/>
      <c r="D456" s="116"/>
      <c r="E456" s="116"/>
      <c r="F456" s="116"/>
      <c r="G456" s="116"/>
      <c r="H456" s="116"/>
      <c r="I456" s="116"/>
      <c r="J456" s="116"/>
      <c r="K456" s="116"/>
      <c r="L456" s="116"/>
      <c r="M456" s="116"/>
      <c r="N456" s="116"/>
      <c r="O456" s="116"/>
      <c r="P456" s="116"/>
      <c r="Q456" s="116"/>
      <c r="R456" s="116"/>
      <c r="S456" s="116"/>
      <c r="T456" s="116"/>
      <c r="U456" s="103"/>
      <c r="V456" s="103"/>
      <c r="W456" s="103"/>
      <c r="X456" s="103"/>
      <c r="Y456" s="103"/>
      <c r="Z456" s="103"/>
      <c r="AA456" s="103"/>
    </row>
    <row r="457" spans="1:27">
      <c r="A457" s="155"/>
      <c r="B457" s="116"/>
      <c r="C457" s="116"/>
      <c r="D457" s="116"/>
      <c r="E457" s="116"/>
      <c r="F457" s="116"/>
      <c r="G457" s="116"/>
      <c r="H457" s="116"/>
      <c r="I457" s="116"/>
      <c r="J457" s="116"/>
      <c r="K457" s="116"/>
      <c r="L457" s="116"/>
      <c r="M457" s="116"/>
      <c r="N457" s="116"/>
      <c r="O457" s="116"/>
      <c r="P457" s="116"/>
      <c r="Q457" s="116"/>
      <c r="R457" s="116"/>
      <c r="S457" s="116"/>
      <c r="T457" s="116"/>
      <c r="U457" s="103"/>
      <c r="V457" s="103"/>
      <c r="W457" s="103"/>
      <c r="X457" s="103"/>
      <c r="Y457" s="103"/>
      <c r="Z457" s="103"/>
      <c r="AA457" s="103"/>
    </row>
    <row r="458" spans="1:27">
      <c r="A458" s="155"/>
      <c r="B458" s="116"/>
      <c r="C458" s="116"/>
      <c r="D458" s="116"/>
      <c r="E458" s="116"/>
      <c r="F458" s="116"/>
      <c r="G458" s="116"/>
      <c r="H458" s="116"/>
      <c r="I458" s="116"/>
      <c r="J458" s="116"/>
      <c r="K458" s="116"/>
      <c r="L458" s="116"/>
      <c r="M458" s="116"/>
      <c r="N458" s="116"/>
      <c r="O458" s="116"/>
      <c r="P458" s="116"/>
      <c r="Q458" s="116"/>
      <c r="R458" s="116"/>
      <c r="S458" s="116"/>
      <c r="T458" s="116"/>
      <c r="U458" s="103"/>
      <c r="V458" s="103"/>
      <c r="W458" s="103"/>
      <c r="X458" s="103"/>
      <c r="Y458" s="103"/>
      <c r="Z458" s="103"/>
      <c r="AA458" s="103"/>
    </row>
    <row r="459" spans="1:27">
      <c r="A459" s="155"/>
      <c r="B459" s="116"/>
      <c r="C459" s="116"/>
      <c r="D459" s="116"/>
      <c r="E459" s="116"/>
      <c r="F459" s="116"/>
      <c r="G459" s="116"/>
      <c r="H459" s="116"/>
      <c r="I459" s="116"/>
      <c r="J459" s="116"/>
      <c r="K459" s="116"/>
      <c r="L459" s="116"/>
      <c r="M459" s="116"/>
      <c r="N459" s="116"/>
      <c r="O459" s="116"/>
      <c r="P459" s="116"/>
      <c r="Q459" s="116"/>
      <c r="R459" s="116"/>
      <c r="S459" s="116"/>
      <c r="T459" s="116"/>
      <c r="U459" s="103"/>
      <c r="V459" s="103"/>
      <c r="W459" s="103"/>
      <c r="X459" s="103"/>
      <c r="Y459" s="103"/>
      <c r="Z459" s="103"/>
      <c r="AA459" s="103"/>
    </row>
    <row r="460" spans="1:27">
      <c r="A460" s="155"/>
      <c r="B460" s="116"/>
      <c r="C460" s="116"/>
      <c r="D460" s="116"/>
      <c r="E460" s="116"/>
      <c r="F460" s="116"/>
      <c r="G460" s="116"/>
      <c r="H460" s="116"/>
      <c r="I460" s="116"/>
      <c r="J460" s="116"/>
      <c r="K460" s="116"/>
      <c r="L460" s="116"/>
      <c r="M460" s="116"/>
      <c r="N460" s="116"/>
      <c r="O460" s="116"/>
      <c r="P460" s="116"/>
      <c r="Q460" s="116"/>
      <c r="R460" s="116"/>
      <c r="S460" s="116"/>
      <c r="T460" s="116"/>
      <c r="U460" s="103"/>
      <c r="V460" s="103"/>
      <c r="W460" s="103"/>
      <c r="X460" s="103"/>
      <c r="Y460" s="103"/>
      <c r="Z460" s="103"/>
      <c r="AA460" s="103"/>
    </row>
    <row r="461" spans="1:27">
      <c r="A461" s="155"/>
      <c r="B461" s="116"/>
      <c r="C461" s="116"/>
      <c r="D461" s="116"/>
      <c r="E461" s="116"/>
      <c r="F461" s="116"/>
      <c r="G461" s="116"/>
      <c r="H461" s="116"/>
      <c r="I461" s="116"/>
      <c r="J461" s="116"/>
      <c r="K461" s="116"/>
      <c r="L461" s="116"/>
      <c r="M461" s="116"/>
      <c r="N461" s="116"/>
      <c r="O461" s="116"/>
      <c r="P461" s="116"/>
      <c r="Q461" s="116"/>
      <c r="R461" s="116"/>
      <c r="S461" s="116"/>
      <c r="T461" s="116"/>
      <c r="U461" s="103"/>
      <c r="V461" s="103"/>
      <c r="W461" s="103"/>
      <c r="X461" s="103"/>
      <c r="Y461" s="103"/>
      <c r="Z461" s="103"/>
      <c r="AA461" s="103"/>
    </row>
    <row r="462" spans="1:27">
      <c r="A462" s="155"/>
      <c r="B462" s="116"/>
      <c r="C462" s="116"/>
      <c r="D462" s="116"/>
      <c r="E462" s="116"/>
      <c r="F462" s="116"/>
      <c r="G462" s="116"/>
      <c r="H462" s="116"/>
      <c r="I462" s="116"/>
      <c r="J462" s="116"/>
      <c r="K462" s="116"/>
      <c r="L462" s="116"/>
      <c r="M462" s="116"/>
      <c r="N462" s="116"/>
      <c r="O462" s="116"/>
      <c r="P462" s="116"/>
      <c r="Q462" s="116"/>
      <c r="R462" s="116"/>
      <c r="S462" s="116"/>
      <c r="T462" s="116"/>
      <c r="U462" s="103"/>
      <c r="V462" s="103"/>
      <c r="W462" s="103"/>
      <c r="X462" s="103"/>
      <c r="Y462" s="103"/>
      <c r="Z462" s="103"/>
      <c r="AA462" s="103"/>
    </row>
    <row r="463" spans="1:27">
      <c r="A463" s="155"/>
      <c r="B463" s="116"/>
      <c r="C463" s="116"/>
      <c r="D463" s="116"/>
      <c r="E463" s="116"/>
      <c r="F463" s="116"/>
      <c r="G463" s="116"/>
      <c r="H463" s="116"/>
      <c r="I463" s="116"/>
      <c r="J463" s="116"/>
      <c r="K463" s="116"/>
      <c r="L463" s="116"/>
      <c r="M463" s="116"/>
      <c r="N463" s="116"/>
      <c r="O463" s="116"/>
      <c r="P463" s="116"/>
      <c r="Q463" s="116"/>
      <c r="R463" s="116"/>
      <c r="S463" s="116"/>
      <c r="T463" s="116"/>
      <c r="U463" s="103"/>
      <c r="V463" s="103"/>
      <c r="W463" s="103"/>
      <c r="X463" s="103"/>
      <c r="Y463" s="103"/>
      <c r="Z463" s="103"/>
      <c r="AA463" s="103"/>
    </row>
    <row r="464" spans="1:27">
      <c r="A464" s="155"/>
      <c r="B464" s="116"/>
      <c r="C464" s="116"/>
      <c r="D464" s="116"/>
      <c r="E464" s="116"/>
      <c r="F464" s="116"/>
      <c r="G464" s="116"/>
      <c r="H464" s="116"/>
      <c r="I464" s="116"/>
      <c r="J464" s="116"/>
      <c r="K464" s="116"/>
      <c r="L464" s="116"/>
      <c r="M464" s="116"/>
      <c r="N464" s="116"/>
      <c r="O464" s="116"/>
      <c r="P464" s="116"/>
      <c r="Q464" s="116"/>
      <c r="R464" s="116"/>
      <c r="S464" s="116"/>
      <c r="T464" s="116"/>
      <c r="U464" s="103"/>
      <c r="V464" s="103"/>
      <c r="W464" s="103"/>
      <c r="X464" s="103"/>
      <c r="Y464" s="103"/>
      <c r="Z464" s="103"/>
      <c r="AA464" s="103"/>
    </row>
    <row r="465" spans="1:27">
      <c r="A465" s="155"/>
      <c r="B465" s="116"/>
      <c r="C465" s="116"/>
      <c r="D465" s="116"/>
      <c r="E465" s="116"/>
      <c r="F465" s="116"/>
      <c r="G465" s="116"/>
      <c r="H465" s="116"/>
      <c r="I465" s="116"/>
      <c r="J465" s="116"/>
      <c r="K465" s="116"/>
      <c r="L465" s="116"/>
      <c r="M465" s="116"/>
      <c r="N465" s="116"/>
      <c r="O465" s="116"/>
      <c r="P465" s="116"/>
      <c r="Q465" s="116"/>
      <c r="R465" s="116"/>
      <c r="S465" s="116"/>
      <c r="T465" s="116"/>
      <c r="U465" s="103"/>
      <c r="V465" s="103"/>
      <c r="W465" s="103"/>
      <c r="X465" s="103"/>
      <c r="Y465" s="103"/>
      <c r="Z465" s="103"/>
      <c r="AA465" s="103"/>
    </row>
    <row r="466" spans="1:27">
      <c r="A466" s="155"/>
      <c r="B466" s="116"/>
      <c r="C466" s="116"/>
      <c r="D466" s="116"/>
      <c r="E466" s="116"/>
      <c r="F466" s="116"/>
      <c r="G466" s="116"/>
      <c r="H466" s="116"/>
      <c r="I466" s="116"/>
      <c r="J466" s="116"/>
      <c r="K466" s="116"/>
      <c r="L466" s="116"/>
      <c r="M466" s="116"/>
      <c r="N466" s="116"/>
      <c r="O466" s="116"/>
      <c r="P466" s="116"/>
      <c r="Q466" s="116"/>
      <c r="R466" s="116"/>
      <c r="S466" s="116"/>
      <c r="T466" s="116"/>
      <c r="U466" s="103"/>
      <c r="V466" s="103"/>
      <c r="W466" s="103"/>
      <c r="X466" s="103"/>
      <c r="Y466" s="103"/>
      <c r="Z466" s="103"/>
      <c r="AA466" s="103"/>
    </row>
    <row r="467" spans="1:27">
      <c r="A467" s="155"/>
      <c r="B467" s="116"/>
      <c r="C467" s="116"/>
      <c r="D467" s="116"/>
      <c r="E467" s="116"/>
      <c r="F467" s="116"/>
      <c r="G467" s="116"/>
      <c r="H467" s="116"/>
      <c r="I467" s="116"/>
      <c r="J467" s="116"/>
      <c r="K467" s="116"/>
      <c r="L467" s="116"/>
      <c r="M467" s="116"/>
      <c r="N467" s="116"/>
      <c r="O467" s="116"/>
      <c r="P467" s="116"/>
      <c r="Q467" s="116"/>
      <c r="R467" s="116"/>
      <c r="S467" s="116"/>
      <c r="T467" s="116"/>
      <c r="U467" s="103"/>
      <c r="V467" s="103"/>
      <c r="W467" s="103"/>
      <c r="X467" s="103"/>
      <c r="Y467" s="103"/>
      <c r="Z467" s="103"/>
      <c r="AA467" s="103"/>
    </row>
    <row r="468" spans="1:27">
      <c r="A468" s="155"/>
      <c r="B468" s="116"/>
      <c r="C468" s="116"/>
      <c r="D468" s="116"/>
      <c r="E468" s="116"/>
      <c r="F468" s="116"/>
      <c r="G468" s="116"/>
      <c r="H468" s="116"/>
      <c r="I468" s="116"/>
      <c r="J468" s="116"/>
      <c r="K468" s="116"/>
      <c r="L468" s="116"/>
      <c r="M468" s="116"/>
      <c r="N468" s="116"/>
      <c r="O468" s="116"/>
      <c r="P468" s="116"/>
      <c r="Q468" s="116"/>
      <c r="R468" s="116"/>
      <c r="S468" s="116"/>
      <c r="T468" s="116"/>
      <c r="U468" s="103"/>
      <c r="V468" s="103"/>
      <c r="W468" s="103"/>
      <c r="X468" s="103"/>
      <c r="Y468" s="103"/>
      <c r="Z468" s="103"/>
      <c r="AA468" s="103"/>
    </row>
    <row r="469" spans="1:27">
      <c r="A469" s="155"/>
      <c r="B469" s="116"/>
      <c r="C469" s="116"/>
      <c r="D469" s="116"/>
      <c r="E469" s="116"/>
      <c r="F469" s="116"/>
      <c r="G469" s="116"/>
      <c r="H469" s="116"/>
      <c r="I469" s="116"/>
      <c r="J469" s="116"/>
      <c r="K469" s="116"/>
      <c r="L469" s="116"/>
      <c r="M469" s="116"/>
      <c r="N469" s="116"/>
      <c r="O469" s="116"/>
      <c r="P469" s="116"/>
      <c r="Q469" s="116"/>
      <c r="R469" s="116"/>
      <c r="S469" s="116"/>
      <c r="T469" s="116"/>
      <c r="U469" s="103"/>
      <c r="V469" s="103"/>
      <c r="W469" s="103"/>
      <c r="X469" s="103"/>
      <c r="Y469" s="103"/>
      <c r="Z469" s="103"/>
      <c r="AA469" s="103"/>
    </row>
    <row r="470" spans="1:27">
      <c r="A470" s="155"/>
      <c r="B470" s="116"/>
      <c r="C470" s="116"/>
      <c r="D470" s="116"/>
      <c r="E470" s="116"/>
      <c r="F470" s="116"/>
      <c r="G470" s="116"/>
      <c r="H470" s="116"/>
      <c r="I470" s="116"/>
      <c r="J470" s="116"/>
      <c r="K470" s="116"/>
      <c r="L470" s="116"/>
      <c r="M470" s="116"/>
      <c r="N470" s="116"/>
      <c r="O470" s="116"/>
      <c r="P470" s="116"/>
      <c r="Q470" s="116"/>
      <c r="R470" s="116"/>
      <c r="S470" s="116"/>
      <c r="T470" s="116"/>
      <c r="U470" s="103"/>
      <c r="V470" s="103"/>
      <c r="W470" s="103"/>
      <c r="X470" s="103"/>
      <c r="Y470" s="103"/>
      <c r="Z470" s="103"/>
      <c r="AA470" s="103"/>
    </row>
    <row r="471" spans="1:27">
      <c r="A471" s="155"/>
      <c r="B471" s="116"/>
      <c r="C471" s="116"/>
      <c r="D471" s="116"/>
      <c r="E471" s="116"/>
      <c r="F471" s="116"/>
      <c r="G471" s="116"/>
      <c r="H471" s="116"/>
      <c r="I471" s="116"/>
      <c r="J471" s="116"/>
      <c r="K471" s="116"/>
      <c r="L471" s="116"/>
      <c r="M471" s="116"/>
      <c r="N471" s="116"/>
      <c r="O471" s="116"/>
      <c r="P471" s="116"/>
      <c r="Q471" s="116"/>
      <c r="R471" s="116"/>
      <c r="S471" s="116"/>
      <c r="T471" s="116"/>
      <c r="U471" s="103"/>
      <c r="V471" s="103"/>
      <c r="W471" s="103"/>
      <c r="X471" s="103"/>
      <c r="Y471" s="103"/>
      <c r="Z471" s="103"/>
      <c r="AA471" s="103"/>
    </row>
    <row r="472" spans="1:27">
      <c r="A472" s="155"/>
      <c r="B472" s="116"/>
      <c r="C472" s="116"/>
      <c r="D472" s="116"/>
      <c r="E472" s="116"/>
      <c r="F472" s="116"/>
      <c r="G472" s="116"/>
      <c r="H472" s="116"/>
      <c r="I472" s="116"/>
      <c r="J472" s="116"/>
      <c r="K472" s="116"/>
      <c r="L472" s="116"/>
      <c r="M472" s="116"/>
      <c r="N472" s="116"/>
      <c r="O472" s="116"/>
      <c r="P472" s="116"/>
      <c r="Q472" s="116"/>
      <c r="R472" s="116"/>
      <c r="S472" s="116"/>
      <c r="T472" s="116"/>
      <c r="U472" s="103"/>
      <c r="V472" s="103"/>
      <c r="W472" s="103"/>
      <c r="X472" s="103"/>
      <c r="Y472" s="103"/>
      <c r="Z472" s="103"/>
      <c r="AA472" s="103"/>
    </row>
    <row r="473" spans="1:27">
      <c r="A473" s="155"/>
      <c r="B473" s="116"/>
      <c r="C473" s="116"/>
      <c r="D473" s="116"/>
      <c r="E473" s="116"/>
      <c r="F473" s="116"/>
      <c r="G473" s="116"/>
      <c r="H473" s="116"/>
      <c r="I473" s="116"/>
      <c r="J473" s="116"/>
      <c r="K473" s="116"/>
      <c r="L473" s="116"/>
      <c r="M473" s="116"/>
      <c r="N473" s="116"/>
      <c r="O473" s="116"/>
      <c r="P473" s="116"/>
      <c r="Q473" s="116"/>
      <c r="R473" s="116"/>
      <c r="S473" s="116"/>
      <c r="T473" s="116"/>
      <c r="U473" s="103"/>
      <c r="V473" s="103"/>
      <c r="W473" s="103"/>
      <c r="X473" s="103"/>
      <c r="Y473" s="103"/>
      <c r="Z473" s="103"/>
      <c r="AA473" s="103"/>
    </row>
    <row r="474" spans="1:27">
      <c r="A474" s="155"/>
      <c r="B474" s="116"/>
      <c r="C474" s="116"/>
      <c r="D474" s="116"/>
      <c r="E474" s="116"/>
      <c r="F474" s="116"/>
      <c r="G474" s="116"/>
      <c r="H474" s="116"/>
      <c r="I474" s="116"/>
      <c r="J474" s="116"/>
      <c r="K474" s="116"/>
      <c r="L474" s="116"/>
      <c r="M474" s="116"/>
      <c r="N474" s="116"/>
      <c r="O474" s="116"/>
      <c r="P474" s="116"/>
      <c r="Q474" s="116"/>
      <c r="R474" s="116"/>
      <c r="S474" s="116"/>
      <c r="T474" s="116"/>
      <c r="U474" s="103"/>
      <c r="V474" s="103"/>
      <c r="W474" s="103"/>
      <c r="X474" s="103"/>
      <c r="Y474" s="103"/>
      <c r="Z474" s="103"/>
      <c r="AA474" s="103"/>
    </row>
    <row r="475" spans="1:27">
      <c r="A475" s="155"/>
      <c r="B475" s="116"/>
      <c r="C475" s="116"/>
      <c r="D475" s="116"/>
      <c r="E475" s="116"/>
      <c r="F475" s="116"/>
      <c r="G475" s="116"/>
      <c r="H475" s="116"/>
      <c r="I475" s="116"/>
      <c r="J475" s="116"/>
      <c r="K475" s="116"/>
      <c r="L475" s="116"/>
      <c r="M475" s="116"/>
      <c r="N475" s="116"/>
      <c r="O475" s="116"/>
      <c r="P475" s="116"/>
      <c r="Q475" s="116"/>
      <c r="R475" s="116"/>
      <c r="S475" s="116"/>
      <c r="T475" s="116"/>
      <c r="U475" s="103"/>
      <c r="V475" s="103"/>
      <c r="W475" s="103"/>
      <c r="X475" s="103"/>
      <c r="Y475" s="103"/>
      <c r="Z475" s="103"/>
      <c r="AA475" s="103"/>
    </row>
    <row r="476" spans="1:27">
      <c r="A476" s="155"/>
      <c r="B476" s="116"/>
      <c r="C476" s="116"/>
      <c r="D476" s="116"/>
      <c r="E476" s="116"/>
      <c r="F476" s="116"/>
      <c r="G476" s="116"/>
      <c r="H476" s="116"/>
      <c r="I476" s="116"/>
      <c r="J476" s="116"/>
      <c r="K476" s="116"/>
      <c r="L476" s="116"/>
      <c r="M476" s="116"/>
      <c r="N476" s="116"/>
      <c r="O476" s="116"/>
      <c r="P476" s="116"/>
      <c r="Q476" s="116"/>
      <c r="R476" s="116"/>
      <c r="S476" s="116"/>
      <c r="T476" s="116"/>
      <c r="U476" s="103"/>
      <c r="V476" s="103"/>
      <c r="W476" s="103"/>
      <c r="X476" s="103"/>
      <c r="Y476" s="103"/>
      <c r="Z476" s="103"/>
      <c r="AA476" s="103"/>
    </row>
    <row r="477" spans="1:27">
      <c r="A477" s="155"/>
      <c r="B477" s="116"/>
      <c r="C477" s="116"/>
      <c r="D477" s="116"/>
      <c r="E477" s="116"/>
      <c r="F477" s="116"/>
      <c r="G477" s="116"/>
      <c r="H477" s="116"/>
      <c r="I477" s="116"/>
      <c r="J477" s="116"/>
      <c r="K477" s="116"/>
      <c r="L477" s="116"/>
      <c r="M477" s="116"/>
      <c r="N477" s="116"/>
      <c r="O477" s="116"/>
      <c r="P477" s="116"/>
      <c r="Q477" s="116"/>
      <c r="R477" s="116"/>
      <c r="S477" s="116"/>
      <c r="T477" s="116"/>
      <c r="U477" s="103"/>
      <c r="V477" s="103"/>
      <c r="W477" s="103"/>
      <c r="X477" s="103"/>
      <c r="Y477" s="103"/>
      <c r="Z477" s="103"/>
      <c r="AA477" s="103"/>
    </row>
    <row r="478" spans="1:27">
      <c r="A478" s="155"/>
      <c r="B478" s="116"/>
      <c r="C478" s="116"/>
      <c r="D478" s="116"/>
      <c r="E478" s="116"/>
      <c r="F478" s="116"/>
      <c r="G478" s="116"/>
      <c r="H478" s="116"/>
      <c r="I478" s="116"/>
      <c r="J478" s="116"/>
      <c r="K478" s="116"/>
      <c r="L478" s="116"/>
      <c r="M478" s="116"/>
      <c r="N478" s="116"/>
      <c r="O478" s="116"/>
      <c r="P478" s="116"/>
      <c r="Q478" s="116"/>
      <c r="R478" s="116"/>
      <c r="S478" s="116"/>
      <c r="T478" s="116"/>
      <c r="U478" s="103"/>
      <c r="V478" s="103"/>
      <c r="W478" s="103"/>
      <c r="X478" s="103"/>
      <c r="Y478" s="103"/>
      <c r="Z478" s="103"/>
      <c r="AA478" s="103"/>
    </row>
    <row r="479" spans="1:27">
      <c r="A479" s="155"/>
      <c r="B479" s="116"/>
      <c r="C479" s="116"/>
      <c r="D479" s="116"/>
      <c r="E479" s="116"/>
      <c r="F479" s="116"/>
      <c r="G479" s="116"/>
      <c r="H479" s="116"/>
      <c r="I479" s="116"/>
      <c r="J479" s="116"/>
      <c r="K479" s="116"/>
      <c r="L479" s="116"/>
      <c r="M479" s="116"/>
      <c r="N479" s="116"/>
      <c r="O479" s="116"/>
      <c r="P479" s="116"/>
      <c r="Q479" s="116"/>
      <c r="R479" s="116"/>
      <c r="S479" s="116"/>
      <c r="T479" s="116"/>
      <c r="U479" s="103"/>
      <c r="V479" s="103"/>
      <c r="W479" s="103"/>
      <c r="X479" s="103"/>
      <c r="Y479" s="103"/>
      <c r="Z479" s="103"/>
      <c r="AA479" s="103"/>
    </row>
    <row r="480" spans="1:27">
      <c r="A480" s="155"/>
      <c r="B480" s="116"/>
      <c r="C480" s="116"/>
      <c r="D480" s="116"/>
      <c r="E480" s="116"/>
      <c r="F480" s="116"/>
      <c r="G480" s="116"/>
      <c r="H480" s="116"/>
      <c r="I480" s="116"/>
      <c r="J480" s="116"/>
      <c r="K480" s="116"/>
      <c r="L480" s="116"/>
      <c r="M480" s="116"/>
      <c r="N480" s="116"/>
      <c r="O480" s="116"/>
      <c r="P480" s="116"/>
      <c r="Q480" s="116"/>
      <c r="R480" s="116"/>
      <c r="S480" s="116"/>
      <c r="T480" s="116"/>
      <c r="U480" s="103"/>
      <c r="V480" s="103"/>
      <c r="W480" s="103"/>
      <c r="X480" s="103"/>
      <c r="Y480" s="103"/>
      <c r="Z480" s="103"/>
      <c r="AA480" s="103"/>
    </row>
    <row r="481" spans="1:27">
      <c r="A481" s="155"/>
      <c r="B481" s="116"/>
      <c r="C481" s="116"/>
      <c r="D481" s="116"/>
      <c r="E481" s="116"/>
      <c r="F481" s="116"/>
      <c r="G481" s="116"/>
      <c r="H481" s="116"/>
      <c r="I481" s="116"/>
      <c r="J481" s="116"/>
      <c r="K481" s="116"/>
      <c r="L481" s="116"/>
      <c r="M481" s="116"/>
      <c r="N481" s="116"/>
      <c r="O481" s="116"/>
      <c r="P481" s="116"/>
      <c r="Q481" s="116"/>
      <c r="R481" s="116"/>
      <c r="S481" s="116"/>
      <c r="T481" s="116"/>
      <c r="U481" s="103"/>
      <c r="V481" s="103"/>
      <c r="W481" s="103"/>
      <c r="X481" s="103"/>
      <c r="Y481" s="103"/>
      <c r="Z481" s="103"/>
      <c r="AA481" s="103"/>
    </row>
    <row r="482" spans="1:27">
      <c r="A482" s="155"/>
      <c r="B482" s="116"/>
      <c r="C482" s="116"/>
      <c r="D482" s="116"/>
      <c r="E482" s="116"/>
      <c r="F482" s="116"/>
      <c r="G482" s="116"/>
      <c r="H482" s="116"/>
      <c r="I482" s="116"/>
      <c r="J482" s="116"/>
      <c r="K482" s="116"/>
      <c r="L482" s="116"/>
      <c r="M482" s="116"/>
      <c r="N482" s="116"/>
      <c r="O482" s="116"/>
      <c r="P482" s="116"/>
      <c r="Q482" s="116"/>
      <c r="R482" s="116"/>
      <c r="S482" s="116"/>
      <c r="T482" s="116"/>
      <c r="U482" s="103"/>
      <c r="V482" s="103"/>
      <c r="W482" s="103"/>
      <c r="X482" s="103"/>
      <c r="Y482" s="103"/>
      <c r="Z482" s="103"/>
      <c r="AA482" s="103"/>
    </row>
    <row r="483" spans="1:27">
      <c r="A483" s="155"/>
      <c r="B483" s="116"/>
      <c r="C483" s="116"/>
      <c r="D483" s="116"/>
      <c r="E483" s="116"/>
      <c r="F483" s="116"/>
      <c r="G483" s="116"/>
      <c r="H483" s="116"/>
      <c r="I483" s="116"/>
      <c r="J483" s="116"/>
      <c r="K483" s="116"/>
      <c r="L483" s="116"/>
      <c r="M483" s="116"/>
      <c r="N483" s="116"/>
      <c r="O483" s="116"/>
      <c r="P483" s="116"/>
      <c r="Q483" s="116"/>
      <c r="R483" s="116"/>
      <c r="S483" s="116"/>
      <c r="T483" s="116"/>
      <c r="U483" s="103"/>
      <c r="V483" s="103"/>
      <c r="W483" s="103"/>
      <c r="X483" s="103"/>
      <c r="Y483" s="103"/>
      <c r="Z483" s="103"/>
      <c r="AA483" s="103"/>
    </row>
    <row r="484" spans="1:27">
      <c r="A484" s="155"/>
      <c r="B484" s="116"/>
      <c r="C484" s="116"/>
      <c r="D484" s="116"/>
      <c r="E484" s="116"/>
      <c r="F484" s="116"/>
      <c r="G484" s="116"/>
      <c r="H484" s="116"/>
      <c r="I484" s="116"/>
      <c r="J484" s="116"/>
      <c r="K484" s="116"/>
      <c r="L484" s="116"/>
      <c r="M484" s="116"/>
      <c r="N484" s="116"/>
      <c r="O484" s="116"/>
      <c r="P484" s="116"/>
      <c r="Q484" s="116"/>
      <c r="R484" s="116"/>
      <c r="S484" s="116"/>
      <c r="T484" s="116"/>
      <c r="U484" s="103"/>
      <c r="V484" s="103"/>
      <c r="W484" s="103"/>
      <c r="X484" s="103"/>
      <c r="Y484" s="103"/>
      <c r="Z484" s="103"/>
      <c r="AA484" s="103"/>
    </row>
    <row r="485" spans="1:27">
      <c r="A485" s="155"/>
      <c r="B485" s="116"/>
      <c r="C485" s="116"/>
      <c r="D485" s="116"/>
      <c r="E485" s="116"/>
      <c r="F485" s="116"/>
      <c r="G485" s="116"/>
      <c r="H485" s="116"/>
      <c r="I485" s="116"/>
      <c r="J485" s="116"/>
      <c r="K485" s="116"/>
      <c r="L485" s="116"/>
      <c r="M485" s="116"/>
      <c r="N485" s="116"/>
      <c r="O485" s="116"/>
      <c r="P485" s="116"/>
      <c r="Q485" s="116"/>
      <c r="R485" s="116"/>
      <c r="S485" s="116"/>
      <c r="T485" s="116"/>
      <c r="U485" s="103"/>
      <c r="V485" s="103"/>
      <c r="W485" s="103"/>
      <c r="X485" s="103"/>
      <c r="Y485" s="103"/>
      <c r="Z485" s="103"/>
      <c r="AA485" s="103"/>
    </row>
    <row r="486" spans="1:27">
      <c r="A486" s="155"/>
      <c r="B486" s="116"/>
      <c r="C486" s="116"/>
      <c r="D486" s="116"/>
      <c r="E486" s="116"/>
      <c r="F486" s="116"/>
      <c r="G486" s="116"/>
      <c r="H486" s="116"/>
      <c r="I486" s="116"/>
      <c r="J486" s="116"/>
      <c r="K486" s="116"/>
      <c r="L486" s="116"/>
      <c r="M486" s="116"/>
      <c r="N486" s="116"/>
      <c r="O486" s="116"/>
      <c r="P486" s="116"/>
      <c r="Q486" s="116"/>
      <c r="R486" s="116"/>
      <c r="S486" s="116"/>
      <c r="T486" s="116"/>
      <c r="U486" s="103"/>
      <c r="V486" s="103"/>
      <c r="W486" s="103"/>
      <c r="X486" s="103"/>
      <c r="Y486" s="103"/>
      <c r="Z486" s="103"/>
      <c r="AA486" s="103"/>
    </row>
    <row r="487" spans="1:27">
      <c r="A487" s="155"/>
      <c r="B487" s="116"/>
      <c r="C487" s="116"/>
      <c r="D487" s="116"/>
      <c r="E487" s="116"/>
      <c r="F487" s="116"/>
      <c r="G487" s="116"/>
      <c r="H487" s="116"/>
      <c r="I487" s="116"/>
      <c r="J487" s="116"/>
      <c r="K487" s="116"/>
      <c r="L487" s="116"/>
      <c r="M487" s="116"/>
      <c r="N487" s="116"/>
      <c r="O487" s="116"/>
      <c r="P487" s="116"/>
      <c r="Q487" s="116"/>
      <c r="R487" s="116"/>
      <c r="S487" s="116"/>
      <c r="T487" s="116"/>
      <c r="U487" s="103"/>
      <c r="V487" s="103"/>
      <c r="W487" s="103"/>
      <c r="X487" s="103"/>
      <c r="Y487" s="103"/>
      <c r="Z487" s="103"/>
      <c r="AA487" s="103"/>
    </row>
    <row r="488" spans="1:27">
      <c r="A488" s="155"/>
      <c r="B488" s="116"/>
      <c r="C488" s="116"/>
      <c r="D488" s="116"/>
      <c r="E488" s="116"/>
      <c r="F488" s="116"/>
      <c r="G488" s="116"/>
      <c r="H488" s="116"/>
      <c r="I488" s="116"/>
      <c r="J488" s="116"/>
      <c r="K488" s="116"/>
      <c r="L488" s="116"/>
      <c r="M488" s="116"/>
      <c r="N488" s="116"/>
      <c r="O488" s="116"/>
      <c r="P488" s="116"/>
      <c r="Q488" s="116"/>
      <c r="R488" s="116"/>
      <c r="S488" s="116"/>
      <c r="T488" s="116"/>
      <c r="U488" s="103"/>
      <c r="V488" s="103"/>
      <c r="W488" s="103"/>
      <c r="X488" s="103"/>
      <c r="Y488" s="103"/>
      <c r="Z488" s="103"/>
      <c r="AA488" s="103"/>
    </row>
    <row r="489" spans="1:27">
      <c r="A489" s="155"/>
      <c r="B489" s="116"/>
      <c r="C489" s="116"/>
      <c r="D489" s="116"/>
      <c r="E489" s="116"/>
      <c r="F489" s="116"/>
      <c r="G489" s="116"/>
      <c r="H489" s="116"/>
      <c r="I489" s="116"/>
      <c r="J489" s="116"/>
      <c r="K489" s="116"/>
      <c r="L489" s="116"/>
      <c r="M489" s="116"/>
      <c r="N489" s="116"/>
      <c r="O489" s="116"/>
      <c r="P489" s="116"/>
      <c r="Q489" s="116"/>
      <c r="R489" s="116"/>
      <c r="S489" s="116"/>
      <c r="T489" s="116"/>
      <c r="U489" s="103"/>
      <c r="V489" s="103"/>
      <c r="W489" s="103"/>
      <c r="X489" s="103"/>
      <c r="Y489" s="103"/>
      <c r="Z489" s="103"/>
      <c r="AA489" s="103"/>
    </row>
    <row r="490" spans="1:27">
      <c r="A490" s="155"/>
      <c r="B490" s="116"/>
      <c r="C490" s="116"/>
      <c r="D490" s="116"/>
      <c r="E490" s="116"/>
      <c r="F490" s="116"/>
      <c r="G490" s="116"/>
      <c r="H490" s="116"/>
      <c r="I490" s="116"/>
      <c r="J490" s="116"/>
      <c r="K490" s="116"/>
      <c r="L490" s="116"/>
      <c r="M490" s="116"/>
      <c r="N490" s="116"/>
      <c r="O490" s="116"/>
      <c r="P490" s="116"/>
      <c r="Q490" s="116"/>
      <c r="R490" s="116"/>
      <c r="S490" s="116"/>
      <c r="T490" s="116"/>
      <c r="U490" s="103"/>
      <c r="V490" s="103"/>
      <c r="W490" s="103"/>
      <c r="X490" s="103"/>
      <c r="Y490" s="103"/>
      <c r="Z490" s="103"/>
      <c r="AA490" s="103"/>
    </row>
    <row r="491" spans="1:27">
      <c r="A491" s="155"/>
      <c r="B491" s="116"/>
      <c r="C491" s="116"/>
      <c r="D491" s="116"/>
      <c r="E491" s="116"/>
      <c r="F491" s="116"/>
      <c r="G491" s="116"/>
      <c r="H491" s="116"/>
      <c r="I491" s="116"/>
      <c r="J491" s="116"/>
      <c r="K491" s="116"/>
      <c r="L491" s="116"/>
      <c r="M491" s="116"/>
      <c r="N491" s="116"/>
      <c r="O491" s="116"/>
      <c r="P491" s="116"/>
      <c r="Q491" s="116"/>
      <c r="R491" s="116"/>
      <c r="S491" s="116"/>
      <c r="T491" s="116"/>
      <c r="U491" s="103"/>
      <c r="V491" s="103"/>
      <c r="W491" s="103"/>
      <c r="X491" s="103"/>
      <c r="Y491" s="103"/>
      <c r="Z491" s="103"/>
      <c r="AA491" s="103"/>
    </row>
    <row r="492" spans="1:27">
      <c r="A492" s="155"/>
      <c r="B492" s="116"/>
      <c r="C492" s="116"/>
      <c r="D492" s="116"/>
      <c r="E492" s="116"/>
      <c r="F492" s="116"/>
      <c r="G492" s="116"/>
      <c r="H492" s="116"/>
      <c r="I492" s="116"/>
      <c r="J492" s="116"/>
      <c r="K492" s="116"/>
      <c r="L492" s="116"/>
      <c r="M492" s="116"/>
      <c r="N492" s="116"/>
      <c r="O492" s="116"/>
      <c r="P492" s="116"/>
      <c r="Q492" s="116"/>
      <c r="R492" s="116"/>
      <c r="S492" s="116"/>
      <c r="T492" s="116"/>
      <c r="U492" s="103"/>
      <c r="V492" s="103"/>
      <c r="W492" s="103"/>
      <c r="X492" s="103"/>
      <c r="Y492" s="103"/>
      <c r="Z492" s="103"/>
      <c r="AA492" s="103"/>
    </row>
    <row r="493" spans="1:27">
      <c r="A493" s="155"/>
      <c r="B493" s="116"/>
      <c r="C493" s="116"/>
      <c r="D493" s="116"/>
      <c r="E493" s="116"/>
      <c r="F493" s="116"/>
      <c r="G493" s="116"/>
      <c r="H493" s="116"/>
      <c r="I493" s="116"/>
      <c r="J493" s="116"/>
      <c r="K493" s="116"/>
      <c r="L493" s="116"/>
      <c r="M493" s="116"/>
      <c r="N493" s="116"/>
      <c r="O493" s="116"/>
      <c r="P493" s="116"/>
      <c r="Q493" s="116"/>
      <c r="R493" s="116"/>
      <c r="S493" s="116"/>
      <c r="T493" s="116"/>
      <c r="U493" s="103"/>
      <c r="V493" s="103"/>
      <c r="W493" s="103"/>
      <c r="X493" s="103"/>
      <c r="Y493" s="103"/>
      <c r="Z493" s="103"/>
      <c r="AA493" s="103"/>
    </row>
    <row r="494" spans="1:27">
      <c r="A494" s="155"/>
      <c r="B494" s="116"/>
      <c r="C494" s="116"/>
      <c r="D494" s="116"/>
      <c r="E494" s="116"/>
      <c r="F494" s="116"/>
      <c r="G494" s="116"/>
      <c r="H494" s="116"/>
      <c r="I494" s="116"/>
      <c r="J494" s="116"/>
      <c r="K494" s="116"/>
      <c r="L494" s="116"/>
      <c r="M494" s="116"/>
      <c r="N494" s="116"/>
      <c r="O494" s="116"/>
      <c r="P494" s="116"/>
      <c r="Q494" s="116"/>
      <c r="R494" s="116"/>
      <c r="S494" s="116"/>
      <c r="T494" s="116"/>
      <c r="U494" s="103"/>
      <c r="V494" s="103"/>
      <c r="W494" s="103"/>
      <c r="X494" s="103"/>
      <c r="Y494" s="103"/>
      <c r="Z494" s="103"/>
      <c r="AA494" s="103"/>
    </row>
    <row r="495" spans="1:27">
      <c r="A495" s="155"/>
      <c r="B495" s="116"/>
      <c r="C495" s="116"/>
      <c r="D495" s="116"/>
      <c r="E495" s="116"/>
      <c r="F495" s="116"/>
      <c r="G495" s="116"/>
      <c r="H495" s="116"/>
      <c r="I495" s="116"/>
      <c r="J495" s="116"/>
      <c r="K495" s="116"/>
      <c r="L495" s="116"/>
      <c r="M495" s="116"/>
      <c r="N495" s="116"/>
      <c r="O495" s="116"/>
      <c r="P495" s="116"/>
      <c r="Q495" s="116"/>
      <c r="R495" s="116"/>
      <c r="S495" s="116"/>
      <c r="T495" s="116"/>
      <c r="U495" s="103"/>
      <c r="V495" s="103"/>
      <c r="W495" s="103"/>
      <c r="X495" s="103"/>
      <c r="Y495" s="103"/>
      <c r="Z495" s="103"/>
      <c r="AA495" s="103"/>
    </row>
    <row r="496" spans="1:27">
      <c r="A496" s="155"/>
      <c r="B496" s="116"/>
      <c r="C496" s="116"/>
      <c r="D496" s="116"/>
      <c r="E496" s="116"/>
      <c r="F496" s="116"/>
      <c r="G496" s="116"/>
      <c r="H496" s="116"/>
      <c r="I496" s="116"/>
      <c r="J496" s="116"/>
      <c r="K496" s="116"/>
      <c r="L496" s="116"/>
      <c r="M496" s="116"/>
      <c r="N496" s="116"/>
      <c r="O496" s="116"/>
      <c r="P496" s="116"/>
      <c r="Q496" s="116"/>
      <c r="R496" s="116"/>
      <c r="S496" s="116"/>
      <c r="T496" s="116"/>
      <c r="U496" s="103"/>
      <c r="V496" s="103"/>
      <c r="W496" s="103"/>
      <c r="X496" s="103"/>
      <c r="Y496" s="103"/>
      <c r="Z496" s="103"/>
      <c r="AA496" s="103"/>
    </row>
    <row r="497" spans="1:27">
      <c r="A497" s="155"/>
      <c r="B497" s="116"/>
      <c r="C497" s="116"/>
      <c r="D497" s="116"/>
      <c r="E497" s="116"/>
      <c r="F497" s="116"/>
      <c r="G497" s="116"/>
      <c r="H497" s="116"/>
      <c r="I497" s="116"/>
      <c r="J497" s="116"/>
      <c r="K497" s="116"/>
      <c r="L497" s="116"/>
      <c r="M497" s="116"/>
      <c r="N497" s="116"/>
      <c r="O497" s="116"/>
      <c r="P497" s="116"/>
      <c r="Q497" s="116"/>
      <c r="R497" s="116"/>
      <c r="S497" s="116"/>
      <c r="T497" s="116"/>
      <c r="U497" s="103"/>
      <c r="V497" s="103"/>
      <c r="W497" s="103"/>
      <c r="X497" s="103"/>
      <c r="Y497" s="103"/>
      <c r="Z497" s="103"/>
      <c r="AA497" s="103"/>
    </row>
    <row r="498" spans="1:27">
      <c r="A498" s="155"/>
      <c r="B498" s="116"/>
      <c r="C498" s="116"/>
      <c r="D498" s="116"/>
      <c r="E498" s="116"/>
      <c r="F498" s="116"/>
      <c r="G498" s="116"/>
      <c r="H498" s="116"/>
      <c r="I498" s="116"/>
      <c r="J498" s="116"/>
      <c r="K498" s="116"/>
      <c r="L498" s="116"/>
      <c r="M498" s="116"/>
      <c r="N498" s="116"/>
      <c r="O498" s="116"/>
      <c r="P498" s="116"/>
      <c r="Q498" s="116"/>
      <c r="R498" s="116"/>
      <c r="S498" s="116"/>
      <c r="T498" s="116"/>
      <c r="U498" s="103"/>
      <c r="V498" s="103"/>
      <c r="W498" s="103"/>
      <c r="X498" s="103"/>
      <c r="Y498" s="103"/>
      <c r="Z498" s="103"/>
      <c r="AA498" s="103"/>
    </row>
    <row r="499" spans="1:27">
      <c r="A499" s="155"/>
      <c r="B499" s="116"/>
      <c r="C499" s="116"/>
      <c r="D499" s="116"/>
      <c r="E499" s="116"/>
      <c r="F499" s="116"/>
      <c r="G499" s="116"/>
      <c r="H499" s="116"/>
      <c r="I499" s="116"/>
      <c r="J499" s="116"/>
      <c r="K499" s="116"/>
      <c r="L499" s="116"/>
      <c r="M499" s="116"/>
      <c r="N499" s="116"/>
      <c r="O499" s="116"/>
      <c r="P499" s="116"/>
      <c r="Q499" s="116"/>
      <c r="R499" s="116"/>
      <c r="S499" s="116"/>
      <c r="T499" s="116"/>
      <c r="U499" s="103"/>
      <c r="V499" s="103"/>
      <c r="W499" s="103"/>
      <c r="X499" s="103"/>
      <c r="Y499" s="103"/>
      <c r="Z499" s="103"/>
      <c r="AA499" s="103"/>
    </row>
    <row r="500" spans="1:27">
      <c r="A500" s="155"/>
      <c r="B500" s="116"/>
      <c r="C500" s="116"/>
      <c r="D500" s="116"/>
      <c r="E500" s="116"/>
      <c r="F500" s="116"/>
      <c r="G500" s="116"/>
      <c r="H500" s="116"/>
      <c r="I500" s="116"/>
      <c r="J500" s="116"/>
      <c r="K500" s="116"/>
      <c r="L500" s="116"/>
      <c r="M500" s="116"/>
      <c r="N500" s="116"/>
      <c r="O500" s="116"/>
      <c r="P500" s="116"/>
      <c r="Q500" s="116"/>
      <c r="R500" s="116"/>
      <c r="S500" s="116"/>
      <c r="T500" s="116"/>
      <c r="U500" s="103"/>
      <c r="V500" s="103"/>
      <c r="W500" s="103"/>
      <c r="X500" s="103"/>
      <c r="Y500" s="103"/>
      <c r="Z500" s="103"/>
      <c r="AA500" s="103"/>
    </row>
    <row r="501" spans="1:27">
      <c r="A501" s="155"/>
      <c r="B501" s="116"/>
      <c r="C501" s="116"/>
      <c r="D501" s="116"/>
      <c r="E501" s="116"/>
      <c r="F501" s="116"/>
      <c r="G501" s="116"/>
      <c r="H501" s="116"/>
      <c r="I501" s="116"/>
      <c r="J501" s="116"/>
      <c r="K501" s="116"/>
      <c r="L501" s="116"/>
      <c r="M501" s="116"/>
      <c r="N501" s="116"/>
      <c r="O501" s="116"/>
      <c r="P501" s="116"/>
      <c r="Q501" s="116"/>
      <c r="R501" s="116"/>
      <c r="S501" s="116"/>
      <c r="T501" s="116"/>
      <c r="U501" s="103"/>
      <c r="V501" s="103"/>
      <c r="W501" s="103"/>
      <c r="X501" s="103"/>
      <c r="Y501" s="103"/>
      <c r="Z501" s="103"/>
      <c r="AA501" s="103"/>
    </row>
    <row r="502" spans="1:27">
      <c r="A502" s="155"/>
      <c r="B502" s="116"/>
      <c r="C502" s="116"/>
      <c r="D502" s="116"/>
      <c r="E502" s="116"/>
      <c r="F502" s="116"/>
      <c r="G502" s="116"/>
      <c r="H502" s="116"/>
      <c r="I502" s="116"/>
      <c r="J502" s="116"/>
      <c r="K502" s="116"/>
      <c r="L502" s="116"/>
      <c r="M502" s="116"/>
      <c r="N502" s="116"/>
      <c r="O502" s="116"/>
      <c r="P502" s="116"/>
      <c r="Q502" s="116"/>
      <c r="R502" s="116"/>
      <c r="S502" s="116"/>
      <c r="T502" s="116"/>
      <c r="U502" s="103"/>
      <c r="V502" s="103"/>
      <c r="W502" s="103"/>
      <c r="X502" s="103"/>
      <c r="Y502" s="103"/>
      <c r="Z502" s="103"/>
      <c r="AA502" s="103"/>
    </row>
    <row r="503" spans="1:27">
      <c r="A503" s="155"/>
      <c r="B503" s="116"/>
      <c r="C503" s="116"/>
      <c r="D503" s="116"/>
      <c r="E503" s="116"/>
      <c r="F503" s="116"/>
      <c r="G503" s="116"/>
      <c r="H503" s="116"/>
      <c r="I503" s="116"/>
      <c r="J503" s="116"/>
      <c r="K503" s="116"/>
      <c r="L503" s="116"/>
      <c r="M503" s="116"/>
      <c r="N503" s="116"/>
      <c r="O503" s="116"/>
      <c r="P503" s="116"/>
      <c r="Q503" s="116"/>
      <c r="R503" s="116"/>
      <c r="S503" s="116"/>
      <c r="T503" s="116"/>
      <c r="U503" s="103"/>
      <c r="V503" s="103"/>
      <c r="W503" s="103"/>
      <c r="X503" s="103"/>
      <c r="Y503" s="103"/>
      <c r="Z503" s="103"/>
      <c r="AA503" s="103"/>
    </row>
    <row r="504" spans="1:27">
      <c r="A504" s="155"/>
      <c r="B504" s="116"/>
      <c r="C504" s="116"/>
      <c r="D504" s="116"/>
      <c r="E504" s="116"/>
      <c r="F504" s="116"/>
      <c r="G504" s="116"/>
      <c r="H504" s="116"/>
      <c r="I504" s="116"/>
      <c r="J504" s="116"/>
      <c r="K504" s="116"/>
      <c r="L504" s="116"/>
      <c r="M504" s="116"/>
      <c r="N504" s="116"/>
      <c r="O504" s="116"/>
      <c r="P504" s="116"/>
      <c r="Q504" s="116"/>
      <c r="R504" s="116"/>
      <c r="S504" s="116"/>
      <c r="T504" s="116"/>
      <c r="U504" s="103"/>
      <c r="V504" s="103"/>
      <c r="W504" s="103"/>
      <c r="X504" s="103"/>
      <c r="Y504" s="103"/>
      <c r="Z504" s="103"/>
      <c r="AA504" s="103"/>
    </row>
    <row r="505" spans="1:27">
      <c r="A505" s="155"/>
      <c r="B505" s="116"/>
      <c r="C505" s="116"/>
      <c r="D505" s="116"/>
      <c r="E505" s="116"/>
      <c r="F505" s="116"/>
      <c r="G505" s="116"/>
      <c r="H505" s="116"/>
      <c r="I505" s="116"/>
      <c r="J505" s="116"/>
      <c r="K505" s="116"/>
      <c r="L505" s="116"/>
      <c r="M505" s="116"/>
      <c r="N505" s="116"/>
      <c r="O505" s="116"/>
      <c r="P505" s="116"/>
      <c r="Q505" s="116"/>
      <c r="R505" s="116"/>
      <c r="S505" s="116"/>
      <c r="T505" s="116"/>
      <c r="U505" s="103"/>
      <c r="V505" s="103"/>
      <c r="W505" s="103"/>
      <c r="X505" s="103"/>
      <c r="Y505" s="103"/>
      <c r="Z505" s="103"/>
      <c r="AA505" s="103"/>
    </row>
    <row r="506" spans="1:27">
      <c r="A506" s="155"/>
      <c r="B506" s="116"/>
      <c r="C506" s="116"/>
      <c r="D506" s="116"/>
      <c r="E506" s="116"/>
      <c r="F506" s="116"/>
      <c r="G506" s="116"/>
      <c r="H506" s="116"/>
      <c r="I506" s="116"/>
      <c r="J506" s="116"/>
      <c r="K506" s="116"/>
      <c r="L506" s="116"/>
      <c r="M506" s="116"/>
      <c r="N506" s="116"/>
      <c r="O506" s="116"/>
      <c r="P506" s="116"/>
      <c r="Q506" s="116"/>
      <c r="R506" s="116"/>
      <c r="S506" s="116"/>
      <c r="T506" s="116"/>
      <c r="U506" s="103"/>
      <c r="V506" s="103"/>
      <c r="W506" s="103"/>
      <c r="X506" s="103"/>
      <c r="Y506" s="103"/>
      <c r="Z506" s="103"/>
      <c r="AA506" s="103"/>
    </row>
    <row r="507" spans="1:27">
      <c r="A507" s="155"/>
      <c r="B507" s="116"/>
      <c r="C507" s="116"/>
      <c r="D507" s="116"/>
      <c r="E507" s="116"/>
      <c r="F507" s="116"/>
      <c r="G507" s="116"/>
      <c r="H507" s="116"/>
      <c r="I507" s="116"/>
      <c r="J507" s="116"/>
      <c r="K507" s="116"/>
      <c r="L507" s="116"/>
      <c r="M507" s="116"/>
      <c r="N507" s="116"/>
      <c r="O507" s="116"/>
      <c r="P507" s="116"/>
      <c r="Q507" s="116"/>
      <c r="R507" s="116"/>
      <c r="S507" s="116"/>
      <c r="T507" s="116"/>
      <c r="U507" s="103"/>
      <c r="V507" s="103"/>
      <c r="W507" s="103"/>
      <c r="X507" s="103"/>
      <c r="Y507" s="103"/>
      <c r="Z507" s="103"/>
      <c r="AA507" s="103"/>
    </row>
    <row r="508" spans="1:27">
      <c r="A508" s="155"/>
      <c r="B508" s="116"/>
      <c r="C508" s="116"/>
      <c r="D508" s="116"/>
      <c r="E508" s="116"/>
      <c r="F508" s="116"/>
      <c r="G508" s="116"/>
      <c r="H508" s="116"/>
      <c r="I508" s="116"/>
      <c r="J508" s="116"/>
      <c r="K508" s="116"/>
      <c r="L508" s="116"/>
      <c r="M508" s="116"/>
      <c r="N508" s="116"/>
      <c r="O508" s="116"/>
      <c r="P508" s="116"/>
      <c r="Q508" s="116"/>
      <c r="R508" s="116"/>
      <c r="S508" s="116"/>
      <c r="T508" s="116"/>
      <c r="U508" s="103"/>
      <c r="V508" s="103"/>
      <c r="W508" s="103"/>
      <c r="X508" s="103"/>
      <c r="Y508" s="103"/>
      <c r="Z508" s="103"/>
      <c r="AA508" s="103"/>
    </row>
    <row r="509" spans="1:27">
      <c r="A509" s="155"/>
      <c r="B509" s="116"/>
      <c r="C509" s="116"/>
      <c r="D509" s="116"/>
      <c r="E509" s="116"/>
      <c r="F509" s="116"/>
      <c r="G509" s="116"/>
      <c r="H509" s="116"/>
      <c r="I509" s="116"/>
      <c r="J509" s="116"/>
      <c r="K509" s="116"/>
      <c r="L509" s="116"/>
      <c r="M509" s="116"/>
      <c r="N509" s="116"/>
      <c r="O509" s="116"/>
      <c r="P509" s="116"/>
      <c r="Q509" s="116"/>
      <c r="R509" s="116"/>
      <c r="S509" s="116"/>
      <c r="T509" s="116"/>
      <c r="U509" s="103"/>
      <c r="V509" s="103"/>
      <c r="W509" s="103"/>
      <c r="X509" s="103"/>
      <c r="Y509" s="103"/>
      <c r="Z509" s="103"/>
      <c r="AA509" s="103"/>
    </row>
    <row r="510" spans="1:27">
      <c r="A510" s="155"/>
      <c r="B510" s="116"/>
      <c r="C510" s="116"/>
      <c r="D510" s="116"/>
      <c r="E510" s="116"/>
      <c r="F510" s="116"/>
      <c r="G510" s="116"/>
      <c r="H510" s="116"/>
      <c r="I510" s="116"/>
      <c r="J510" s="116"/>
      <c r="K510" s="116"/>
      <c r="L510" s="116"/>
      <c r="M510" s="116"/>
      <c r="N510" s="116"/>
      <c r="O510" s="116"/>
      <c r="P510" s="116"/>
      <c r="Q510" s="116"/>
      <c r="R510" s="116"/>
      <c r="S510" s="116"/>
      <c r="T510" s="116"/>
      <c r="U510" s="103"/>
      <c r="V510" s="103"/>
      <c r="W510" s="103"/>
      <c r="X510" s="103"/>
      <c r="Y510" s="103"/>
      <c r="Z510" s="103"/>
      <c r="AA510" s="103"/>
    </row>
    <row r="511" spans="1:27">
      <c r="A511" s="155"/>
      <c r="B511" s="116"/>
      <c r="C511" s="116"/>
      <c r="D511" s="116"/>
      <c r="E511" s="116"/>
      <c r="F511" s="116"/>
      <c r="G511" s="116"/>
      <c r="H511" s="116"/>
      <c r="I511" s="116"/>
      <c r="J511" s="116"/>
      <c r="K511" s="116"/>
      <c r="L511" s="116"/>
      <c r="M511" s="116"/>
      <c r="N511" s="116"/>
      <c r="O511" s="116"/>
      <c r="P511" s="116"/>
      <c r="Q511" s="116"/>
      <c r="R511" s="116"/>
      <c r="S511" s="116"/>
      <c r="T511" s="116"/>
      <c r="U511" s="103"/>
      <c r="V511" s="103"/>
      <c r="W511" s="103"/>
      <c r="X511" s="103"/>
      <c r="Y511" s="103"/>
      <c r="Z511" s="103"/>
      <c r="AA511" s="103"/>
    </row>
    <row r="512" spans="1:27">
      <c r="A512" s="155"/>
      <c r="B512" s="116"/>
      <c r="C512" s="116"/>
      <c r="D512" s="116"/>
      <c r="E512" s="116"/>
      <c r="F512" s="116"/>
      <c r="G512" s="116"/>
      <c r="H512" s="116"/>
      <c r="I512" s="116"/>
      <c r="J512" s="116"/>
      <c r="K512" s="116"/>
      <c r="L512" s="116"/>
      <c r="M512" s="116"/>
      <c r="N512" s="116"/>
      <c r="O512" s="116"/>
      <c r="P512" s="116"/>
      <c r="Q512" s="116"/>
      <c r="R512" s="116"/>
      <c r="S512" s="116"/>
      <c r="T512" s="116"/>
      <c r="U512" s="103"/>
      <c r="V512" s="103"/>
      <c r="W512" s="103"/>
      <c r="X512" s="103"/>
      <c r="Y512" s="103"/>
      <c r="Z512" s="103"/>
      <c r="AA512" s="103"/>
    </row>
    <row r="513" spans="1:27">
      <c r="A513" s="155"/>
      <c r="B513" s="116"/>
      <c r="C513" s="116"/>
      <c r="D513" s="116"/>
      <c r="E513" s="116"/>
      <c r="F513" s="116"/>
      <c r="G513" s="116"/>
      <c r="H513" s="116"/>
      <c r="I513" s="116"/>
      <c r="J513" s="116"/>
      <c r="K513" s="116"/>
      <c r="L513" s="116"/>
      <c r="M513" s="116"/>
      <c r="N513" s="116"/>
      <c r="O513" s="116"/>
      <c r="P513" s="116"/>
      <c r="Q513" s="116"/>
      <c r="R513" s="116"/>
      <c r="S513" s="116"/>
      <c r="T513" s="116"/>
      <c r="U513" s="103"/>
      <c r="V513" s="103"/>
      <c r="W513" s="103"/>
      <c r="X513" s="103"/>
      <c r="Y513" s="103"/>
      <c r="Z513" s="103"/>
      <c r="AA513" s="103"/>
    </row>
    <row r="514" spans="1:27">
      <c r="A514" s="155"/>
      <c r="B514" s="116"/>
      <c r="C514" s="116"/>
      <c r="D514" s="116"/>
      <c r="E514" s="116"/>
      <c r="F514" s="116"/>
      <c r="G514" s="116"/>
      <c r="H514" s="116"/>
      <c r="I514" s="116"/>
      <c r="J514" s="116"/>
      <c r="K514" s="116"/>
      <c r="L514" s="116"/>
      <c r="M514" s="116"/>
      <c r="N514" s="116"/>
      <c r="O514" s="116"/>
      <c r="P514" s="116"/>
      <c r="Q514" s="116"/>
      <c r="R514" s="116"/>
      <c r="S514" s="116"/>
      <c r="T514" s="116"/>
      <c r="U514" s="103"/>
      <c r="V514" s="103"/>
      <c r="W514" s="103"/>
      <c r="X514" s="103"/>
      <c r="Y514" s="103"/>
      <c r="Z514" s="103"/>
      <c r="AA514" s="103"/>
    </row>
    <row r="515" spans="1:27">
      <c r="A515" s="155"/>
      <c r="B515" s="116"/>
      <c r="C515" s="116"/>
      <c r="D515" s="116"/>
      <c r="E515" s="116"/>
      <c r="F515" s="116"/>
      <c r="G515" s="116"/>
      <c r="H515" s="116"/>
      <c r="I515" s="116"/>
      <c r="J515" s="116"/>
      <c r="K515" s="116"/>
      <c r="L515" s="116"/>
      <c r="M515" s="116"/>
      <c r="N515" s="116"/>
      <c r="O515" s="116"/>
      <c r="P515" s="116"/>
      <c r="Q515" s="116"/>
      <c r="R515" s="116"/>
      <c r="S515" s="116"/>
      <c r="T515" s="116"/>
      <c r="U515" s="103"/>
      <c r="V515" s="103"/>
      <c r="W515" s="103"/>
      <c r="X515" s="103"/>
      <c r="Y515" s="103"/>
      <c r="Z515" s="103"/>
      <c r="AA515" s="103"/>
    </row>
    <row r="516" spans="1:27">
      <c r="A516" s="155"/>
      <c r="B516" s="116"/>
      <c r="C516" s="116"/>
      <c r="D516" s="116"/>
      <c r="E516" s="116"/>
      <c r="F516" s="116"/>
      <c r="G516" s="116"/>
      <c r="H516" s="116"/>
      <c r="I516" s="116"/>
      <c r="J516" s="116"/>
      <c r="K516" s="116"/>
      <c r="L516" s="116"/>
      <c r="M516" s="116"/>
      <c r="N516" s="116"/>
      <c r="O516" s="116"/>
      <c r="P516" s="116"/>
      <c r="Q516" s="116"/>
      <c r="R516" s="116"/>
      <c r="S516" s="116"/>
      <c r="T516" s="116"/>
      <c r="U516" s="103"/>
      <c r="V516" s="103"/>
      <c r="W516" s="103"/>
      <c r="X516" s="103"/>
      <c r="Y516" s="103"/>
      <c r="Z516" s="103"/>
      <c r="AA516" s="103"/>
    </row>
    <row r="517" spans="1:27">
      <c r="A517" s="155"/>
      <c r="B517" s="116"/>
      <c r="C517" s="116"/>
      <c r="D517" s="116"/>
      <c r="E517" s="116"/>
      <c r="F517" s="116"/>
      <c r="G517" s="116"/>
      <c r="H517" s="116"/>
      <c r="I517" s="116"/>
      <c r="J517" s="116"/>
      <c r="K517" s="116"/>
      <c r="L517" s="116"/>
      <c r="M517" s="116"/>
      <c r="N517" s="116"/>
      <c r="O517" s="116"/>
      <c r="P517" s="116"/>
      <c r="Q517" s="116"/>
      <c r="R517" s="116"/>
      <c r="S517" s="116"/>
      <c r="T517" s="116"/>
      <c r="U517" s="103"/>
      <c r="V517" s="103"/>
      <c r="W517" s="103"/>
      <c r="X517" s="103"/>
      <c r="Y517" s="103"/>
      <c r="Z517" s="103"/>
      <c r="AA517" s="103"/>
    </row>
    <row r="518" spans="1:27">
      <c r="A518" s="155"/>
      <c r="B518" s="116"/>
      <c r="C518" s="116"/>
      <c r="D518" s="116"/>
      <c r="E518" s="116"/>
      <c r="F518" s="116"/>
      <c r="G518" s="116"/>
      <c r="H518" s="116"/>
      <c r="I518" s="116"/>
      <c r="J518" s="116"/>
      <c r="K518" s="116"/>
      <c r="L518" s="116"/>
      <c r="M518" s="116"/>
      <c r="N518" s="116"/>
      <c r="O518" s="116"/>
      <c r="P518" s="116"/>
      <c r="Q518" s="116"/>
      <c r="R518" s="116"/>
      <c r="S518" s="116"/>
      <c r="T518" s="116"/>
      <c r="U518" s="103"/>
      <c r="V518" s="103"/>
      <c r="W518" s="103"/>
      <c r="X518" s="103"/>
      <c r="Y518" s="103"/>
      <c r="Z518" s="103"/>
      <c r="AA518" s="103"/>
    </row>
    <row r="519" spans="1:27">
      <c r="A519" s="155"/>
      <c r="B519" s="116"/>
      <c r="C519" s="116"/>
      <c r="D519" s="116"/>
      <c r="E519" s="116"/>
      <c r="F519" s="116"/>
      <c r="G519" s="116"/>
      <c r="H519" s="116"/>
      <c r="I519" s="116"/>
      <c r="J519" s="116"/>
      <c r="K519" s="116"/>
      <c r="L519" s="116"/>
      <c r="M519" s="116"/>
      <c r="N519" s="116"/>
      <c r="O519" s="116"/>
      <c r="P519" s="116"/>
      <c r="Q519" s="116"/>
      <c r="R519" s="116"/>
      <c r="S519" s="116"/>
      <c r="T519" s="116"/>
      <c r="U519" s="103"/>
      <c r="V519" s="103"/>
      <c r="W519" s="103"/>
      <c r="X519" s="103"/>
      <c r="Y519" s="103"/>
      <c r="Z519" s="103"/>
      <c r="AA519" s="103"/>
    </row>
    <row r="520" spans="1:27">
      <c r="A520" s="155"/>
      <c r="B520" s="116"/>
      <c r="C520" s="116"/>
      <c r="D520" s="116"/>
      <c r="E520" s="116"/>
      <c r="F520" s="116"/>
      <c r="G520" s="116"/>
      <c r="H520" s="116"/>
      <c r="I520" s="116"/>
      <c r="J520" s="116"/>
      <c r="K520" s="116"/>
      <c r="L520" s="116"/>
      <c r="M520" s="116"/>
      <c r="N520" s="116"/>
      <c r="O520" s="116"/>
      <c r="P520" s="116"/>
      <c r="Q520" s="116"/>
      <c r="R520" s="116"/>
      <c r="S520" s="116"/>
      <c r="T520" s="116"/>
      <c r="U520" s="103"/>
      <c r="V520" s="103"/>
      <c r="W520" s="103"/>
      <c r="X520" s="103"/>
      <c r="Y520" s="103"/>
      <c r="Z520" s="103"/>
      <c r="AA520" s="103"/>
    </row>
    <row r="521" spans="1:27">
      <c r="A521" s="155"/>
      <c r="B521" s="116"/>
      <c r="C521" s="116"/>
      <c r="D521" s="116"/>
      <c r="E521" s="116"/>
      <c r="F521" s="116"/>
      <c r="G521" s="116"/>
      <c r="H521" s="116"/>
      <c r="I521" s="116"/>
      <c r="J521" s="116"/>
      <c r="K521" s="116"/>
      <c r="L521" s="116"/>
      <c r="M521" s="116"/>
      <c r="N521" s="116"/>
      <c r="O521" s="116"/>
      <c r="P521" s="116"/>
      <c r="Q521" s="116"/>
      <c r="R521" s="116"/>
      <c r="S521" s="116"/>
      <c r="T521" s="116"/>
      <c r="U521" s="103"/>
      <c r="V521" s="103"/>
      <c r="W521" s="103"/>
      <c r="X521" s="103"/>
      <c r="Y521" s="103"/>
      <c r="Z521" s="103"/>
      <c r="AA521" s="103"/>
    </row>
    <row r="522" spans="1:27">
      <c r="A522" s="155"/>
      <c r="B522" s="116"/>
      <c r="C522" s="116"/>
      <c r="D522" s="116"/>
      <c r="E522" s="116"/>
      <c r="F522" s="116"/>
      <c r="G522" s="116"/>
      <c r="H522" s="116"/>
      <c r="I522" s="116"/>
      <c r="J522" s="116"/>
      <c r="K522" s="116"/>
      <c r="L522" s="116"/>
      <c r="M522" s="116"/>
      <c r="N522" s="116"/>
      <c r="O522" s="116"/>
      <c r="P522" s="116"/>
      <c r="Q522" s="116"/>
      <c r="R522" s="116"/>
      <c r="S522" s="116"/>
      <c r="T522" s="116"/>
      <c r="U522" s="103"/>
      <c r="V522" s="103"/>
      <c r="W522" s="103"/>
      <c r="X522" s="103"/>
      <c r="Y522" s="103"/>
      <c r="Z522" s="103"/>
      <c r="AA522" s="103"/>
    </row>
    <row r="523" spans="1:27">
      <c r="A523" s="155"/>
      <c r="B523" s="116"/>
      <c r="C523" s="116"/>
      <c r="D523" s="116"/>
      <c r="E523" s="116"/>
      <c r="F523" s="116"/>
      <c r="G523" s="116"/>
      <c r="H523" s="116"/>
      <c r="I523" s="116"/>
      <c r="J523" s="116"/>
      <c r="K523" s="116"/>
      <c r="L523" s="116"/>
      <c r="M523" s="116"/>
      <c r="N523" s="116"/>
      <c r="O523" s="116"/>
      <c r="P523" s="116"/>
      <c r="Q523" s="116"/>
      <c r="R523" s="116"/>
      <c r="S523" s="116"/>
      <c r="T523" s="116"/>
      <c r="U523" s="103"/>
      <c r="V523" s="103"/>
      <c r="W523" s="103"/>
      <c r="X523" s="103"/>
      <c r="Y523" s="103"/>
      <c r="Z523" s="103"/>
      <c r="AA523" s="103"/>
    </row>
    <row r="524" spans="1:27">
      <c r="A524" s="155"/>
      <c r="B524" s="116"/>
      <c r="C524" s="116"/>
      <c r="D524" s="116"/>
      <c r="E524" s="116"/>
      <c r="F524" s="116"/>
      <c r="G524" s="116"/>
      <c r="H524" s="116"/>
      <c r="I524" s="116"/>
      <c r="J524" s="116"/>
      <c r="K524" s="116"/>
      <c r="L524" s="116"/>
      <c r="M524" s="116"/>
      <c r="N524" s="116"/>
      <c r="O524" s="116"/>
      <c r="P524" s="116"/>
      <c r="Q524" s="116"/>
      <c r="R524" s="116"/>
      <c r="S524" s="116"/>
      <c r="T524" s="116"/>
      <c r="U524" s="103"/>
      <c r="V524" s="103"/>
      <c r="W524" s="103"/>
      <c r="X524" s="103"/>
      <c r="Y524" s="103"/>
      <c r="Z524" s="103"/>
      <c r="AA524" s="103"/>
    </row>
    <row r="525" spans="1:27">
      <c r="A525" s="155"/>
      <c r="B525" s="116"/>
      <c r="C525" s="116"/>
      <c r="D525" s="116"/>
      <c r="E525" s="116"/>
      <c r="F525" s="116"/>
      <c r="G525" s="116"/>
      <c r="H525" s="116"/>
      <c r="I525" s="116"/>
      <c r="J525" s="116"/>
      <c r="K525" s="116"/>
      <c r="L525" s="116"/>
      <c r="M525" s="116"/>
      <c r="N525" s="116"/>
      <c r="O525" s="116"/>
      <c r="P525" s="116"/>
      <c r="Q525" s="116"/>
      <c r="R525" s="116"/>
      <c r="S525" s="116"/>
      <c r="T525" s="116"/>
      <c r="U525" s="103"/>
      <c r="V525" s="103"/>
      <c r="W525" s="103"/>
      <c r="X525" s="103"/>
      <c r="Y525" s="103"/>
      <c r="Z525" s="103"/>
      <c r="AA525" s="103"/>
    </row>
    <row r="526" spans="1:27">
      <c r="A526" s="155"/>
      <c r="B526" s="116"/>
      <c r="C526" s="116"/>
      <c r="D526" s="116"/>
      <c r="E526" s="116"/>
      <c r="F526" s="116"/>
      <c r="G526" s="116"/>
      <c r="H526" s="116"/>
      <c r="I526" s="116"/>
      <c r="J526" s="116"/>
      <c r="K526" s="116"/>
      <c r="L526" s="116"/>
      <c r="M526" s="116"/>
      <c r="N526" s="116"/>
      <c r="O526" s="116"/>
      <c r="P526" s="116"/>
      <c r="Q526" s="116"/>
      <c r="R526" s="116"/>
      <c r="S526" s="116"/>
      <c r="T526" s="116"/>
      <c r="U526" s="103"/>
      <c r="V526" s="103"/>
      <c r="W526" s="103"/>
      <c r="X526" s="103"/>
      <c r="Y526" s="103"/>
      <c r="Z526" s="103"/>
      <c r="AA526" s="103"/>
    </row>
    <row r="527" spans="1:27">
      <c r="A527" s="155"/>
      <c r="B527" s="116"/>
      <c r="C527" s="116"/>
      <c r="D527" s="116"/>
      <c r="E527" s="116"/>
      <c r="F527" s="116"/>
      <c r="G527" s="116"/>
      <c r="H527" s="116"/>
      <c r="I527" s="116"/>
      <c r="J527" s="116"/>
      <c r="K527" s="116"/>
      <c r="L527" s="116"/>
      <c r="M527" s="116"/>
      <c r="N527" s="116"/>
      <c r="O527" s="116"/>
      <c r="P527" s="116"/>
      <c r="Q527" s="116"/>
      <c r="R527" s="116"/>
      <c r="S527" s="116"/>
      <c r="T527" s="116"/>
      <c r="U527" s="103"/>
      <c r="V527" s="103"/>
      <c r="W527" s="103"/>
      <c r="X527" s="103"/>
      <c r="Y527" s="103"/>
      <c r="Z527" s="103"/>
      <c r="AA527" s="103"/>
    </row>
    <row r="528" spans="1:27">
      <c r="A528" s="155"/>
      <c r="B528" s="116"/>
      <c r="C528" s="116"/>
      <c r="D528" s="116"/>
      <c r="E528" s="116"/>
      <c r="F528" s="116"/>
      <c r="G528" s="116"/>
      <c r="H528" s="116"/>
      <c r="I528" s="116"/>
      <c r="J528" s="116"/>
      <c r="K528" s="116"/>
      <c r="L528" s="116"/>
      <c r="M528" s="116"/>
      <c r="N528" s="116"/>
      <c r="O528" s="116"/>
      <c r="P528" s="116"/>
      <c r="Q528" s="116"/>
      <c r="R528" s="116"/>
      <c r="S528" s="116"/>
      <c r="T528" s="116"/>
      <c r="U528" s="103"/>
      <c r="V528" s="103"/>
      <c r="W528" s="103"/>
      <c r="X528" s="103"/>
      <c r="Y528" s="103"/>
      <c r="Z528" s="103"/>
      <c r="AA528" s="103"/>
    </row>
    <row r="529" spans="1:27">
      <c r="A529" s="155"/>
      <c r="B529" s="116"/>
      <c r="C529" s="116"/>
      <c r="D529" s="116"/>
      <c r="E529" s="116"/>
      <c r="F529" s="116"/>
      <c r="G529" s="116"/>
      <c r="H529" s="116"/>
      <c r="I529" s="116"/>
      <c r="J529" s="116"/>
      <c r="K529" s="116"/>
      <c r="L529" s="116"/>
      <c r="M529" s="116"/>
      <c r="N529" s="116"/>
      <c r="O529" s="116"/>
      <c r="P529" s="116"/>
      <c r="Q529" s="116"/>
      <c r="R529" s="116"/>
      <c r="S529" s="116"/>
      <c r="T529" s="116"/>
      <c r="U529" s="103"/>
      <c r="V529" s="103"/>
      <c r="W529" s="103"/>
      <c r="X529" s="103"/>
      <c r="Y529" s="103"/>
      <c r="Z529" s="103"/>
      <c r="AA529" s="103"/>
    </row>
    <row r="530" spans="1:27">
      <c r="A530" s="155"/>
      <c r="B530" s="116"/>
      <c r="C530" s="116"/>
      <c r="D530" s="116"/>
      <c r="E530" s="116"/>
      <c r="F530" s="116"/>
      <c r="G530" s="116"/>
      <c r="H530" s="116"/>
      <c r="I530" s="116"/>
      <c r="J530" s="116"/>
      <c r="K530" s="116"/>
      <c r="L530" s="116"/>
      <c r="M530" s="116"/>
      <c r="N530" s="116"/>
      <c r="O530" s="116"/>
      <c r="P530" s="116"/>
      <c r="Q530" s="116"/>
      <c r="R530" s="116"/>
      <c r="S530" s="116"/>
      <c r="T530" s="116"/>
      <c r="U530" s="103"/>
      <c r="V530" s="103"/>
      <c r="W530" s="103"/>
      <c r="X530" s="103"/>
      <c r="Y530" s="103"/>
      <c r="Z530" s="103"/>
      <c r="AA530" s="103"/>
    </row>
    <row r="531" spans="1:27">
      <c r="A531" s="155"/>
      <c r="B531" s="116"/>
      <c r="C531" s="116"/>
      <c r="D531" s="116"/>
      <c r="E531" s="116"/>
      <c r="F531" s="116"/>
      <c r="G531" s="116"/>
      <c r="H531" s="116"/>
      <c r="I531" s="116"/>
      <c r="J531" s="116"/>
      <c r="K531" s="116"/>
      <c r="L531" s="116"/>
      <c r="M531" s="116"/>
      <c r="N531" s="116"/>
      <c r="O531" s="116"/>
      <c r="P531" s="116"/>
      <c r="Q531" s="116"/>
      <c r="R531" s="116"/>
      <c r="S531" s="116"/>
      <c r="T531" s="116"/>
      <c r="U531" s="103"/>
      <c r="V531" s="103"/>
      <c r="W531" s="103"/>
      <c r="X531" s="103"/>
      <c r="Y531" s="103"/>
      <c r="Z531" s="103"/>
      <c r="AA531" s="103"/>
    </row>
    <row r="532" spans="1:27">
      <c r="A532" s="155"/>
      <c r="B532" s="116"/>
      <c r="C532" s="116"/>
      <c r="D532" s="116"/>
      <c r="E532" s="116"/>
      <c r="F532" s="116"/>
      <c r="G532" s="116"/>
      <c r="H532" s="116"/>
      <c r="I532" s="116"/>
      <c r="J532" s="116"/>
      <c r="K532" s="116"/>
      <c r="L532" s="116"/>
      <c r="M532" s="116"/>
      <c r="N532" s="116"/>
      <c r="O532" s="116"/>
      <c r="P532" s="116"/>
      <c r="Q532" s="116"/>
      <c r="R532" s="116"/>
      <c r="S532" s="116"/>
      <c r="T532" s="116"/>
      <c r="U532" s="103"/>
      <c r="V532" s="103"/>
      <c r="W532" s="103"/>
      <c r="X532" s="103"/>
      <c r="Y532" s="103"/>
      <c r="Z532" s="103"/>
      <c r="AA532" s="103"/>
    </row>
    <row r="533" spans="1:27">
      <c r="A533" s="155"/>
      <c r="B533" s="116"/>
      <c r="C533" s="116"/>
      <c r="D533" s="116"/>
      <c r="E533" s="116"/>
      <c r="F533" s="116"/>
      <c r="G533" s="116"/>
      <c r="H533" s="116"/>
      <c r="I533" s="116"/>
      <c r="J533" s="116"/>
      <c r="K533" s="116"/>
      <c r="L533" s="116"/>
      <c r="M533" s="116"/>
      <c r="N533" s="116"/>
      <c r="O533" s="116"/>
      <c r="P533" s="116"/>
      <c r="Q533" s="116"/>
      <c r="R533" s="116"/>
      <c r="S533" s="116"/>
      <c r="T533" s="116"/>
      <c r="U533" s="103"/>
      <c r="V533" s="103"/>
      <c r="W533" s="103"/>
      <c r="X533" s="103"/>
      <c r="Y533" s="103"/>
      <c r="Z533" s="103"/>
      <c r="AA533" s="103"/>
    </row>
    <row r="534" spans="1:27">
      <c r="A534" s="155"/>
      <c r="B534" s="116"/>
      <c r="C534" s="116"/>
      <c r="D534" s="116"/>
      <c r="E534" s="116"/>
      <c r="F534" s="116"/>
      <c r="G534" s="116"/>
      <c r="H534" s="116"/>
      <c r="I534" s="116"/>
      <c r="J534" s="116"/>
      <c r="K534" s="116"/>
      <c r="L534" s="116"/>
      <c r="M534" s="116"/>
      <c r="N534" s="116"/>
      <c r="O534" s="116"/>
      <c r="P534" s="116"/>
      <c r="Q534" s="116"/>
      <c r="R534" s="116"/>
      <c r="S534" s="116"/>
      <c r="T534" s="116"/>
      <c r="U534" s="103"/>
      <c r="V534" s="103"/>
      <c r="W534" s="103"/>
      <c r="X534" s="103"/>
      <c r="Y534" s="103"/>
      <c r="Z534" s="103"/>
      <c r="AA534" s="103"/>
    </row>
    <row r="535" spans="1:27">
      <c r="A535" s="155"/>
      <c r="B535" s="116"/>
      <c r="C535" s="116"/>
      <c r="D535" s="116"/>
      <c r="E535" s="116"/>
      <c r="F535" s="116"/>
      <c r="G535" s="116"/>
      <c r="H535" s="116"/>
      <c r="I535" s="116"/>
      <c r="J535" s="116"/>
      <c r="K535" s="116"/>
      <c r="L535" s="116"/>
      <c r="M535" s="116"/>
      <c r="N535" s="116"/>
      <c r="O535" s="116"/>
      <c r="P535" s="116"/>
      <c r="Q535" s="116"/>
      <c r="R535" s="116"/>
      <c r="S535" s="116"/>
      <c r="T535" s="116"/>
      <c r="U535" s="103"/>
      <c r="V535" s="103"/>
      <c r="W535" s="103"/>
      <c r="X535" s="103"/>
      <c r="Y535" s="103"/>
      <c r="Z535" s="103"/>
      <c r="AA535" s="103"/>
    </row>
    <row r="536" spans="1:27">
      <c r="A536" s="155"/>
      <c r="B536" s="116"/>
      <c r="C536" s="116"/>
      <c r="D536" s="116"/>
      <c r="E536" s="116"/>
      <c r="F536" s="116"/>
      <c r="G536" s="116"/>
      <c r="H536" s="116"/>
      <c r="I536" s="116"/>
      <c r="J536" s="116"/>
      <c r="K536" s="116"/>
      <c r="L536" s="116"/>
      <c r="M536" s="116"/>
      <c r="N536" s="116"/>
      <c r="O536" s="116"/>
      <c r="P536" s="116"/>
      <c r="Q536" s="116"/>
      <c r="R536" s="116"/>
      <c r="S536" s="116"/>
      <c r="T536" s="116"/>
      <c r="U536" s="103"/>
      <c r="V536" s="103"/>
      <c r="W536" s="103"/>
      <c r="X536" s="103"/>
      <c r="Y536" s="103"/>
      <c r="Z536" s="103"/>
      <c r="AA536" s="103"/>
    </row>
    <row r="537" spans="1:27">
      <c r="A537" s="155"/>
      <c r="B537" s="116"/>
      <c r="C537" s="116"/>
      <c r="D537" s="116"/>
      <c r="E537" s="116"/>
      <c r="F537" s="116"/>
      <c r="G537" s="116"/>
      <c r="H537" s="116"/>
      <c r="I537" s="116"/>
      <c r="J537" s="116"/>
      <c r="K537" s="116"/>
      <c r="L537" s="116"/>
      <c r="M537" s="116"/>
      <c r="N537" s="116"/>
      <c r="O537" s="116"/>
      <c r="P537" s="116"/>
      <c r="Q537" s="116"/>
      <c r="R537" s="116"/>
      <c r="S537" s="116"/>
      <c r="T537" s="116"/>
      <c r="U537" s="103"/>
      <c r="V537" s="103"/>
      <c r="W537" s="103"/>
      <c r="X537" s="103"/>
      <c r="Y537" s="103"/>
      <c r="Z537" s="103"/>
      <c r="AA537" s="103"/>
    </row>
    <row r="538" spans="1:27">
      <c r="A538" s="155"/>
      <c r="B538" s="116"/>
      <c r="C538" s="116"/>
      <c r="D538" s="116"/>
      <c r="E538" s="116"/>
      <c r="F538" s="116"/>
      <c r="G538" s="116"/>
      <c r="H538" s="116"/>
      <c r="I538" s="116"/>
      <c r="J538" s="116"/>
      <c r="K538" s="116"/>
      <c r="L538" s="116"/>
      <c r="M538" s="116"/>
      <c r="N538" s="116"/>
      <c r="O538" s="116"/>
      <c r="P538" s="116"/>
      <c r="Q538" s="116"/>
      <c r="R538" s="116"/>
      <c r="S538" s="116"/>
      <c r="T538" s="116"/>
      <c r="U538" s="103"/>
      <c r="V538" s="103"/>
      <c r="W538" s="103"/>
      <c r="X538" s="103"/>
      <c r="Y538" s="103"/>
      <c r="Z538" s="103"/>
      <c r="AA538" s="103"/>
    </row>
    <row r="539" spans="1:27">
      <c r="A539" s="155"/>
      <c r="B539" s="116"/>
      <c r="C539" s="116"/>
      <c r="D539" s="116"/>
      <c r="E539" s="116"/>
      <c r="F539" s="116"/>
      <c r="G539" s="116"/>
      <c r="H539" s="116"/>
      <c r="I539" s="116"/>
      <c r="J539" s="116"/>
      <c r="K539" s="116"/>
      <c r="L539" s="116"/>
      <c r="M539" s="116"/>
      <c r="N539" s="116"/>
      <c r="O539" s="116"/>
      <c r="P539" s="116"/>
      <c r="Q539" s="116"/>
      <c r="R539" s="116"/>
      <c r="S539" s="116"/>
      <c r="T539" s="116"/>
      <c r="U539" s="103"/>
      <c r="V539" s="103"/>
      <c r="W539" s="103"/>
      <c r="X539" s="103"/>
      <c r="Y539" s="103"/>
      <c r="Z539" s="103"/>
      <c r="AA539" s="103"/>
    </row>
    <row r="540" spans="1:27">
      <c r="A540" s="155"/>
      <c r="B540" s="116"/>
      <c r="C540" s="116"/>
      <c r="D540" s="116"/>
      <c r="E540" s="116"/>
      <c r="F540" s="116"/>
      <c r="G540" s="116"/>
      <c r="H540" s="116"/>
      <c r="I540" s="116"/>
      <c r="J540" s="116"/>
      <c r="K540" s="116"/>
      <c r="L540" s="116"/>
      <c r="M540" s="116"/>
      <c r="N540" s="116"/>
      <c r="O540" s="116"/>
      <c r="P540" s="116"/>
      <c r="Q540" s="116"/>
      <c r="R540" s="116"/>
      <c r="S540" s="116"/>
      <c r="T540" s="116"/>
      <c r="U540" s="103"/>
      <c r="V540" s="103"/>
      <c r="W540" s="103"/>
      <c r="X540" s="103"/>
      <c r="Y540" s="103"/>
      <c r="Z540" s="103"/>
      <c r="AA540" s="103"/>
    </row>
    <row r="541" spans="1:27">
      <c r="A541" s="155"/>
      <c r="B541" s="116"/>
      <c r="C541" s="116"/>
      <c r="D541" s="116"/>
      <c r="E541" s="116"/>
      <c r="F541" s="116"/>
      <c r="G541" s="116"/>
      <c r="H541" s="116"/>
      <c r="I541" s="116"/>
      <c r="J541" s="116"/>
      <c r="K541" s="116"/>
      <c r="L541" s="116"/>
      <c r="M541" s="116"/>
      <c r="N541" s="116"/>
      <c r="O541" s="116"/>
      <c r="P541" s="116"/>
      <c r="Q541" s="116"/>
      <c r="R541" s="116"/>
      <c r="S541" s="116"/>
      <c r="T541" s="116"/>
      <c r="U541" s="103"/>
      <c r="V541" s="103"/>
      <c r="W541" s="103"/>
      <c r="X541" s="103"/>
      <c r="Y541" s="103"/>
      <c r="Z541" s="103"/>
      <c r="AA541" s="103"/>
    </row>
    <row r="542" spans="1:27">
      <c r="A542" s="155"/>
      <c r="B542" s="116"/>
      <c r="C542" s="116"/>
      <c r="D542" s="116"/>
      <c r="E542" s="116"/>
      <c r="F542" s="116"/>
      <c r="G542" s="116"/>
      <c r="H542" s="116"/>
      <c r="I542" s="116"/>
      <c r="J542" s="116"/>
      <c r="K542" s="116"/>
      <c r="L542" s="116"/>
      <c r="M542" s="116"/>
      <c r="N542" s="116"/>
      <c r="O542" s="116"/>
      <c r="P542" s="116"/>
      <c r="Q542" s="116"/>
      <c r="R542" s="116"/>
      <c r="S542" s="116"/>
      <c r="T542" s="116"/>
      <c r="U542" s="103"/>
      <c r="V542" s="103"/>
      <c r="W542" s="103"/>
      <c r="X542" s="103"/>
      <c r="Y542" s="103"/>
      <c r="Z542" s="103"/>
      <c r="AA542" s="103"/>
    </row>
    <row r="543" spans="1:27">
      <c r="A543" s="155"/>
      <c r="B543" s="116"/>
      <c r="C543" s="116"/>
      <c r="D543" s="116"/>
      <c r="E543" s="116"/>
      <c r="F543" s="116"/>
      <c r="G543" s="116"/>
      <c r="H543" s="116"/>
      <c r="I543" s="116"/>
      <c r="J543" s="116"/>
      <c r="K543" s="116"/>
      <c r="L543" s="116"/>
      <c r="M543" s="116"/>
      <c r="N543" s="116"/>
      <c r="O543" s="116"/>
      <c r="P543" s="116"/>
      <c r="Q543" s="116"/>
      <c r="R543" s="116"/>
      <c r="S543" s="116"/>
      <c r="T543" s="116"/>
      <c r="U543" s="103"/>
      <c r="V543" s="103"/>
      <c r="W543" s="103"/>
      <c r="X543" s="103"/>
      <c r="Y543" s="103"/>
      <c r="Z543" s="103"/>
      <c r="AA543" s="103"/>
    </row>
    <row r="544" spans="1:27">
      <c r="A544" s="155"/>
      <c r="B544" s="116"/>
      <c r="C544" s="116"/>
      <c r="D544" s="116"/>
      <c r="E544" s="116"/>
      <c r="F544" s="116"/>
      <c r="G544" s="116"/>
      <c r="H544" s="116"/>
      <c r="I544" s="116"/>
      <c r="J544" s="116"/>
      <c r="K544" s="116"/>
      <c r="L544" s="116"/>
      <c r="M544" s="116"/>
      <c r="N544" s="116"/>
      <c r="O544" s="116"/>
      <c r="P544" s="116"/>
      <c r="Q544" s="116"/>
      <c r="R544" s="116"/>
      <c r="S544" s="116"/>
      <c r="T544" s="116"/>
      <c r="U544" s="103"/>
      <c r="V544" s="103"/>
      <c r="W544" s="103"/>
      <c r="X544" s="103"/>
      <c r="Y544" s="103"/>
      <c r="Z544" s="103"/>
      <c r="AA544" s="103"/>
    </row>
    <row r="545" spans="1:27">
      <c r="A545" s="155"/>
      <c r="B545" s="116"/>
      <c r="C545" s="116"/>
      <c r="D545" s="116"/>
      <c r="E545" s="116"/>
      <c r="F545" s="116"/>
      <c r="G545" s="116"/>
      <c r="H545" s="116"/>
      <c r="I545" s="116"/>
      <c r="J545" s="116"/>
      <c r="K545" s="116"/>
      <c r="L545" s="116"/>
      <c r="M545" s="116"/>
      <c r="N545" s="116"/>
      <c r="O545" s="116"/>
      <c r="P545" s="116"/>
      <c r="Q545" s="116"/>
      <c r="R545" s="116"/>
      <c r="S545" s="116"/>
      <c r="T545" s="116"/>
      <c r="U545" s="103"/>
      <c r="V545" s="103"/>
      <c r="W545" s="103"/>
      <c r="X545" s="103"/>
      <c r="Y545" s="103"/>
      <c r="Z545" s="103"/>
      <c r="AA545" s="103"/>
    </row>
    <row r="546" spans="1:27">
      <c r="A546" s="155"/>
      <c r="B546" s="116"/>
      <c r="C546" s="116"/>
      <c r="D546" s="116"/>
      <c r="E546" s="116"/>
      <c r="F546" s="116"/>
      <c r="G546" s="116"/>
      <c r="H546" s="116"/>
      <c r="I546" s="116"/>
      <c r="J546" s="116"/>
      <c r="K546" s="116"/>
      <c r="L546" s="116"/>
      <c r="M546" s="116"/>
      <c r="N546" s="116"/>
      <c r="O546" s="116"/>
      <c r="P546" s="116"/>
      <c r="Q546" s="116"/>
      <c r="R546" s="116"/>
      <c r="S546" s="116"/>
      <c r="T546" s="116"/>
      <c r="U546" s="103"/>
      <c r="V546" s="103"/>
      <c r="W546" s="103"/>
      <c r="X546" s="103"/>
      <c r="Y546" s="103"/>
      <c r="Z546" s="103"/>
      <c r="AA546" s="103"/>
    </row>
    <row r="547" spans="1:27">
      <c r="A547" s="155"/>
      <c r="B547" s="116"/>
      <c r="C547" s="116"/>
      <c r="D547" s="116"/>
      <c r="E547" s="116"/>
      <c r="F547" s="116"/>
      <c r="G547" s="116"/>
      <c r="H547" s="116"/>
      <c r="I547" s="116"/>
      <c r="J547" s="116"/>
      <c r="K547" s="116"/>
      <c r="L547" s="116"/>
      <c r="M547" s="116"/>
      <c r="N547" s="116"/>
      <c r="O547" s="116"/>
      <c r="P547" s="116"/>
      <c r="Q547" s="116"/>
      <c r="R547" s="116"/>
      <c r="S547" s="116"/>
      <c r="T547" s="116"/>
      <c r="U547" s="103"/>
      <c r="V547" s="103"/>
      <c r="W547" s="103"/>
      <c r="X547" s="103"/>
      <c r="Y547" s="103"/>
      <c r="Z547" s="103"/>
      <c r="AA547" s="103"/>
    </row>
    <row r="548" spans="1:27">
      <c r="A548" s="155"/>
      <c r="B548" s="116"/>
      <c r="C548" s="116"/>
      <c r="D548" s="116"/>
      <c r="E548" s="116"/>
      <c r="F548" s="116"/>
      <c r="G548" s="116"/>
      <c r="H548" s="116"/>
      <c r="I548" s="116"/>
      <c r="J548" s="116"/>
      <c r="K548" s="116"/>
      <c r="L548" s="116"/>
      <c r="M548" s="116"/>
      <c r="N548" s="116"/>
      <c r="O548" s="116"/>
      <c r="P548" s="116"/>
      <c r="Q548" s="116"/>
      <c r="R548" s="116"/>
      <c r="S548" s="116"/>
      <c r="T548" s="116"/>
      <c r="U548" s="103"/>
      <c r="V548" s="103"/>
      <c r="W548" s="103"/>
      <c r="X548" s="103"/>
      <c r="Y548" s="103"/>
      <c r="Z548" s="103"/>
      <c r="AA548" s="103"/>
    </row>
    <row r="549" spans="1:27">
      <c r="A549" s="155"/>
      <c r="B549" s="116"/>
      <c r="C549" s="116"/>
      <c r="D549" s="116"/>
      <c r="E549" s="116"/>
      <c r="F549" s="116"/>
      <c r="G549" s="116"/>
      <c r="H549" s="116"/>
      <c r="I549" s="116"/>
      <c r="J549" s="116"/>
      <c r="K549" s="116"/>
      <c r="L549" s="116"/>
      <c r="M549" s="116"/>
      <c r="N549" s="116"/>
      <c r="O549" s="116"/>
      <c r="P549" s="116"/>
      <c r="Q549" s="116"/>
      <c r="R549" s="116"/>
      <c r="S549" s="116"/>
      <c r="T549" s="116"/>
      <c r="U549" s="103"/>
      <c r="V549" s="103"/>
      <c r="W549" s="103"/>
      <c r="X549" s="103"/>
      <c r="Y549" s="103"/>
      <c r="Z549" s="103"/>
      <c r="AA549" s="103"/>
    </row>
    <row r="550" spans="1:27">
      <c r="A550" s="155"/>
      <c r="B550" s="116"/>
      <c r="C550" s="116"/>
      <c r="D550" s="116"/>
      <c r="E550" s="116"/>
      <c r="F550" s="116"/>
      <c r="G550" s="116"/>
      <c r="H550" s="116"/>
      <c r="I550" s="116"/>
      <c r="J550" s="116"/>
      <c r="K550" s="116"/>
      <c r="L550" s="116"/>
      <c r="M550" s="116"/>
      <c r="N550" s="116"/>
      <c r="O550" s="116"/>
      <c r="P550" s="116"/>
      <c r="Q550" s="116"/>
      <c r="R550" s="116"/>
      <c r="S550" s="116"/>
      <c r="T550" s="116"/>
      <c r="U550" s="103"/>
      <c r="V550" s="103"/>
      <c r="W550" s="103"/>
      <c r="X550" s="103"/>
      <c r="Y550" s="103"/>
      <c r="Z550" s="103"/>
      <c r="AA550" s="103"/>
    </row>
    <row r="551" spans="1:27">
      <c r="A551" s="155"/>
      <c r="B551" s="116"/>
      <c r="C551" s="116"/>
      <c r="D551" s="116"/>
      <c r="E551" s="116"/>
      <c r="F551" s="116"/>
      <c r="G551" s="116"/>
      <c r="H551" s="116"/>
      <c r="I551" s="116"/>
      <c r="J551" s="116"/>
      <c r="K551" s="116"/>
      <c r="L551" s="116"/>
      <c r="M551" s="116"/>
      <c r="N551" s="116"/>
      <c r="O551" s="116"/>
      <c r="P551" s="116"/>
      <c r="Q551" s="116"/>
      <c r="R551" s="116"/>
      <c r="S551" s="116"/>
      <c r="T551" s="116"/>
      <c r="U551" s="103"/>
      <c r="V551" s="103"/>
      <c r="W551" s="103"/>
      <c r="X551" s="103"/>
      <c r="Y551" s="103"/>
      <c r="Z551" s="103"/>
      <c r="AA551" s="103"/>
    </row>
    <row r="552" spans="1:27">
      <c r="A552" s="155"/>
      <c r="B552" s="116"/>
      <c r="C552" s="116"/>
      <c r="D552" s="116"/>
      <c r="E552" s="116"/>
      <c r="F552" s="116"/>
      <c r="G552" s="116"/>
      <c r="H552" s="116"/>
      <c r="I552" s="116"/>
      <c r="J552" s="116"/>
      <c r="K552" s="116"/>
      <c r="L552" s="116"/>
      <c r="M552" s="116"/>
      <c r="N552" s="116"/>
      <c r="O552" s="116"/>
      <c r="P552" s="116"/>
      <c r="Q552" s="116"/>
      <c r="R552" s="116"/>
      <c r="S552" s="116"/>
      <c r="T552" s="116"/>
      <c r="U552" s="103"/>
      <c r="V552" s="103"/>
      <c r="W552" s="103"/>
      <c r="X552" s="103"/>
      <c r="Y552" s="103"/>
      <c r="Z552" s="103"/>
      <c r="AA552" s="103"/>
    </row>
    <row r="553" spans="1:27">
      <c r="A553" s="155"/>
      <c r="B553" s="116"/>
      <c r="C553" s="116"/>
      <c r="D553" s="116"/>
      <c r="E553" s="116"/>
      <c r="F553" s="116"/>
      <c r="G553" s="116"/>
      <c r="H553" s="116"/>
      <c r="I553" s="116"/>
      <c r="J553" s="116"/>
      <c r="K553" s="116"/>
      <c r="L553" s="116"/>
      <c r="M553" s="116"/>
      <c r="N553" s="116"/>
      <c r="O553" s="116"/>
      <c r="P553" s="116"/>
      <c r="Q553" s="116"/>
      <c r="R553" s="116"/>
      <c r="S553" s="116"/>
      <c r="T553" s="116"/>
      <c r="U553" s="103"/>
      <c r="V553" s="103"/>
      <c r="W553" s="103"/>
      <c r="X553" s="103"/>
      <c r="Y553" s="103"/>
      <c r="Z553" s="103"/>
      <c r="AA553" s="103"/>
    </row>
    <row r="554" spans="1:27">
      <c r="A554" s="155"/>
      <c r="B554" s="116"/>
      <c r="C554" s="116"/>
      <c r="D554" s="116"/>
      <c r="E554" s="116"/>
      <c r="F554" s="116"/>
      <c r="G554" s="116"/>
      <c r="H554" s="116"/>
      <c r="I554" s="116"/>
      <c r="J554" s="116"/>
      <c r="K554" s="116"/>
      <c r="L554" s="116"/>
      <c r="M554" s="116"/>
      <c r="N554" s="116"/>
      <c r="O554" s="116"/>
      <c r="P554" s="116"/>
      <c r="Q554" s="116"/>
      <c r="R554" s="116"/>
      <c r="S554" s="116"/>
      <c r="T554" s="116"/>
      <c r="U554" s="103"/>
      <c r="V554" s="103"/>
      <c r="W554" s="103"/>
      <c r="X554" s="103"/>
      <c r="Y554" s="103"/>
      <c r="Z554" s="103"/>
      <c r="AA554" s="103"/>
    </row>
    <row r="555" spans="1:27">
      <c r="A555" s="155"/>
      <c r="B555" s="116"/>
      <c r="C555" s="116"/>
      <c r="D555" s="116"/>
      <c r="E555" s="116"/>
      <c r="F555" s="116"/>
      <c r="G555" s="116"/>
      <c r="H555" s="116"/>
      <c r="I555" s="116"/>
      <c r="J555" s="116"/>
      <c r="K555" s="116"/>
      <c r="L555" s="116"/>
      <c r="M555" s="116"/>
      <c r="N555" s="116"/>
      <c r="O555" s="116"/>
      <c r="P555" s="116"/>
      <c r="Q555" s="116"/>
      <c r="R555" s="116"/>
      <c r="S555" s="116"/>
      <c r="T555" s="116"/>
      <c r="U555" s="103"/>
      <c r="V555" s="103"/>
      <c r="W555" s="103"/>
      <c r="X555" s="103"/>
      <c r="Y555" s="103"/>
      <c r="Z555" s="103"/>
      <c r="AA555" s="103"/>
    </row>
    <row r="556" spans="1:27">
      <c r="A556" s="155"/>
      <c r="B556" s="116"/>
      <c r="C556" s="116"/>
      <c r="D556" s="116"/>
      <c r="E556" s="116"/>
      <c r="F556" s="116"/>
      <c r="G556" s="116"/>
      <c r="H556" s="116"/>
      <c r="I556" s="116"/>
      <c r="J556" s="116"/>
      <c r="K556" s="116"/>
      <c r="L556" s="116"/>
      <c r="M556" s="116"/>
      <c r="N556" s="116"/>
      <c r="O556" s="116"/>
      <c r="P556" s="116"/>
      <c r="Q556" s="116"/>
      <c r="R556" s="116"/>
      <c r="S556" s="116"/>
      <c r="T556" s="116"/>
      <c r="U556" s="103"/>
      <c r="V556" s="103"/>
      <c r="W556" s="103"/>
      <c r="X556" s="103"/>
      <c r="Y556" s="103"/>
      <c r="Z556" s="103"/>
      <c r="AA556" s="103"/>
    </row>
    <row r="557" spans="1:27">
      <c r="A557" s="155"/>
      <c r="B557" s="116"/>
      <c r="C557" s="116"/>
      <c r="D557" s="116"/>
      <c r="E557" s="116"/>
      <c r="F557" s="116"/>
      <c r="G557" s="116"/>
      <c r="H557" s="116"/>
      <c r="I557" s="116"/>
      <c r="J557" s="116"/>
      <c r="K557" s="116"/>
      <c r="L557" s="116"/>
      <c r="M557" s="116"/>
      <c r="N557" s="116"/>
      <c r="O557" s="116"/>
      <c r="P557" s="116"/>
      <c r="Q557" s="116"/>
      <c r="R557" s="116"/>
      <c r="S557" s="116"/>
      <c r="T557" s="116"/>
      <c r="U557" s="103"/>
      <c r="V557" s="103"/>
      <c r="W557" s="103"/>
      <c r="X557" s="103"/>
      <c r="Y557" s="103"/>
      <c r="Z557" s="103"/>
      <c r="AA557" s="103"/>
    </row>
    <row r="558" spans="1:27">
      <c r="A558" s="155"/>
      <c r="B558" s="116"/>
      <c r="C558" s="116"/>
      <c r="D558" s="116"/>
      <c r="E558" s="116"/>
      <c r="F558" s="116"/>
      <c r="G558" s="116"/>
      <c r="H558" s="116"/>
      <c r="I558" s="116"/>
      <c r="J558" s="116"/>
      <c r="K558" s="116"/>
      <c r="L558" s="116"/>
      <c r="M558" s="116"/>
      <c r="N558" s="116"/>
      <c r="O558" s="116"/>
      <c r="P558" s="116"/>
      <c r="Q558" s="116"/>
      <c r="R558" s="116"/>
      <c r="S558" s="116"/>
      <c r="T558" s="116"/>
      <c r="U558" s="103"/>
      <c r="V558" s="103"/>
      <c r="W558" s="103"/>
      <c r="X558" s="103"/>
      <c r="Y558" s="103"/>
      <c r="Z558" s="103"/>
      <c r="AA558" s="103"/>
    </row>
    <row r="559" spans="1:27">
      <c r="A559" s="155"/>
      <c r="B559" s="116"/>
      <c r="C559" s="116"/>
      <c r="D559" s="116"/>
      <c r="E559" s="116"/>
      <c r="F559" s="116"/>
      <c r="G559" s="116"/>
      <c r="H559" s="116"/>
      <c r="I559" s="116"/>
      <c r="J559" s="116"/>
      <c r="K559" s="116"/>
      <c r="L559" s="116"/>
      <c r="M559" s="116"/>
      <c r="N559" s="116"/>
      <c r="O559" s="116"/>
      <c r="P559" s="116"/>
      <c r="Q559" s="116"/>
      <c r="R559" s="116"/>
      <c r="S559" s="116"/>
      <c r="T559" s="116"/>
      <c r="U559" s="103"/>
      <c r="V559" s="103"/>
      <c r="W559" s="103"/>
      <c r="X559" s="103"/>
      <c r="Y559" s="103"/>
      <c r="Z559" s="103"/>
      <c r="AA559" s="103"/>
    </row>
    <row r="560" spans="1:27">
      <c r="A560" s="155"/>
      <c r="B560" s="116"/>
      <c r="C560" s="116"/>
      <c r="D560" s="116"/>
      <c r="E560" s="116"/>
      <c r="F560" s="116"/>
      <c r="G560" s="116"/>
      <c r="H560" s="116"/>
      <c r="I560" s="116"/>
      <c r="J560" s="116"/>
      <c r="K560" s="116"/>
      <c r="L560" s="116"/>
      <c r="M560" s="116"/>
      <c r="N560" s="116"/>
      <c r="O560" s="116"/>
      <c r="P560" s="116"/>
      <c r="Q560" s="116"/>
      <c r="R560" s="116"/>
      <c r="S560" s="116"/>
      <c r="T560" s="116"/>
      <c r="U560" s="103"/>
      <c r="V560" s="103"/>
      <c r="W560" s="103"/>
      <c r="X560" s="103"/>
      <c r="Y560" s="103"/>
      <c r="Z560" s="103"/>
      <c r="AA560" s="103"/>
    </row>
    <row r="561" spans="1:27">
      <c r="A561" s="155"/>
      <c r="B561" s="116"/>
      <c r="C561" s="116"/>
      <c r="D561" s="116"/>
      <c r="E561" s="116"/>
      <c r="F561" s="116"/>
      <c r="G561" s="116"/>
      <c r="H561" s="116"/>
      <c r="I561" s="116"/>
      <c r="J561" s="116"/>
      <c r="K561" s="116"/>
      <c r="L561" s="116"/>
      <c r="M561" s="116"/>
      <c r="N561" s="116"/>
      <c r="O561" s="116"/>
      <c r="P561" s="116"/>
      <c r="Q561" s="116"/>
      <c r="R561" s="116"/>
      <c r="S561" s="116"/>
      <c r="T561" s="116"/>
      <c r="U561" s="103"/>
      <c r="V561" s="103"/>
      <c r="W561" s="103"/>
      <c r="X561" s="103"/>
      <c r="Y561" s="103"/>
      <c r="Z561" s="103"/>
      <c r="AA561" s="103"/>
    </row>
    <row r="562" spans="1:27">
      <c r="A562" s="155"/>
      <c r="B562" s="116"/>
      <c r="C562" s="116"/>
      <c r="D562" s="116"/>
      <c r="E562" s="116"/>
      <c r="F562" s="116"/>
      <c r="G562" s="116"/>
      <c r="H562" s="116"/>
      <c r="I562" s="116"/>
      <c r="J562" s="116"/>
      <c r="K562" s="116"/>
      <c r="L562" s="116"/>
      <c r="M562" s="116"/>
      <c r="N562" s="116"/>
      <c r="O562" s="116"/>
      <c r="P562" s="116"/>
      <c r="Q562" s="116"/>
      <c r="R562" s="116"/>
      <c r="S562" s="116"/>
      <c r="T562" s="116"/>
      <c r="U562" s="103"/>
      <c r="V562" s="103"/>
      <c r="W562" s="103"/>
      <c r="X562" s="103"/>
      <c r="Y562" s="103"/>
      <c r="Z562" s="103"/>
      <c r="AA562" s="103"/>
    </row>
    <row r="563" spans="1:27">
      <c r="A563" s="155"/>
      <c r="B563" s="116"/>
      <c r="C563" s="116"/>
      <c r="D563" s="116"/>
      <c r="E563" s="116"/>
      <c r="F563" s="116"/>
      <c r="G563" s="116"/>
      <c r="H563" s="116"/>
      <c r="I563" s="116"/>
      <c r="J563" s="116"/>
      <c r="K563" s="116"/>
      <c r="L563" s="116"/>
      <c r="M563" s="116"/>
      <c r="N563" s="116"/>
      <c r="O563" s="116"/>
      <c r="P563" s="116"/>
      <c r="Q563" s="116"/>
      <c r="R563" s="116"/>
      <c r="S563" s="116"/>
      <c r="T563" s="116"/>
      <c r="U563" s="103"/>
      <c r="V563" s="103"/>
      <c r="W563" s="103"/>
      <c r="X563" s="103"/>
      <c r="Y563" s="103"/>
      <c r="Z563" s="103"/>
      <c r="AA563" s="103"/>
    </row>
    <row r="564" spans="1:27">
      <c r="A564" s="155"/>
      <c r="B564" s="116"/>
      <c r="C564" s="116"/>
      <c r="D564" s="116"/>
      <c r="E564" s="116"/>
      <c r="F564" s="116"/>
      <c r="G564" s="116"/>
      <c r="H564" s="116"/>
      <c r="I564" s="116"/>
      <c r="J564" s="116"/>
      <c r="K564" s="116"/>
      <c r="L564" s="116"/>
      <c r="M564" s="116"/>
      <c r="N564" s="116"/>
      <c r="O564" s="116"/>
      <c r="P564" s="116"/>
      <c r="Q564" s="116"/>
      <c r="R564" s="116"/>
      <c r="S564" s="116"/>
      <c r="T564" s="116"/>
      <c r="U564" s="103"/>
      <c r="V564" s="103"/>
      <c r="W564" s="103"/>
      <c r="X564" s="103"/>
      <c r="Y564" s="103"/>
      <c r="Z564" s="103"/>
      <c r="AA564" s="103"/>
    </row>
    <row r="565" spans="1:27">
      <c r="A565" s="155"/>
      <c r="B565" s="116"/>
      <c r="C565" s="116"/>
      <c r="D565" s="116"/>
      <c r="E565" s="116"/>
      <c r="F565" s="116"/>
      <c r="G565" s="116"/>
      <c r="H565" s="116"/>
      <c r="I565" s="116"/>
      <c r="J565" s="116"/>
      <c r="K565" s="116"/>
      <c r="L565" s="116"/>
      <c r="M565" s="116"/>
      <c r="N565" s="116"/>
      <c r="O565" s="116"/>
      <c r="P565" s="116"/>
      <c r="Q565" s="116"/>
      <c r="R565" s="116"/>
      <c r="S565" s="116"/>
      <c r="T565" s="116"/>
      <c r="U565" s="103"/>
      <c r="V565" s="103"/>
      <c r="W565" s="103"/>
      <c r="X565" s="103"/>
      <c r="Y565" s="103"/>
      <c r="Z565" s="103"/>
      <c r="AA565" s="103"/>
    </row>
    <row r="566" spans="1:27">
      <c r="A566" s="155"/>
      <c r="B566" s="116"/>
      <c r="C566" s="116"/>
      <c r="D566" s="116"/>
      <c r="E566" s="116"/>
      <c r="F566" s="116"/>
      <c r="G566" s="116"/>
      <c r="H566" s="116"/>
      <c r="I566" s="116"/>
      <c r="J566" s="116"/>
      <c r="K566" s="116"/>
      <c r="L566" s="116"/>
      <c r="M566" s="116"/>
      <c r="N566" s="116"/>
      <c r="O566" s="116"/>
      <c r="P566" s="116"/>
      <c r="Q566" s="116"/>
      <c r="R566" s="116"/>
      <c r="S566" s="116"/>
      <c r="T566" s="116"/>
      <c r="U566" s="103"/>
      <c r="V566" s="103"/>
      <c r="W566" s="103"/>
      <c r="X566" s="103"/>
      <c r="Y566" s="103"/>
      <c r="Z566" s="103"/>
      <c r="AA566" s="103"/>
    </row>
    <row r="567" spans="1:27">
      <c r="A567" s="155"/>
      <c r="B567" s="116"/>
      <c r="C567" s="116"/>
      <c r="D567" s="116"/>
      <c r="E567" s="116"/>
      <c r="F567" s="116"/>
      <c r="G567" s="116"/>
      <c r="H567" s="116"/>
      <c r="I567" s="116"/>
      <c r="J567" s="116"/>
      <c r="K567" s="116"/>
      <c r="L567" s="116"/>
      <c r="M567" s="116"/>
      <c r="N567" s="116"/>
      <c r="O567" s="116"/>
      <c r="P567" s="116"/>
      <c r="Q567" s="116"/>
      <c r="R567" s="116"/>
      <c r="S567" s="116"/>
      <c r="T567" s="116"/>
      <c r="U567" s="103"/>
      <c r="V567" s="103"/>
      <c r="W567" s="103"/>
      <c r="X567" s="103"/>
      <c r="Y567" s="103"/>
      <c r="Z567" s="103"/>
      <c r="AA567" s="103"/>
    </row>
    <row r="568" spans="1:27">
      <c r="A568" s="155"/>
      <c r="B568" s="116"/>
      <c r="C568" s="116"/>
      <c r="D568" s="116"/>
      <c r="E568" s="116"/>
      <c r="F568" s="116"/>
      <c r="G568" s="116"/>
      <c r="H568" s="116"/>
      <c r="I568" s="116"/>
      <c r="J568" s="116"/>
      <c r="K568" s="116"/>
      <c r="L568" s="116"/>
      <c r="M568" s="116"/>
      <c r="N568" s="116"/>
      <c r="O568" s="116"/>
      <c r="P568" s="116"/>
      <c r="Q568" s="116"/>
      <c r="R568" s="116"/>
      <c r="S568" s="116"/>
      <c r="T568" s="116"/>
      <c r="U568" s="103"/>
      <c r="V568" s="103"/>
      <c r="W568" s="103"/>
      <c r="X568" s="103"/>
      <c r="Y568" s="103"/>
      <c r="Z568" s="103"/>
      <c r="AA568" s="103"/>
    </row>
    <row r="569" spans="1:27">
      <c r="A569" s="155"/>
      <c r="B569" s="116"/>
      <c r="C569" s="116"/>
      <c r="D569" s="116"/>
      <c r="E569" s="116"/>
      <c r="F569" s="116"/>
      <c r="G569" s="116"/>
      <c r="H569" s="116"/>
      <c r="I569" s="116"/>
      <c r="J569" s="116"/>
      <c r="K569" s="116"/>
      <c r="L569" s="116"/>
      <c r="M569" s="116"/>
      <c r="N569" s="116"/>
      <c r="O569" s="116"/>
      <c r="P569" s="116"/>
      <c r="Q569" s="116"/>
      <c r="R569" s="116"/>
      <c r="S569" s="116"/>
      <c r="T569" s="116"/>
      <c r="U569" s="103"/>
      <c r="V569" s="103"/>
      <c r="W569" s="103"/>
      <c r="X569" s="103"/>
      <c r="Y569" s="103"/>
      <c r="Z569" s="103"/>
      <c r="AA569" s="103"/>
    </row>
    <row r="570" spans="1:27">
      <c r="A570" s="155"/>
      <c r="B570" s="116"/>
      <c r="C570" s="116"/>
      <c r="D570" s="116"/>
      <c r="E570" s="116"/>
      <c r="F570" s="116"/>
      <c r="G570" s="116"/>
      <c r="H570" s="116"/>
      <c r="I570" s="116"/>
      <c r="J570" s="116"/>
      <c r="K570" s="116"/>
      <c r="L570" s="116"/>
      <c r="M570" s="116"/>
      <c r="N570" s="116"/>
      <c r="O570" s="116"/>
      <c r="P570" s="116"/>
      <c r="Q570" s="116"/>
      <c r="R570" s="116"/>
      <c r="S570" s="116"/>
      <c r="T570" s="116"/>
      <c r="U570" s="103"/>
      <c r="V570" s="103"/>
      <c r="W570" s="103"/>
      <c r="X570" s="103"/>
      <c r="Y570" s="103"/>
      <c r="Z570" s="103"/>
      <c r="AA570" s="103"/>
    </row>
    <row r="571" spans="1:27">
      <c r="A571" s="155"/>
      <c r="B571" s="116"/>
      <c r="C571" s="116"/>
      <c r="D571" s="116"/>
      <c r="E571" s="116"/>
      <c r="F571" s="116"/>
      <c r="G571" s="116"/>
      <c r="H571" s="116"/>
      <c r="I571" s="116"/>
      <c r="J571" s="116"/>
      <c r="K571" s="116"/>
      <c r="L571" s="116"/>
      <c r="M571" s="116"/>
      <c r="N571" s="116"/>
      <c r="O571" s="116"/>
      <c r="P571" s="116"/>
      <c r="Q571" s="116"/>
      <c r="R571" s="116"/>
      <c r="S571" s="116"/>
      <c r="T571" s="116"/>
      <c r="U571" s="103"/>
      <c r="V571" s="103"/>
      <c r="W571" s="103"/>
      <c r="X571" s="103"/>
      <c r="Y571" s="103"/>
      <c r="Z571" s="103"/>
      <c r="AA571" s="103"/>
    </row>
    <row r="572" spans="1:27">
      <c r="A572" s="155"/>
      <c r="B572" s="116"/>
      <c r="C572" s="116"/>
      <c r="D572" s="116"/>
      <c r="E572" s="116"/>
      <c r="F572" s="116"/>
      <c r="G572" s="116"/>
      <c r="H572" s="116"/>
      <c r="I572" s="116"/>
      <c r="J572" s="116"/>
      <c r="K572" s="116"/>
      <c r="L572" s="116"/>
      <c r="M572" s="116"/>
      <c r="N572" s="116"/>
      <c r="O572" s="116"/>
      <c r="P572" s="116"/>
      <c r="Q572" s="116"/>
      <c r="R572" s="116"/>
      <c r="S572" s="116"/>
      <c r="T572" s="116"/>
      <c r="U572" s="103"/>
      <c r="V572" s="103"/>
      <c r="W572" s="103"/>
      <c r="X572" s="103"/>
      <c r="Y572" s="103"/>
      <c r="Z572" s="103"/>
      <c r="AA572" s="103"/>
    </row>
    <row r="573" spans="1:27">
      <c r="A573" s="155"/>
      <c r="B573" s="116"/>
      <c r="C573" s="116"/>
      <c r="D573" s="116"/>
      <c r="E573" s="116"/>
      <c r="F573" s="116"/>
      <c r="G573" s="116"/>
      <c r="H573" s="116"/>
      <c r="I573" s="116"/>
      <c r="J573" s="116"/>
      <c r="K573" s="116"/>
      <c r="L573" s="116"/>
      <c r="M573" s="116"/>
      <c r="N573" s="116"/>
      <c r="O573" s="116"/>
      <c r="P573" s="116"/>
      <c r="Q573" s="116"/>
      <c r="R573" s="116"/>
      <c r="S573" s="116"/>
      <c r="T573" s="116"/>
      <c r="U573" s="103"/>
      <c r="V573" s="103"/>
      <c r="W573" s="103"/>
      <c r="X573" s="103"/>
      <c r="Y573" s="103"/>
      <c r="Z573" s="103"/>
      <c r="AA573" s="103"/>
    </row>
    <row r="574" spans="1:27">
      <c r="A574" s="155"/>
      <c r="B574" s="116"/>
      <c r="C574" s="116"/>
      <c r="D574" s="116"/>
      <c r="E574" s="116"/>
      <c r="F574" s="116"/>
      <c r="G574" s="116"/>
      <c r="H574" s="116"/>
      <c r="I574" s="116"/>
      <c r="J574" s="116"/>
      <c r="K574" s="116"/>
      <c r="L574" s="116"/>
      <c r="M574" s="116"/>
      <c r="N574" s="116"/>
      <c r="O574" s="116"/>
      <c r="P574" s="116"/>
      <c r="Q574" s="116"/>
      <c r="R574" s="116"/>
      <c r="S574" s="116"/>
      <c r="T574" s="116"/>
      <c r="U574" s="103"/>
      <c r="V574" s="103"/>
      <c r="W574" s="103"/>
      <c r="X574" s="103"/>
      <c r="Y574" s="103"/>
      <c r="Z574" s="103"/>
      <c r="AA574" s="103"/>
    </row>
    <row r="575" spans="1:27">
      <c r="A575" s="155"/>
      <c r="B575" s="116"/>
      <c r="C575" s="116"/>
      <c r="D575" s="116"/>
      <c r="E575" s="116"/>
      <c r="F575" s="116"/>
      <c r="G575" s="116"/>
      <c r="H575" s="116"/>
      <c r="I575" s="116"/>
      <c r="J575" s="116"/>
      <c r="K575" s="116"/>
      <c r="L575" s="116"/>
      <c r="M575" s="116"/>
      <c r="N575" s="116"/>
      <c r="O575" s="116"/>
      <c r="P575" s="116"/>
      <c r="Q575" s="116"/>
      <c r="R575" s="116"/>
      <c r="S575" s="116"/>
      <c r="T575" s="116"/>
      <c r="U575" s="103"/>
      <c r="V575" s="103"/>
      <c r="W575" s="103"/>
      <c r="X575" s="103"/>
      <c r="Y575" s="103"/>
      <c r="Z575" s="103"/>
      <c r="AA575" s="103"/>
    </row>
    <row r="576" spans="1:27">
      <c r="A576" s="155"/>
      <c r="B576" s="116"/>
      <c r="C576" s="116"/>
      <c r="D576" s="116"/>
      <c r="E576" s="116"/>
      <c r="F576" s="116"/>
      <c r="G576" s="116"/>
      <c r="H576" s="116"/>
      <c r="I576" s="116"/>
      <c r="J576" s="116"/>
      <c r="K576" s="116"/>
      <c r="L576" s="116"/>
      <c r="M576" s="116"/>
      <c r="N576" s="116"/>
      <c r="O576" s="116"/>
      <c r="P576" s="116"/>
      <c r="Q576" s="116"/>
      <c r="R576" s="116"/>
      <c r="S576" s="116"/>
      <c r="T576" s="116"/>
      <c r="U576" s="103"/>
      <c r="V576" s="103"/>
      <c r="W576" s="103"/>
      <c r="X576" s="103"/>
      <c r="Y576" s="103"/>
      <c r="Z576" s="103"/>
      <c r="AA576" s="103"/>
    </row>
    <row r="577" spans="1:27">
      <c r="A577" s="155"/>
      <c r="B577" s="116"/>
      <c r="C577" s="116"/>
      <c r="D577" s="116"/>
      <c r="E577" s="116"/>
      <c r="F577" s="116"/>
      <c r="G577" s="116"/>
      <c r="H577" s="116"/>
      <c r="I577" s="116"/>
      <c r="J577" s="116"/>
      <c r="K577" s="116"/>
      <c r="L577" s="116"/>
      <c r="M577" s="116"/>
      <c r="N577" s="116"/>
      <c r="O577" s="116"/>
      <c r="P577" s="116"/>
      <c r="Q577" s="116"/>
      <c r="R577" s="116"/>
      <c r="S577" s="116"/>
      <c r="T577" s="116"/>
      <c r="U577" s="103"/>
      <c r="V577" s="103"/>
      <c r="W577" s="103"/>
      <c r="X577" s="103"/>
      <c r="Y577" s="103"/>
      <c r="Z577" s="103"/>
      <c r="AA577" s="103"/>
    </row>
    <row r="578" spans="1:27">
      <c r="A578" s="155"/>
      <c r="B578" s="116"/>
      <c r="C578" s="116"/>
      <c r="D578" s="116"/>
      <c r="E578" s="116"/>
      <c r="F578" s="116"/>
      <c r="G578" s="116"/>
      <c r="H578" s="116"/>
      <c r="I578" s="116"/>
      <c r="J578" s="116"/>
      <c r="K578" s="116"/>
      <c r="L578" s="116"/>
      <c r="M578" s="116"/>
      <c r="N578" s="116"/>
      <c r="O578" s="116"/>
      <c r="P578" s="116"/>
      <c r="Q578" s="116"/>
      <c r="R578" s="116"/>
      <c r="S578" s="116"/>
      <c r="T578" s="116"/>
      <c r="U578" s="103"/>
      <c r="V578" s="103"/>
      <c r="W578" s="103"/>
      <c r="X578" s="103"/>
      <c r="Y578" s="103"/>
      <c r="Z578" s="103"/>
      <c r="AA578" s="103"/>
    </row>
    <row r="579" spans="1:27">
      <c r="A579" s="155"/>
      <c r="B579" s="116"/>
      <c r="C579" s="116"/>
      <c r="D579" s="116"/>
      <c r="E579" s="116"/>
      <c r="F579" s="116"/>
      <c r="G579" s="116"/>
      <c r="H579" s="116"/>
      <c r="I579" s="116"/>
      <c r="J579" s="116"/>
      <c r="K579" s="116"/>
      <c r="L579" s="116"/>
      <c r="M579" s="116"/>
      <c r="N579" s="116"/>
      <c r="O579" s="116"/>
      <c r="P579" s="116"/>
      <c r="Q579" s="116"/>
      <c r="R579" s="116"/>
      <c r="S579" s="116"/>
      <c r="T579" s="116"/>
      <c r="U579" s="103"/>
      <c r="V579" s="103"/>
      <c r="W579" s="103"/>
      <c r="X579" s="103"/>
      <c r="Y579" s="103"/>
      <c r="Z579" s="103"/>
      <c r="AA579" s="103"/>
    </row>
    <row r="580" spans="1:27">
      <c r="A580" s="155"/>
      <c r="B580" s="116"/>
      <c r="C580" s="116"/>
      <c r="D580" s="116"/>
      <c r="E580" s="116"/>
      <c r="F580" s="116"/>
      <c r="G580" s="116"/>
      <c r="H580" s="116"/>
      <c r="I580" s="116"/>
      <c r="J580" s="116"/>
      <c r="K580" s="116"/>
      <c r="L580" s="116"/>
      <c r="M580" s="116"/>
      <c r="N580" s="116"/>
      <c r="O580" s="116"/>
      <c r="P580" s="116"/>
      <c r="Q580" s="116"/>
      <c r="R580" s="116"/>
      <c r="S580" s="116"/>
      <c r="T580" s="116"/>
      <c r="U580" s="103"/>
      <c r="V580" s="103"/>
      <c r="W580" s="103"/>
      <c r="X580" s="103"/>
      <c r="Y580" s="103"/>
      <c r="Z580" s="103"/>
      <c r="AA580" s="103"/>
    </row>
    <row r="581" spans="1:27">
      <c r="A581" s="155"/>
      <c r="B581" s="116"/>
      <c r="C581" s="116"/>
      <c r="D581" s="116"/>
      <c r="E581" s="116"/>
      <c r="F581" s="116"/>
      <c r="G581" s="116"/>
      <c r="H581" s="116"/>
      <c r="I581" s="116"/>
      <c r="J581" s="116"/>
      <c r="K581" s="116"/>
      <c r="L581" s="116"/>
      <c r="M581" s="116"/>
      <c r="N581" s="116"/>
      <c r="O581" s="116"/>
      <c r="P581" s="116"/>
      <c r="Q581" s="116"/>
      <c r="R581" s="116"/>
      <c r="S581" s="116"/>
      <c r="T581" s="116"/>
      <c r="U581" s="103"/>
      <c r="V581" s="103"/>
      <c r="W581" s="103"/>
      <c r="X581" s="103"/>
      <c r="Y581" s="103"/>
      <c r="Z581" s="103"/>
      <c r="AA581" s="103"/>
    </row>
    <row r="582" spans="1:27">
      <c r="A582" s="155"/>
      <c r="B582" s="116"/>
      <c r="C582" s="116"/>
      <c r="D582" s="116"/>
      <c r="E582" s="116"/>
      <c r="F582" s="116"/>
      <c r="G582" s="116"/>
      <c r="H582" s="116"/>
      <c r="I582" s="116"/>
      <c r="J582" s="116"/>
      <c r="K582" s="116"/>
      <c r="L582" s="116"/>
      <c r="M582" s="116"/>
      <c r="N582" s="116"/>
      <c r="O582" s="116"/>
      <c r="P582" s="116"/>
      <c r="Q582" s="116"/>
      <c r="R582" s="116"/>
      <c r="S582" s="116"/>
      <c r="T582" s="116"/>
      <c r="U582" s="103"/>
      <c r="V582" s="103"/>
      <c r="W582" s="103"/>
      <c r="X582" s="103"/>
      <c r="Y582" s="103"/>
      <c r="Z582" s="103"/>
      <c r="AA582" s="103"/>
    </row>
    <row r="583" spans="1:27">
      <c r="A583" s="155"/>
      <c r="B583" s="116"/>
      <c r="C583" s="116"/>
      <c r="D583" s="116"/>
      <c r="E583" s="116"/>
      <c r="F583" s="116"/>
      <c r="G583" s="116"/>
      <c r="H583" s="116"/>
      <c r="I583" s="116"/>
      <c r="J583" s="116"/>
      <c r="K583" s="116"/>
      <c r="L583" s="116"/>
      <c r="M583" s="116"/>
      <c r="N583" s="116"/>
      <c r="O583" s="116"/>
      <c r="P583" s="116"/>
      <c r="Q583" s="116"/>
      <c r="R583" s="116"/>
      <c r="S583" s="116"/>
      <c r="T583" s="116"/>
      <c r="U583" s="103"/>
      <c r="V583" s="103"/>
      <c r="W583" s="103"/>
      <c r="X583" s="103"/>
      <c r="Y583" s="103"/>
      <c r="Z583" s="103"/>
      <c r="AA583" s="103"/>
    </row>
    <row r="584" spans="1:27">
      <c r="A584" s="155"/>
      <c r="B584" s="116"/>
      <c r="C584" s="116"/>
      <c r="D584" s="116"/>
      <c r="E584" s="116"/>
      <c r="F584" s="116"/>
      <c r="G584" s="116"/>
      <c r="H584" s="116"/>
      <c r="I584" s="116"/>
      <c r="J584" s="116"/>
      <c r="K584" s="116"/>
      <c r="L584" s="116"/>
      <c r="M584" s="116"/>
      <c r="N584" s="116"/>
      <c r="O584" s="116"/>
      <c r="P584" s="116"/>
      <c r="Q584" s="116"/>
      <c r="R584" s="116"/>
      <c r="S584" s="116"/>
      <c r="T584" s="116"/>
      <c r="U584" s="103"/>
      <c r="V584" s="103"/>
      <c r="W584" s="103"/>
      <c r="X584" s="103"/>
      <c r="Y584" s="103"/>
      <c r="Z584" s="103"/>
      <c r="AA584" s="103"/>
    </row>
    <row r="585" spans="1:27">
      <c r="A585" s="155"/>
      <c r="B585" s="116"/>
      <c r="C585" s="116"/>
      <c r="D585" s="116"/>
      <c r="E585" s="116"/>
      <c r="F585" s="116"/>
      <c r="G585" s="116"/>
      <c r="H585" s="116"/>
      <c r="I585" s="116"/>
      <c r="J585" s="116"/>
      <c r="K585" s="116"/>
      <c r="L585" s="116"/>
      <c r="M585" s="116"/>
      <c r="N585" s="116"/>
      <c r="O585" s="116"/>
      <c r="P585" s="116"/>
      <c r="Q585" s="116"/>
      <c r="R585" s="116"/>
      <c r="S585" s="116"/>
      <c r="T585" s="116"/>
      <c r="U585" s="103"/>
      <c r="V585" s="103"/>
      <c r="W585" s="103"/>
      <c r="X585" s="103"/>
      <c r="Y585" s="103"/>
      <c r="Z585" s="103"/>
      <c r="AA585" s="103"/>
    </row>
    <row r="586" spans="1:27">
      <c r="A586" s="155"/>
      <c r="B586" s="116"/>
      <c r="C586" s="116"/>
      <c r="D586" s="116"/>
      <c r="E586" s="116"/>
      <c r="F586" s="116"/>
      <c r="G586" s="116"/>
      <c r="H586" s="116"/>
      <c r="I586" s="116"/>
      <c r="J586" s="116"/>
      <c r="K586" s="116"/>
      <c r="L586" s="116"/>
      <c r="M586" s="116"/>
      <c r="N586" s="116"/>
      <c r="O586" s="116"/>
      <c r="P586" s="116"/>
      <c r="Q586" s="116"/>
      <c r="R586" s="116"/>
      <c r="S586" s="116"/>
      <c r="T586" s="116"/>
      <c r="U586" s="103"/>
      <c r="V586" s="103"/>
      <c r="W586" s="103"/>
      <c r="X586" s="103"/>
      <c r="Y586" s="103"/>
      <c r="Z586" s="103"/>
      <c r="AA586" s="103"/>
    </row>
    <row r="587" spans="1:27">
      <c r="A587" s="155"/>
      <c r="B587" s="116"/>
      <c r="C587" s="116"/>
      <c r="D587" s="116"/>
      <c r="E587" s="116"/>
      <c r="F587" s="116"/>
      <c r="G587" s="116"/>
      <c r="H587" s="116"/>
      <c r="I587" s="116"/>
      <c r="J587" s="116"/>
      <c r="K587" s="116"/>
      <c r="L587" s="116"/>
      <c r="M587" s="116"/>
      <c r="N587" s="116"/>
      <c r="O587" s="116"/>
      <c r="P587" s="116"/>
      <c r="Q587" s="116"/>
      <c r="R587" s="116"/>
      <c r="S587" s="116"/>
      <c r="T587" s="116"/>
      <c r="U587" s="103"/>
      <c r="V587" s="103"/>
      <c r="W587" s="103"/>
      <c r="X587" s="103"/>
      <c r="Y587" s="103"/>
      <c r="Z587" s="103"/>
      <c r="AA587" s="103"/>
    </row>
    <row r="588" spans="1:27">
      <c r="A588" s="155"/>
      <c r="B588" s="116"/>
      <c r="C588" s="116"/>
      <c r="D588" s="116"/>
      <c r="E588" s="116"/>
      <c r="F588" s="116"/>
      <c r="G588" s="116"/>
      <c r="H588" s="116"/>
      <c r="I588" s="116"/>
      <c r="J588" s="116"/>
      <c r="K588" s="116"/>
      <c r="L588" s="116"/>
      <c r="M588" s="116"/>
      <c r="N588" s="116"/>
      <c r="O588" s="116"/>
      <c r="P588" s="116"/>
      <c r="Q588" s="116"/>
      <c r="R588" s="116"/>
      <c r="S588" s="116"/>
      <c r="T588" s="116"/>
      <c r="U588" s="103"/>
      <c r="V588" s="103"/>
      <c r="W588" s="103"/>
      <c r="X588" s="103"/>
      <c r="Y588" s="103"/>
      <c r="Z588" s="103"/>
      <c r="AA588" s="103"/>
    </row>
    <row r="589" spans="1:27">
      <c r="A589" s="155"/>
      <c r="B589" s="116"/>
      <c r="C589" s="116"/>
      <c r="D589" s="116"/>
      <c r="E589" s="116"/>
      <c r="F589" s="116"/>
      <c r="G589" s="116"/>
      <c r="H589" s="116"/>
      <c r="I589" s="116"/>
      <c r="J589" s="116"/>
      <c r="K589" s="116"/>
      <c r="L589" s="116"/>
      <c r="M589" s="116"/>
      <c r="N589" s="116"/>
      <c r="O589" s="116"/>
      <c r="P589" s="116"/>
      <c r="Q589" s="116"/>
      <c r="R589" s="116"/>
      <c r="S589" s="116"/>
      <c r="T589" s="116"/>
      <c r="U589" s="103"/>
      <c r="V589" s="103"/>
      <c r="W589" s="103"/>
      <c r="X589" s="103"/>
      <c r="Y589" s="103"/>
      <c r="Z589" s="103"/>
      <c r="AA589" s="103"/>
    </row>
    <row r="590" spans="1:27">
      <c r="A590" s="155"/>
      <c r="B590" s="116"/>
      <c r="C590" s="116"/>
      <c r="D590" s="116"/>
      <c r="E590" s="116"/>
      <c r="F590" s="116"/>
      <c r="G590" s="116"/>
      <c r="H590" s="116"/>
      <c r="I590" s="116"/>
      <c r="J590" s="116"/>
      <c r="K590" s="116"/>
      <c r="L590" s="116"/>
      <c r="M590" s="116"/>
      <c r="N590" s="116"/>
      <c r="O590" s="116"/>
      <c r="P590" s="116"/>
      <c r="Q590" s="116"/>
      <c r="R590" s="116"/>
      <c r="S590" s="116"/>
      <c r="T590" s="116"/>
      <c r="U590" s="103"/>
      <c r="V590" s="103"/>
      <c r="W590" s="103"/>
      <c r="X590" s="103"/>
      <c r="Y590" s="103"/>
      <c r="Z590" s="103"/>
      <c r="AA590" s="103"/>
    </row>
    <row r="591" spans="1:27">
      <c r="A591" s="155"/>
      <c r="B591" s="116"/>
      <c r="C591" s="116"/>
      <c r="D591" s="116"/>
      <c r="E591" s="116"/>
      <c r="F591" s="116"/>
      <c r="G591" s="116"/>
      <c r="H591" s="116"/>
      <c r="I591" s="116"/>
      <c r="J591" s="116"/>
      <c r="K591" s="116"/>
      <c r="L591" s="116"/>
      <c r="M591" s="116"/>
      <c r="N591" s="116"/>
      <c r="O591" s="116"/>
      <c r="P591" s="116"/>
      <c r="Q591" s="116"/>
      <c r="R591" s="116"/>
      <c r="S591" s="116"/>
      <c r="T591" s="116"/>
      <c r="U591" s="103"/>
      <c r="V591" s="103"/>
      <c r="W591" s="103"/>
      <c r="X591" s="103"/>
      <c r="Y591" s="103"/>
      <c r="Z591" s="103"/>
      <c r="AA591" s="103"/>
    </row>
    <row r="592" spans="1:27">
      <c r="A592" s="155"/>
      <c r="B592" s="116"/>
      <c r="C592" s="116"/>
      <c r="D592" s="116"/>
      <c r="E592" s="116"/>
      <c r="F592" s="116"/>
      <c r="G592" s="116"/>
      <c r="H592" s="116"/>
      <c r="I592" s="116"/>
      <c r="J592" s="116"/>
      <c r="K592" s="116"/>
      <c r="L592" s="116"/>
      <c r="M592" s="116"/>
      <c r="N592" s="116"/>
      <c r="O592" s="116"/>
      <c r="P592" s="116"/>
      <c r="Q592" s="116"/>
      <c r="R592" s="116"/>
      <c r="S592" s="116"/>
      <c r="T592" s="116"/>
      <c r="U592" s="103"/>
      <c r="V592" s="103"/>
      <c r="W592" s="103"/>
      <c r="X592" s="103"/>
      <c r="Y592" s="103"/>
      <c r="Z592" s="103"/>
      <c r="AA592" s="103"/>
    </row>
    <row r="593" spans="1:27">
      <c r="A593" s="155"/>
      <c r="B593" s="116"/>
      <c r="C593" s="116"/>
      <c r="D593" s="116"/>
      <c r="E593" s="116"/>
      <c r="F593" s="116"/>
      <c r="G593" s="116"/>
      <c r="H593" s="116"/>
      <c r="I593" s="116"/>
      <c r="J593" s="116"/>
      <c r="K593" s="116"/>
      <c r="L593" s="116"/>
      <c r="M593" s="116"/>
      <c r="N593" s="116"/>
      <c r="O593" s="116"/>
      <c r="P593" s="116"/>
      <c r="Q593" s="116"/>
      <c r="R593" s="116"/>
      <c r="S593" s="116"/>
      <c r="T593" s="116"/>
      <c r="U593" s="103"/>
      <c r="V593" s="103"/>
      <c r="W593" s="103"/>
      <c r="X593" s="103"/>
      <c r="Y593" s="103"/>
      <c r="Z593" s="103"/>
      <c r="AA593" s="103"/>
    </row>
    <row r="594" spans="1:27">
      <c r="A594" s="155"/>
      <c r="B594" s="116"/>
      <c r="C594" s="116"/>
      <c r="D594" s="116"/>
      <c r="E594" s="116"/>
      <c r="F594" s="116"/>
      <c r="G594" s="116"/>
      <c r="H594" s="116"/>
      <c r="I594" s="116"/>
      <c r="J594" s="116"/>
      <c r="K594" s="116"/>
      <c r="L594" s="116"/>
      <c r="M594" s="116"/>
      <c r="N594" s="116"/>
      <c r="O594" s="116"/>
      <c r="P594" s="116"/>
      <c r="Q594" s="116"/>
      <c r="R594" s="116"/>
      <c r="S594" s="116"/>
      <c r="T594" s="116"/>
      <c r="U594" s="103"/>
      <c r="V594" s="103"/>
      <c r="W594" s="103"/>
      <c r="X594" s="103"/>
      <c r="Y594" s="103"/>
      <c r="Z594" s="103"/>
      <c r="AA594" s="103"/>
    </row>
    <row r="595" spans="1:27">
      <c r="A595" s="155"/>
      <c r="B595" s="116"/>
      <c r="C595" s="116"/>
      <c r="D595" s="116"/>
      <c r="E595" s="116"/>
      <c r="F595" s="116"/>
      <c r="G595" s="116"/>
      <c r="H595" s="116"/>
      <c r="I595" s="116"/>
      <c r="J595" s="116"/>
      <c r="K595" s="116"/>
      <c r="L595" s="116"/>
      <c r="M595" s="116"/>
      <c r="N595" s="116"/>
      <c r="O595" s="116"/>
      <c r="P595" s="116"/>
      <c r="Q595" s="116"/>
      <c r="R595" s="116"/>
      <c r="S595" s="116"/>
      <c r="T595" s="116"/>
      <c r="U595" s="103"/>
      <c r="V595" s="103"/>
      <c r="W595" s="103"/>
      <c r="X595" s="103"/>
      <c r="Y595" s="103"/>
      <c r="Z595" s="103"/>
      <c r="AA595" s="103"/>
    </row>
    <row r="596" spans="1:27">
      <c r="A596" s="155"/>
      <c r="B596" s="116"/>
      <c r="C596" s="116"/>
      <c r="D596" s="116"/>
      <c r="E596" s="116"/>
      <c r="F596" s="116"/>
      <c r="G596" s="116"/>
      <c r="H596" s="116"/>
      <c r="I596" s="116"/>
      <c r="J596" s="116"/>
      <c r="K596" s="116"/>
      <c r="L596" s="116"/>
      <c r="M596" s="116"/>
      <c r="N596" s="116"/>
      <c r="O596" s="116"/>
      <c r="P596" s="116"/>
      <c r="Q596" s="116"/>
      <c r="R596" s="116"/>
      <c r="S596" s="116"/>
      <c r="T596" s="116"/>
      <c r="U596" s="103"/>
      <c r="V596" s="103"/>
      <c r="W596" s="103"/>
      <c r="X596" s="103"/>
      <c r="Y596" s="103"/>
      <c r="Z596" s="103"/>
      <c r="AA596" s="103"/>
    </row>
    <row r="597" spans="1:27">
      <c r="A597" s="155"/>
      <c r="B597" s="116"/>
      <c r="C597" s="116"/>
      <c r="D597" s="116"/>
      <c r="E597" s="116"/>
      <c r="F597" s="116"/>
      <c r="G597" s="116"/>
      <c r="H597" s="116"/>
      <c r="I597" s="116"/>
      <c r="J597" s="116"/>
      <c r="K597" s="116"/>
      <c r="L597" s="116"/>
      <c r="M597" s="116"/>
      <c r="N597" s="116"/>
      <c r="O597" s="116"/>
      <c r="P597" s="116"/>
      <c r="Q597" s="116"/>
      <c r="R597" s="116"/>
      <c r="S597" s="116"/>
      <c r="T597" s="116"/>
      <c r="U597" s="103"/>
      <c r="V597" s="103"/>
      <c r="W597" s="103"/>
      <c r="X597" s="103"/>
      <c r="Y597" s="103"/>
      <c r="Z597" s="103"/>
      <c r="AA597" s="103"/>
    </row>
    <row r="598" spans="1:27">
      <c r="A598" s="155"/>
      <c r="B598" s="116"/>
      <c r="C598" s="116"/>
      <c r="D598" s="116"/>
      <c r="E598" s="116"/>
      <c r="F598" s="116"/>
      <c r="G598" s="116"/>
      <c r="H598" s="116"/>
      <c r="I598" s="116"/>
      <c r="J598" s="116"/>
      <c r="K598" s="116"/>
      <c r="L598" s="116"/>
      <c r="M598" s="116"/>
      <c r="N598" s="116"/>
      <c r="O598" s="116"/>
      <c r="P598" s="116"/>
      <c r="Q598" s="116"/>
      <c r="R598" s="116"/>
      <c r="S598" s="116"/>
      <c r="T598" s="116"/>
      <c r="U598" s="103"/>
      <c r="V598" s="103"/>
      <c r="W598" s="103"/>
      <c r="X598" s="103"/>
      <c r="Y598" s="103"/>
      <c r="Z598" s="103"/>
      <c r="AA598" s="103"/>
    </row>
    <row r="599" spans="1:27">
      <c r="A599" s="155"/>
      <c r="B599" s="116"/>
      <c r="C599" s="116"/>
      <c r="D599" s="116"/>
      <c r="E599" s="116"/>
      <c r="F599" s="116"/>
      <c r="G599" s="116"/>
      <c r="H599" s="116"/>
      <c r="I599" s="116"/>
      <c r="J599" s="116"/>
      <c r="K599" s="116"/>
      <c r="L599" s="116"/>
      <c r="M599" s="116"/>
      <c r="N599" s="116"/>
      <c r="O599" s="116"/>
      <c r="P599" s="116"/>
      <c r="Q599" s="116"/>
      <c r="R599" s="116"/>
      <c r="S599" s="116"/>
      <c r="T599" s="116"/>
      <c r="U599" s="103"/>
      <c r="V599" s="103"/>
      <c r="W599" s="103"/>
      <c r="X599" s="103"/>
      <c r="Y599" s="103"/>
      <c r="Z599" s="103"/>
      <c r="AA599" s="103"/>
    </row>
    <row r="600" spans="1:27">
      <c r="A600" s="155"/>
      <c r="B600" s="116"/>
      <c r="C600" s="116"/>
      <c r="D600" s="116"/>
      <c r="E600" s="116"/>
      <c r="F600" s="116"/>
      <c r="G600" s="116"/>
      <c r="H600" s="116"/>
      <c r="I600" s="116"/>
      <c r="J600" s="116"/>
      <c r="K600" s="116"/>
      <c r="L600" s="116"/>
      <c r="M600" s="116"/>
      <c r="N600" s="116"/>
      <c r="O600" s="116"/>
      <c r="P600" s="116"/>
      <c r="Q600" s="116"/>
      <c r="R600" s="116"/>
      <c r="S600" s="116"/>
      <c r="T600" s="116"/>
      <c r="U600" s="103"/>
      <c r="V600" s="103"/>
      <c r="W600" s="103"/>
      <c r="X600" s="103"/>
      <c r="Y600" s="103"/>
      <c r="Z600" s="103"/>
      <c r="AA600" s="103"/>
    </row>
    <row r="601" spans="1:27">
      <c r="A601" s="155"/>
      <c r="B601" s="116"/>
      <c r="C601" s="116"/>
      <c r="D601" s="116"/>
      <c r="E601" s="116"/>
      <c r="F601" s="116"/>
      <c r="G601" s="116"/>
      <c r="H601" s="116"/>
      <c r="I601" s="116"/>
      <c r="J601" s="116"/>
      <c r="K601" s="116"/>
      <c r="L601" s="116"/>
      <c r="M601" s="116"/>
      <c r="N601" s="116"/>
      <c r="O601" s="116"/>
      <c r="P601" s="116"/>
      <c r="Q601" s="116"/>
      <c r="R601" s="116"/>
      <c r="S601" s="116"/>
      <c r="T601" s="116"/>
      <c r="U601" s="103"/>
      <c r="V601" s="103"/>
      <c r="W601" s="103"/>
      <c r="X601" s="103"/>
      <c r="Y601" s="103"/>
      <c r="Z601" s="103"/>
      <c r="AA601" s="103"/>
    </row>
    <row r="602" spans="1:27">
      <c r="A602" s="155"/>
      <c r="B602" s="116"/>
      <c r="C602" s="116"/>
      <c r="D602" s="116"/>
      <c r="E602" s="116"/>
      <c r="F602" s="116"/>
      <c r="G602" s="116"/>
      <c r="H602" s="116"/>
      <c r="I602" s="116"/>
      <c r="J602" s="116"/>
      <c r="K602" s="116"/>
      <c r="L602" s="116"/>
      <c r="M602" s="116"/>
      <c r="N602" s="116"/>
      <c r="O602" s="116"/>
      <c r="P602" s="116"/>
      <c r="Q602" s="116"/>
      <c r="R602" s="116"/>
      <c r="S602" s="116"/>
      <c r="T602" s="116"/>
      <c r="U602" s="103"/>
      <c r="V602" s="103"/>
      <c r="W602" s="103"/>
      <c r="X602" s="103"/>
      <c r="Y602" s="103"/>
      <c r="Z602" s="103"/>
      <c r="AA602" s="103"/>
    </row>
    <row r="603" spans="1:27">
      <c r="A603" s="155"/>
      <c r="B603" s="116"/>
      <c r="C603" s="116"/>
      <c r="D603" s="116"/>
      <c r="E603" s="116"/>
      <c r="F603" s="116"/>
      <c r="G603" s="116"/>
      <c r="H603" s="116"/>
      <c r="I603" s="116"/>
      <c r="J603" s="116"/>
      <c r="K603" s="116"/>
      <c r="L603" s="116"/>
      <c r="M603" s="116"/>
      <c r="N603" s="116"/>
      <c r="O603" s="116"/>
      <c r="P603" s="116"/>
      <c r="Q603" s="116"/>
      <c r="R603" s="116"/>
      <c r="S603" s="116"/>
      <c r="T603" s="116"/>
      <c r="U603" s="103"/>
      <c r="V603" s="103"/>
      <c r="W603" s="103"/>
      <c r="X603" s="103"/>
      <c r="Y603" s="103"/>
      <c r="Z603" s="103"/>
      <c r="AA603" s="103"/>
    </row>
    <row r="604" spans="1:27">
      <c r="A604" s="155"/>
      <c r="B604" s="116"/>
      <c r="C604" s="116"/>
      <c r="D604" s="116"/>
      <c r="E604" s="116"/>
      <c r="F604" s="116"/>
      <c r="G604" s="116"/>
      <c r="H604" s="116"/>
      <c r="I604" s="116"/>
      <c r="J604" s="116"/>
      <c r="K604" s="116"/>
      <c r="L604" s="116"/>
      <c r="M604" s="116"/>
      <c r="N604" s="116"/>
      <c r="O604" s="116"/>
      <c r="P604" s="116"/>
      <c r="Q604" s="116"/>
      <c r="R604" s="116"/>
      <c r="S604" s="116"/>
      <c r="T604" s="116"/>
      <c r="U604" s="103"/>
      <c r="V604" s="103"/>
      <c r="W604" s="103"/>
      <c r="X604" s="103"/>
      <c r="Y604" s="103"/>
      <c r="Z604" s="103"/>
      <c r="AA604" s="103"/>
    </row>
    <row r="605" spans="1:27">
      <c r="A605" s="155"/>
      <c r="B605" s="116"/>
      <c r="C605" s="116"/>
      <c r="D605" s="116"/>
      <c r="E605" s="116"/>
      <c r="F605" s="116"/>
      <c r="G605" s="116"/>
      <c r="H605" s="116"/>
      <c r="I605" s="116"/>
      <c r="J605" s="116"/>
      <c r="K605" s="116"/>
      <c r="L605" s="116"/>
      <c r="M605" s="116"/>
      <c r="N605" s="116"/>
      <c r="O605" s="116"/>
      <c r="P605" s="116"/>
      <c r="Q605" s="116"/>
      <c r="R605" s="116"/>
      <c r="S605" s="116"/>
      <c r="T605" s="116"/>
      <c r="U605" s="103"/>
      <c r="V605" s="103"/>
      <c r="W605" s="103"/>
      <c r="X605" s="103"/>
      <c r="Y605" s="103"/>
      <c r="Z605" s="103"/>
      <c r="AA605" s="103"/>
    </row>
    <row r="606" spans="1:27">
      <c r="A606" s="155"/>
      <c r="B606" s="116"/>
      <c r="C606" s="116"/>
      <c r="D606" s="116"/>
      <c r="E606" s="116"/>
      <c r="F606" s="116"/>
      <c r="G606" s="116"/>
      <c r="H606" s="116"/>
      <c r="I606" s="116"/>
      <c r="J606" s="116"/>
      <c r="K606" s="116"/>
      <c r="L606" s="116"/>
      <c r="M606" s="116"/>
      <c r="N606" s="116"/>
      <c r="O606" s="116"/>
      <c r="P606" s="116"/>
      <c r="Q606" s="116"/>
      <c r="R606" s="116"/>
      <c r="S606" s="116"/>
      <c r="T606" s="116"/>
      <c r="U606" s="103"/>
      <c r="V606" s="103"/>
      <c r="W606" s="103"/>
      <c r="X606" s="103"/>
      <c r="Y606" s="103"/>
      <c r="Z606" s="103"/>
      <c r="AA606" s="103"/>
    </row>
    <row r="607" spans="1:27">
      <c r="A607" s="155"/>
      <c r="B607" s="116"/>
      <c r="C607" s="116"/>
      <c r="D607" s="116"/>
      <c r="E607" s="116"/>
      <c r="F607" s="116"/>
      <c r="G607" s="116"/>
      <c r="H607" s="116"/>
      <c r="I607" s="116"/>
      <c r="J607" s="116"/>
      <c r="K607" s="116"/>
      <c r="L607" s="116"/>
      <c r="M607" s="116"/>
      <c r="N607" s="116"/>
      <c r="O607" s="116"/>
      <c r="P607" s="116"/>
      <c r="Q607" s="116"/>
      <c r="R607" s="116"/>
      <c r="S607" s="116"/>
      <c r="T607" s="116"/>
      <c r="U607" s="103"/>
      <c r="V607" s="103"/>
      <c r="W607" s="103"/>
      <c r="X607" s="103"/>
      <c r="Y607" s="103"/>
      <c r="Z607" s="103"/>
      <c r="AA607" s="103"/>
    </row>
    <row r="608" spans="1:27">
      <c r="A608" s="155"/>
      <c r="B608" s="116"/>
      <c r="C608" s="116"/>
      <c r="D608" s="116"/>
      <c r="E608" s="116"/>
      <c r="F608" s="116"/>
      <c r="G608" s="116"/>
      <c r="H608" s="116"/>
      <c r="I608" s="116"/>
      <c r="J608" s="116"/>
      <c r="K608" s="116"/>
      <c r="L608" s="116"/>
      <c r="M608" s="116"/>
      <c r="N608" s="116"/>
      <c r="O608" s="116"/>
      <c r="P608" s="116"/>
      <c r="Q608" s="116"/>
      <c r="R608" s="116"/>
      <c r="S608" s="116"/>
      <c r="T608" s="116"/>
      <c r="U608" s="103"/>
      <c r="V608" s="103"/>
      <c r="W608" s="103"/>
      <c r="X608" s="103"/>
      <c r="Y608" s="103"/>
      <c r="Z608" s="103"/>
      <c r="AA608" s="103"/>
    </row>
    <row r="609" spans="1:27">
      <c r="A609" s="155"/>
      <c r="B609" s="116"/>
      <c r="C609" s="116"/>
      <c r="D609" s="116"/>
      <c r="E609" s="116"/>
      <c r="F609" s="116"/>
      <c r="G609" s="116"/>
      <c r="H609" s="116"/>
      <c r="I609" s="116"/>
      <c r="J609" s="116"/>
      <c r="K609" s="116"/>
      <c r="L609" s="116"/>
      <c r="M609" s="116"/>
      <c r="N609" s="116"/>
      <c r="O609" s="116"/>
      <c r="P609" s="116"/>
      <c r="Q609" s="116"/>
      <c r="R609" s="116"/>
      <c r="S609" s="116"/>
      <c r="T609" s="116"/>
      <c r="U609" s="103"/>
      <c r="V609" s="103"/>
      <c r="W609" s="103"/>
      <c r="X609" s="103"/>
      <c r="Y609" s="103"/>
      <c r="Z609" s="103"/>
      <c r="AA609" s="103"/>
    </row>
    <row r="610" spans="1:27">
      <c r="A610" s="155"/>
      <c r="B610" s="116"/>
      <c r="C610" s="116"/>
      <c r="D610" s="116"/>
      <c r="E610" s="116"/>
      <c r="F610" s="116"/>
      <c r="G610" s="116"/>
      <c r="H610" s="116"/>
      <c r="I610" s="116"/>
      <c r="J610" s="116"/>
      <c r="K610" s="116"/>
      <c r="L610" s="116"/>
      <c r="M610" s="116"/>
      <c r="N610" s="116"/>
      <c r="O610" s="116"/>
      <c r="P610" s="116"/>
      <c r="Q610" s="116"/>
      <c r="R610" s="116"/>
      <c r="S610" s="116"/>
      <c r="T610" s="116"/>
      <c r="U610" s="103"/>
      <c r="V610" s="103"/>
      <c r="W610" s="103"/>
      <c r="X610" s="103"/>
      <c r="Y610" s="103"/>
      <c r="Z610" s="103"/>
      <c r="AA610" s="103"/>
    </row>
    <row r="611" spans="1:27">
      <c r="A611" s="155"/>
      <c r="B611" s="116"/>
      <c r="C611" s="116"/>
      <c r="D611" s="116"/>
      <c r="E611" s="116"/>
      <c r="F611" s="116"/>
      <c r="G611" s="116"/>
      <c r="H611" s="116"/>
      <c r="I611" s="116"/>
      <c r="J611" s="116"/>
      <c r="K611" s="116"/>
      <c r="L611" s="116"/>
      <c r="M611" s="116"/>
      <c r="N611" s="116"/>
      <c r="O611" s="116"/>
      <c r="P611" s="116"/>
      <c r="Q611" s="116"/>
      <c r="R611" s="116"/>
      <c r="S611" s="116"/>
      <c r="T611" s="116"/>
      <c r="U611" s="103"/>
      <c r="V611" s="103"/>
      <c r="W611" s="103"/>
      <c r="X611" s="103"/>
      <c r="Y611" s="103"/>
      <c r="Z611" s="103"/>
      <c r="AA611" s="103"/>
    </row>
    <row r="612" spans="1:27">
      <c r="A612" s="155"/>
      <c r="B612" s="116"/>
      <c r="C612" s="116"/>
      <c r="D612" s="116"/>
      <c r="E612" s="116"/>
      <c r="F612" s="116"/>
      <c r="G612" s="116"/>
      <c r="H612" s="116"/>
      <c r="I612" s="116"/>
      <c r="J612" s="116"/>
      <c r="K612" s="116"/>
      <c r="L612" s="116"/>
      <c r="M612" s="116"/>
      <c r="N612" s="116"/>
      <c r="O612" s="116"/>
      <c r="P612" s="116"/>
      <c r="Q612" s="116"/>
      <c r="R612" s="116"/>
      <c r="S612" s="116"/>
      <c r="T612" s="116"/>
      <c r="U612" s="103"/>
      <c r="V612" s="103"/>
      <c r="W612" s="103"/>
      <c r="X612" s="103"/>
      <c r="Y612" s="103"/>
      <c r="Z612" s="103"/>
      <c r="AA612" s="103"/>
    </row>
    <row r="613" spans="1:27">
      <c r="A613" s="155"/>
      <c r="B613" s="116"/>
      <c r="C613" s="116"/>
      <c r="D613" s="116"/>
      <c r="E613" s="116"/>
      <c r="F613" s="116"/>
      <c r="G613" s="116"/>
      <c r="H613" s="116"/>
      <c r="I613" s="116"/>
      <c r="J613" s="116"/>
      <c r="K613" s="116"/>
      <c r="L613" s="116"/>
      <c r="M613" s="116"/>
      <c r="N613" s="116"/>
      <c r="O613" s="116"/>
      <c r="P613" s="116"/>
      <c r="Q613" s="116"/>
      <c r="R613" s="116"/>
      <c r="S613" s="116"/>
      <c r="T613" s="116"/>
      <c r="U613" s="103"/>
      <c r="V613" s="103"/>
      <c r="W613" s="103"/>
      <c r="X613" s="103"/>
      <c r="Y613" s="103"/>
      <c r="Z613" s="103"/>
      <c r="AA613" s="103"/>
    </row>
    <row r="614" spans="1:27">
      <c r="A614" s="155"/>
      <c r="B614" s="116"/>
      <c r="C614" s="116"/>
      <c r="D614" s="116"/>
      <c r="E614" s="116"/>
      <c r="F614" s="116"/>
      <c r="G614" s="116"/>
      <c r="H614" s="116"/>
      <c r="I614" s="116"/>
      <c r="J614" s="116"/>
      <c r="K614" s="116"/>
      <c r="L614" s="116"/>
      <c r="M614" s="116"/>
      <c r="N614" s="116"/>
      <c r="O614" s="116"/>
      <c r="P614" s="116"/>
      <c r="Q614" s="116"/>
      <c r="R614" s="116"/>
      <c r="S614" s="116"/>
      <c r="T614" s="116"/>
      <c r="U614" s="103"/>
      <c r="V614" s="103"/>
      <c r="W614" s="103"/>
      <c r="X614" s="103"/>
      <c r="Y614" s="103"/>
      <c r="Z614" s="103"/>
      <c r="AA614" s="103"/>
    </row>
    <row r="615" spans="1:27">
      <c r="A615" s="155"/>
      <c r="B615" s="116"/>
      <c r="C615" s="116"/>
      <c r="D615" s="116"/>
      <c r="E615" s="116"/>
      <c r="F615" s="116"/>
      <c r="G615" s="116"/>
      <c r="H615" s="116"/>
      <c r="I615" s="116"/>
      <c r="J615" s="116"/>
      <c r="K615" s="116"/>
      <c r="L615" s="116"/>
      <c r="M615" s="116"/>
      <c r="N615" s="116"/>
      <c r="O615" s="116"/>
      <c r="P615" s="116"/>
      <c r="Q615" s="116"/>
      <c r="R615" s="116"/>
      <c r="S615" s="116"/>
      <c r="T615" s="116"/>
      <c r="U615" s="103"/>
      <c r="V615" s="103"/>
      <c r="W615" s="103"/>
      <c r="X615" s="103"/>
      <c r="Y615" s="103"/>
      <c r="Z615" s="103"/>
      <c r="AA615" s="103"/>
    </row>
    <row r="616" spans="1:27">
      <c r="A616" s="155"/>
      <c r="B616" s="116"/>
      <c r="C616" s="116"/>
      <c r="D616" s="116"/>
      <c r="E616" s="116"/>
      <c r="F616" s="116"/>
      <c r="G616" s="116"/>
      <c r="H616" s="116"/>
      <c r="I616" s="116"/>
      <c r="J616" s="116"/>
      <c r="K616" s="116"/>
      <c r="L616" s="116"/>
      <c r="M616" s="116"/>
      <c r="N616" s="116"/>
      <c r="O616" s="116"/>
      <c r="P616" s="116"/>
      <c r="Q616" s="116"/>
      <c r="R616" s="116"/>
      <c r="S616" s="116"/>
      <c r="T616" s="116"/>
      <c r="U616" s="103"/>
      <c r="V616" s="103"/>
      <c r="W616" s="103"/>
      <c r="X616" s="103"/>
      <c r="Y616" s="103"/>
      <c r="Z616" s="103"/>
      <c r="AA616" s="103"/>
    </row>
    <row r="617" spans="1:27">
      <c r="A617" s="155"/>
      <c r="B617" s="116"/>
      <c r="C617" s="116"/>
      <c r="D617" s="116"/>
      <c r="E617" s="116"/>
      <c r="F617" s="116"/>
      <c r="G617" s="116"/>
      <c r="H617" s="116"/>
      <c r="I617" s="116"/>
      <c r="J617" s="116"/>
      <c r="K617" s="116"/>
      <c r="L617" s="116"/>
      <c r="M617" s="116"/>
      <c r="N617" s="116"/>
      <c r="O617" s="116"/>
      <c r="P617" s="116"/>
      <c r="Q617" s="116"/>
      <c r="R617" s="116"/>
      <c r="S617" s="116"/>
      <c r="T617" s="116"/>
      <c r="U617" s="103"/>
      <c r="V617" s="103"/>
      <c r="W617" s="103"/>
      <c r="X617" s="103"/>
      <c r="Y617" s="103"/>
      <c r="Z617" s="103"/>
      <c r="AA617" s="103"/>
    </row>
    <row r="618" spans="1:27">
      <c r="A618" s="155"/>
      <c r="B618" s="116"/>
      <c r="C618" s="116"/>
      <c r="D618" s="116"/>
      <c r="E618" s="116"/>
      <c r="F618" s="116"/>
      <c r="G618" s="116"/>
      <c r="H618" s="116"/>
      <c r="I618" s="116"/>
      <c r="J618" s="116"/>
      <c r="K618" s="116"/>
      <c r="L618" s="116"/>
      <c r="M618" s="116"/>
      <c r="N618" s="116"/>
      <c r="O618" s="116"/>
      <c r="P618" s="116"/>
      <c r="Q618" s="116"/>
      <c r="R618" s="116"/>
      <c r="S618" s="116"/>
      <c r="T618" s="116"/>
      <c r="U618" s="103"/>
      <c r="V618" s="103"/>
      <c r="W618" s="103"/>
      <c r="X618" s="103"/>
      <c r="Y618" s="103"/>
      <c r="Z618" s="103"/>
      <c r="AA618" s="103"/>
    </row>
    <row r="619" spans="1:27">
      <c r="A619" s="155"/>
      <c r="B619" s="116"/>
      <c r="C619" s="116"/>
      <c r="D619" s="116"/>
      <c r="E619" s="116"/>
      <c r="F619" s="116"/>
      <c r="G619" s="116"/>
      <c r="H619" s="116"/>
      <c r="I619" s="116"/>
      <c r="J619" s="116"/>
      <c r="K619" s="116"/>
      <c r="L619" s="116"/>
      <c r="M619" s="116"/>
      <c r="N619" s="116"/>
      <c r="O619" s="116"/>
      <c r="P619" s="116"/>
      <c r="Q619" s="116"/>
      <c r="R619" s="116"/>
      <c r="S619" s="116"/>
      <c r="T619" s="116"/>
      <c r="U619" s="103"/>
      <c r="V619" s="103"/>
      <c r="W619" s="103"/>
      <c r="X619" s="103"/>
      <c r="Y619" s="103"/>
      <c r="Z619" s="103"/>
      <c r="AA619" s="103"/>
    </row>
    <row r="620" spans="1:27">
      <c r="A620" s="155"/>
      <c r="B620" s="116"/>
      <c r="C620" s="116"/>
      <c r="D620" s="116"/>
      <c r="E620" s="116"/>
      <c r="F620" s="116"/>
      <c r="G620" s="116"/>
      <c r="H620" s="116"/>
      <c r="I620" s="116"/>
      <c r="J620" s="116"/>
      <c r="K620" s="116"/>
      <c r="L620" s="116"/>
      <c r="M620" s="116"/>
      <c r="N620" s="116"/>
      <c r="O620" s="116"/>
      <c r="P620" s="116"/>
      <c r="Q620" s="116"/>
      <c r="R620" s="116"/>
      <c r="S620" s="116"/>
      <c r="T620" s="116"/>
      <c r="U620" s="103"/>
      <c r="V620" s="103"/>
      <c r="W620" s="103"/>
      <c r="X620" s="103"/>
      <c r="Y620" s="103"/>
      <c r="Z620" s="103"/>
      <c r="AA620" s="103"/>
    </row>
    <row r="621" spans="1:27">
      <c r="A621" s="155"/>
      <c r="B621" s="116"/>
      <c r="C621" s="116"/>
      <c r="D621" s="116"/>
      <c r="E621" s="116"/>
      <c r="F621" s="116"/>
      <c r="G621" s="116"/>
      <c r="H621" s="116"/>
      <c r="I621" s="116"/>
      <c r="J621" s="116"/>
      <c r="K621" s="116"/>
      <c r="L621" s="116"/>
      <c r="M621" s="116"/>
      <c r="N621" s="116"/>
      <c r="O621" s="116"/>
      <c r="P621" s="116"/>
      <c r="Q621" s="116"/>
      <c r="R621" s="116"/>
      <c r="S621" s="116"/>
      <c r="T621" s="116"/>
      <c r="U621" s="103"/>
      <c r="V621" s="103"/>
      <c r="W621" s="103"/>
      <c r="X621" s="103"/>
      <c r="Y621" s="103"/>
      <c r="Z621" s="103"/>
      <c r="AA621" s="103"/>
    </row>
    <row r="622" spans="1:27">
      <c r="A622" s="155"/>
      <c r="B622" s="116"/>
      <c r="C622" s="116"/>
      <c r="D622" s="116"/>
      <c r="E622" s="116"/>
      <c r="F622" s="116"/>
      <c r="G622" s="116"/>
      <c r="H622" s="116"/>
      <c r="I622" s="116"/>
      <c r="J622" s="116"/>
      <c r="K622" s="116"/>
      <c r="L622" s="116"/>
      <c r="M622" s="116"/>
      <c r="N622" s="116"/>
      <c r="O622" s="116"/>
      <c r="P622" s="116"/>
      <c r="Q622" s="116"/>
      <c r="R622" s="116"/>
      <c r="S622" s="116"/>
      <c r="T622" s="116"/>
      <c r="U622" s="103"/>
      <c r="V622" s="103"/>
      <c r="W622" s="103"/>
      <c r="X622" s="103"/>
      <c r="Y622" s="103"/>
      <c r="Z622" s="103"/>
      <c r="AA622" s="103"/>
    </row>
    <row r="623" spans="1:27">
      <c r="A623" s="155"/>
      <c r="B623" s="116"/>
      <c r="C623" s="116"/>
      <c r="D623" s="116"/>
      <c r="E623" s="116"/>
      <c r="F623" s="116"/>
      <c r="G623" s="116"/>
      <c r="H623" s="116"/>
      <c r="I623" s="116"/>
      <c r="J623" s="116"/>
      <c r="K623" s="116"/>
      <c r="L623" s="116"/>
      <c r="M623" s="116"/>
      <c r="N623" s="116"/>
      <c r="O623" s="116"/>
      <c r="P623" s="116"/>
      <c r="Q623" s="116"/>
      <c r="R623" s="116"/>
      <c r="S623" s="116"/>
      <c r="T623" s="116"/>
      <c r="U623" s="103"/>
      <c r="V623" s="103"/>
      <c r="W623" s="103"/>
      <c r="X623" s="103"/>
      <c r="Y623" s="103"/>
      <c r="Z623" s="103"/>
      <c r="AA623" s="103"/>
    </row>
    <row r="624" spans="1:27">
      <c r="A624" s="155"/>
      <c r="B624" s="116"/>
      <c r="C624" s="116"/>
      <c r="D624" s="116"/>
      <c r="E624" s="116"/>
      <c r="F624" s="116"/>
      <c r="G624" s="116"/>
      <c r="H624" s="116"/>
      <c r="I624" s="116"/>
      <c r="J624" s="116"/>
      <c r="K624" s="116"/>
      <c r="L624" s="116"/>
      <c r="M624" s="116"/>
      <c r="N624" s="116"/>
      <c r="O624" s="116"/>
      <c r="P624" s="116"/>
      <c r="Q624" s="116"/>
      <c r="R624" s="116"/>
      <c r="S624" s="116"/>
      <c r="T624" s="116"/>
      <c r="U624" s="103"/>
      <c r="V624" s="103"/>
      <c r="W624" s="103"/>
      <c r="X624" s="103"/>
      <c r="Y624" s="103"/>
      <c r="Z624" s="103"/>
      <c r="AA624" s="103"/>
    </row>
    <row r="625" spans="1:27">
      <c r="A625" s="155"/>
      <c r="B625" s="116"/>
      <c r="C625" s="116"/>
      <c r="D625" s="116"/>
      <c r="E625" s="116"/>
      <c r="F625" s="116"/>
      <c r="G625" s="116"/>
      <c r="H625" s="116"/>
      <c r="I625" s="116"/>
      <c r="J625" s="116"/>
      <c r="K625" s="116"/>
      <c r="L625" s="116"/>
      <c r="M625" s="116"/>
      <c r="N625" s="116"/>
      <c r="O625" s="116"/>
      <c r="P625" s="116"/>
      <c r="Q625" s="116"/>
      <c r="R625" s="116"/>
      <c r="S625" s="116"/>
      <c r="T625" s="116"/>
      <c r="U625" s="103"/>
      <c r="V625" s="103"/>
      <c r="W625" s="103"/>
      <c r="X625" s="103"/>
      <c r="Y625" s="103"/>
      <c r="Z625" s="103"/>
      <c r="AA625" s="103"/>
    </row>
    <row r="626" spans="1:27">
      <c r="A626" s="155"/>
      <c r="B626" s="116"/>
      <c r="C626" s="116"/>
      <c r="D626" s="116"/>
      <c r="E626" s="116"/>
      <c r="F626" s="116"/>
      <c r="G626" s="116"/>
      <c r="H626" s="116"/>
      <c r="I626" s="116"/>
      <c r="J626" s="116"/>
      <c r="K626" s="116"/>
      <c r="L626" s="116"/>
      <c r="M626" s="116"/>
      <c r="N626" s="116"/>
      <c r="O626" s="116"/>
      <c r="P626" s="116"/>
      <c r="Q626" s="116"/>
      <c r="R626" s="116"/>
      <c r="S626" s="116"/>
      <c r="T626" s="116"/>
      <c r="U626" s="103"/>
      <c r="V626" s="103"/>
      <c r="W626" s="103"/>
      <c r="X626" s="103"/>
      <c r="Y626" s="103"/>
      <c r="Z626" s="103"/>
      <c r="AA626" s="103"/>
    </row>
    <row r="627" spans="1:27">
      <c r="A627" s="155"/>
      <c r="B627" s="116"/>
      <c r="C627" s="116"/>
      <c r="D627" s="116"/>
      <c r="E627" s="116"/>
      <c r="F627" s="116"/>
      <c r="G627" s="116"/>
      <c r="H627" s="116"/>
      <c r="I627" s="116"/>
      <c r="J627" s="116"/>
      <c r="K627" s="116"/>
      <c r="L627" s="116"/>
      <c r="M627" s="116"/>
      <c r="N627" s="116"/>
      <c r="O627" s="116"/>
      <c r="P627" s="116"/>
      <c r="Q627" s="116"/>
      <c r="R627" s="116"/>
      <c r="S627" s="116"/>
      <c r="T627" s="116"/>
      <c r="U627" s="103"/>
      <c r="V627" s="103"/>
      <c r="W627" s="103"/>
      <c r="X627" s="103"/>
      <c r="Y627" s="103"/>
      <c r="Z627" s="103"/>
      <c r="AA627" s="103"/>
    </row>
    <row r="628" spans="1:27">
      <c r="A628" s="155"/>
      <c r="B628" s="116"/>
      <c r="C628" s="116"/>
      <c r="D628" s="116"/>
      <c r="E628" s="116"/>
      <c r="F628" s="116"/>
      <c r="G628" s="116"/>
      <c r="H628" s="116"/>
      <c r="I628" s="116"/>
      <c r="J628" s="116"/>
      <c r="K628" s="116"/>
      <c r="L628" s="116"/>
      <c r="M628" s="116"/>
      <c r="N628" s="116"/>
      <c r="O628" s="116"/>
      <c r="P628" s="116"/>
      <c r="Q628" s="116"/>
      <c r="R628" s="116"/>
      <c r="S628" s="116"/>
      <c r="T628" s="116"/>
      <c r="U628" s="103"/>
      <c r="V628" s="103"/>
      <c r="W628" s="103"/>
      <c r="X628" s="103"/>
      <c r="Y628" s="103"/>
      <c r="Z628" s="103"/>
      <c r="AA628" s="103"/>
    </row>
    <row r="629" spans="1:27">
      <c r="A629" s="155"/>
      <c r="B629" s="116"/>
      <c r="C629" s="116"/>
      <c r="D629" s="116"/>
      <c r="E629" s="116"/>
      <c r="F629" s="116"/>
      <c r="G629" s="116"/>
      <c r="H629" s="116"/>
      <c r="I629" s="116"/>
      <c r="J629" s="116"/>
      <c r="K629" s="116"/>
      <c r="L629" s="116"/>
      <c r="M629" s="116"/>
      <c r="N629" s="116"/>
      <c r="O629" s="116"/>
      <c r="P629" s="116"/>
      <c r="Q629" s="116"/>
      <c r="R629" s="116"/>
      <c r="S629" s="116"/>
      <c r="T629" s="116"/>
      <c r="U629" s="103"/>
      <c r="V629" s="103"/>
      <c r="W629" s="103"/>
      <c r="X629" s="103"/>
      <c r="Y629" s="103"/>
      <c r="Z629" s="103"/>
      <c r="AA629" s="103"/>
    </row>
    <row r="630" spans="1:27">
      <c r="A630" s="155"/>
      <c r="B630" s="116"/>
      <c r="C630" s="116"/>
      <c r="D630" s="116"/>
      <c r="E630" s="116"/>
      <c r="F630" s="116"/>
      <c r="G630" s="116"/>
      <c r="H630" s="116"/>
      <c r="I630" s="116"/>
      <c r="J630" s="116"/>
      <c r="K630" s="116"/>
      <c r="L630" s="116"/>
      <c r="M630" s="116"/>
      <c r="N630" s="116"/>
      <c r="O630" s="116"/>
      <c r="P630" s="116"/>
      <c r="Q630" s="116"/>
      <c r="R630" s="116"/>
      <c r="S630" s="116"/>
      <c r="T630" s="116"/>
      <c r="U630" s="103"/>
      <c r="V630" s="103"/>
      <c r="W630" s="103"/>
      <c r="X630" s="103"/>
      <c r="Y630" s="103"/>
      <c r="Z630" s="103"/>
      <c r="AA630" s="103"/>
    </row>
    <row r="631" spans="1:27">
      <c r="A631" s="155"/>
      <c r="B631" s="116"/>
      <c r="C631" s="116"/>
      <c r="D631" s="116"/>
      <c r="E631" s="116"/>
      <c r="F631" s="116"/>
      <c r="G631" s="116"/>
      <c r="H631" s="116"/>
      <c r="I631" s="116"/>
      <c r="J631" s="116"/>
      <c r="K631" s="116"/>
      <c r="L631" s="116"/>
      <c r="M631" s="116"/>
      <c r="N631" s="116"/>
      <c r="O631" s="116"/>
      <c r="P631" s="116"/>
      <c r="Q631" s="116"/>
      <c r="R631" s="116"/>
      <c r="S631" s="116"/>
      <c r="T631" s="116"/>
      <c r="U631" s="103"/>
      <c r="V631" s="103"/>
      <c r="W631" s="103"/>
      <c r="X631" s="103"/>
      <c r="Y631" s="103"/>
      <c r="Z631" s="103"/>
      <c r="AA631" s="103"/>
    </row>
    <row r="632" spans="1:27">
      <c r="A632" s="155"/>
      <c r="B632" s="116"/>
      <c r="C632" s="116"/>
      <c r="D632" s="116"/>
      <c r="E632" s="116"/>
      <c r="F632" s="116"/>
      <c r="G632" s="116"/>
      <c r="H632" s="116"/>
      <c r="I632" s="116"/>
      <c r="J632" s="116"/>
      <c r="K632" s="116"/>
      <c r="L632" s="116"/>
      <c r="M632" s="116"/>
      <c r="N632" s="116"/>
      <c r="O632" s="116"/>
      <c r="P632" s="116"/>
      <c r="Q632" s="116"/>
      <c r="R632" s="116"/>
      <c r="S632" s="116"/>
      <c r="T632" s="116"/>
      <c r="U632" s="103"/>
      <c r="V632" s="103"/>
      <c r="W632" s="103"/>
      <c r="X632" s="103"/>
      <c r="Y632" s="103"/>
      <c r="Z632" s="103"/>
      <c r="AA632" s="103"/>
    </row>
    <row r="633" spans="1:27">
      <c r="A633" s="155"/>
      <c r="B633" s="116"/>
      <c r="C633" s="116"/>
      <c r="D633" s="116"/>
      <c r="E633" s="116"/>
      <c r="F633" s="116"/>
      <c r="G633" s="116"/>
      <c r="H633" s="116"/>
      <c r="I633" s="116"/>
      <c r="J633" s="116"/>
      <c r="K633" s="116"/>
      <c r="L633" s="116"/>
      <c r="M633" s="116"/>
      <c r="N633" s="116"/>
      <c r="O633" s="116"/>
      <c r="P633" s="116"/>
      <c r="Q633" s="116"/>
      <c r="R633" s="116"/>
      <c r="S633" s="116"/>
      <c r="T633" s="116"/>
      <c r="U633" s="103"/>
      <c r="V633" s="103"/>
      <c r="W633" s="103"/>
      <c r="X633" s="103"/>
      <c r="Y633" s="103"/>
      <c r="Z633" s="103"/>
      <c r="AA633" s="103"/>
    </row>
    <row r="634" spans="1:27">
      <c r="A634" s="155"/>
      <c r="B634" s="116"/>
      <c r="C634" s="116"/>
      <c r="D634" s="116"/>
      <c r="E634" s="116"/>
      <c r="F634" s="116"/>
      <c r="G634" s="116"/>
      <c r="H634" s="116"/>
      <c r="I634" s="116"/>
      <c r="J634" s="116"/>
      <c r="K634" s="116"/>
      <c r="L634" s="116"/>
      <c r="M634" s="116"/>
      <c r="N634" s="116"/>
      <c r="O634" s="116"/>
      <c r="P634" s="116"/>
      <c r="Q634" s="116"/>
      <c r="R634" s="116"/>
      <c r="S634" s="116"/>
      <c r="T634" s="116"/>
      <c r="U634" s="103"/>
      <c r="V634" s="103"/>
      <c r="W634" s="103"/>
      <c r="X634" s="103"/>
      <c r="Y634" s="103"/>
      <c r="Z634" s="103"/>
      <c r="AA634" s="103"/>
    </row>
    <row r="635" spans="1:27">
      <c r="A635" s="155"/>
      <c r="B635" s="116"/>
      <c r="C635" s="116"/>
      <c r="D635" s="116"/>
      <c r="E635" s="116"/>
      <c r="F635" s="116"/>
      <c r="G635" s="116"/>
      <c r="H635" s="116"/>
      <c r="I635" s="116"/>
      <c r="J635" s="116"/>
      <c r="K635" s="116"/>
      <c r="L635" s="116"/>
      <c r="M635" s="116"/>
      <c r="N635" s="116"/>
      <c r="O635" s="116"/>
      <c r="P635" s="116"/>
      <c r="Q635" s="116"/>
      <c r="R635" s="116"/>
      <c r="S635" s="116"/>
      <c r="T635" s="116"/>
      <c r="U635" s="103"/>
      <c r="V635" s="103"/>
      <c r="W635" s="103"/>
      <c r="X635" s="103"/>
      <c r="Y635" s="103"/>
      <c r="Z635" s="103"/>
      <c r="AA635" s="103"/>
    </row>
    <row r="636" spans="1:27">
      <c r="A636" s="155"/>
      <c r="B636" s="116"/>
      <c r="C636" s="116"/>
      <c r="D636" s="116"/>
      <c r="E636" s="116"/>
      <c r="F636" s="116"/>
      <c r="G636" s="116"/>
      <c r="H636" s="116"/>
      <c r="I636" s="116"/>
      <c r="J636" s="116"/>
      <c r="K636" s="116"/>
      <c r="L636" s="116"/>
      <c r="M636" s="116"/>
      <c r="N636" s="116"/>
      <c r="O636" s="116"/>
      <c r="P636" s="116"/>
      <c r="Q636" s="116"/>
      <c r="R636" s="116"/>
      <c r="S636" s="116"/>
      <c r="T636" s="116"/>
      <c r="U636" s="103"/>
      <c r="V636" s="103"/>
      <c r="W636" s="103"/>
      <c r="X636" s="103"/>
      <c r="Y636" s="103"/>
      <c r="Z636" s="103"/>
      <c r="AA636" s="103"/>
    </row>
    <row r="637" spans="1:27">
      <c r="A637" s="155"/>
      <c r="B637" s="116"/>
      <c r="C637" s="116"/>
      <c r="D637" s="116"/>
      <c r="E637" s="116"/>
      <c r="F637" s="116"/>
      <c r="G637" s="116"/>
      <c r="H637" s="116"/>
      <c r="I637" s="116"/>
      <c r="J637" s="116"/>
      <c r="K637" s="116"/>
      <c r="L637" s="116"/>
      <c r="M637" s="116"/>
      <c r="N637" s="116"/>
      <c r="O637" s="116"/>
      <c r="P637" s="116"/>
      <c r="Q637" s="116"/>
      <c r="R637" s="116"/>
      <c r="S637" s="116"/>
      <c r="T637" s="116"/>
      <c r="U637" s="103"/>
      <c r="V637" s="103"/>
      <c r="W637" s="103"/>
      <c r="X637" s="103"/>
      <c r="Y637" s="103"/>
      <c r="Z637" s="103"/>
      <c r="AA637" s="103"/>
    </row>
    <row r="638" spans="1:27">
      <c r="A638" s="155"/>
      <c r="B638" s="116"/>
      <c r="C638" s="116"/>
      <c r="D638" s="116"/>
      <c r="E638" s="116"/>
      <c r="F638" s="116"/>
      <c r="G638" s="116"/>
      <c r="H638" s="116"/>
      <c r="I638" s="116"/>
      <c r="J638" s="116"/>
      <c r="K638" s="116"/>
      <c r="L638" s="116"/>
      <c r="M638" s="116"/>
      <c r="N638" s="116"/>
      <c r="O638" s="116"/>
      <c r="P638" s="116"/>
      <c r="Q638" s="116"/>
      <c r="R638" s="116"/>
      <c r="S638" s="116"/>
      <c r="T638" s="116"/>
      <c r="U638" s="103"/>
      <c r="V638" s="103"/>
      <c r="W638" s="103"/>
      <c r="X638" s="103"/>
      <c r="Y638" s="103"/>
      <c r="Z638" s="103"/>
      <c r="AA638" s="103"/>
    </row>
    <row r="639" spans="1:27">
      <c r="A639" s="155"/>
      <c r="B639" s="116"/>
      <c r="C639" s="116"/>
      <c r="D639" s="116"/>
      <c r="E639" s="116"/>
      <c r="F639" s="116"/>
      <c r="G639" s="116"/>
      <c r="H639" s="116"/>
      <c r="I639" s="116"/>
      <c r="J639" s="116"/>
      <c r="K639" s="116"/>
      <c r="L639" s="116"/>
      <c r="M639" s="116"/>
      <c r="N639" s="116"/>
      <c r="O639" s="116"/>
      <c r="P639" s="116"/>
      <c r="Q639" s="116"/>
      <c r="R639" s="116"/>
      <c r="S639" s="116"/>
      <c r="T639" s="116"/>
      <c r="U639" s="103"/>
      <c r="V639" s="103"/>
      <c r="W639" s="103"/>
      <c r="X639" s="103"/>
      <c r="Y639" s="103"/>
      <c r="Z639" s="103"/>
      <c r="AA639" s="103"/>
    </row>
    <row r="640" spans="1:27">
      <c r="A640" s="155"/>
      <c r="B640" s="116"/>
      <c r="C640" s="116"/>
      <c r="D640" s="116"/>
      <c r="E640" s="116"/>
      <c r="F640" s="116"/>
      <c r="G640" s="116"/>
      <c r="H640" s="116"/>
      <c r="I640" s="116"/>
      <c r="J640" s="116"/>
      <c r="K640" s="116"/>
      <c r="L640" s="116"/>
      <c r="M640" s="116"/>
      <c r="N640" s="116"/>
      <c r="O640" s="116"/>
      <c r="P640" s="116"/>
      <c r="Q640" s="116"/>
      <c r="R640" s="116"/>
      <c r="S640" s="116"/>
      <c r="T640" s="116"/>
      <c r="U640" s="103"/>
      <c r="V640" s="103"/>
      <c r="W640" s="103"/>
      <c r="X640" s="103"/>
      <c r="Y640" s="103"/>
      <c r="Z640" s="103"/>
      <c r="AA640" s="103"/>
    </row>
    <row r="641" spans="1:27">
      <c r="A641" s="155"/>
      <c r="B641" s="116"/>
      <c r="C641" s="116"/>
      <c r="D641" s="116"/>
      <c r="E641" s="116"/>
      <c r="F641" s="116"/>
      <c r="G641" s="116"/>
      <c r="H641" s="116"/>
      <c r="I641" s="116"/>
      <c r="J641" s="116"/>
      <c r="K641" s="116"/>
      <c r="L641" s="116"/>
      <c r="M641" s="116"/>
      <c r="N641" s="116"/>
      <c r="O641" s="116"/>
      <c r="P641" s="116"/>
      <c r="Q641" s="116"/>
      <c r="R641" s="116"/>
      <c r="S641" s="116"/>
      <c r="T641" s="116"/>
      <c r="U641" s="103"/>
      <c r="V641" s="103"/>
      <c r="W641" s="103"/>
      <c r="X641" s="103"/>
      <c r="Y641" s="103"/>
      <c r="Z641" s="103"/>
      <c r="AA641" s="103"/>
    </row>
    <row r="642" spans="1:27">
      <c r="A642" s="155"/>
      <c r="B642" s="116"/>
      <c r="C642" s="116"/>
      <c r="D642" s="116"/>
      <c r="E642" s="116"/>
      <c r="F642" s="116"/>
      <c r="G642" s="116"/>
      <c r="H642" s="116"/>
      <c r="I642" s="116"/>
      <c r="J642" s="116"/>
      <c r="K642" s="116"/>
      <c r="L642" s="116"/>
      <c r="M642" s="116"/>
      <c r="N642" s="116"/>
      <c r="O642" s="116"/>
      <c r="P642" s="116"/>
      <c r="Q642" s="116"/>
      <c r="R642" s="116"/>
      <c r="S642" s="116"/>
      <c r="T642" s="116"/>
      <c r="U642" s="103"/>
      <c r="V642" s="103"/>
      <c r="W642" s="103"/>
      <c r="X642" s="103"/>
      <c r="Y642" s="103"/>
      <c r="Z642" s="103"/>
      <c r="AA642" s="103"/>
    </row>
    <row r="643" spans="1:27">
      <c r="A643" s="155"/>
      <c r="B643" s="116"/>
      <c r="C643" s="116"/>
      <c r="D643" s="116"/>
      <c r="E643" s="116"/>
      <c r="F643" s="116"/>
      <c r="G643" s="116"/>
      <c r="H643" s="116"/>
      <c r="I643" s="116"/>
      <c r="J643" s="116"/>
      <c r="K643" s="116"/>
      <c r="L643" s="116"/>
      <c r="M643" s="116"/>
      <c r="N643" s="116"/>
      <c r="O643" s="116"/>
      <c r="P643" s="116"/>
      <c r="Q643" s="116"/>
      <c r="R643" s="116"/>
      <c r="S643" s="116"/>
      <c r="T643" s="116"/>
      <c r="U643" s="103"/>
      <c r="V643" s="103"/>
      <c r="W643" s="103"/>
      <c r="X643" s="103"/>
      <c r="Y643" s="103"/>
      <c r="Z643" s="103"/>
      <c r="AA643" s="103"/>
    </row>
    <row r="644" spans="1:27">
      <c r="A644" s="155"/>
      <c r="B644" s="116"/>
      <c r="C644" s="116"/>
      <c r="D644" s="116"/>
      <c r="E644" s="116"/>
      <c r="F644" s="116"/>
      <c r="G644" s="116"/>
      <c r="H644" s="116"/>
      <c r="I644" s="116"/>
      <c r="J644" s="116"/>
      <c r="K644" s="116"/>
      <c r="L644" s="116"/>
      <c r="M644" s="116"/>
      <c r="N644" s="116"/>
      <c r="O644" s="116"/>
      <c r="P644" s="116"/>
      <c r="Q644" s="116"/>
      <c r="R644" s="116"/>
      <c r="S644" s="116"/>
      <c r="T644" s="116"/>
      <c r="U644" s="103"/>
      <c r="V644" s="103"/>
      <c r="W644" s="103"/>
      <c r="X644" s="103"/>
      <c r="Y644" s="103"/>
      <c r="Z644" s="103"/>
      <c r="AA644" s="103"/>
    </row>
    <row r="645" spans="1:27">
      <c r="A645" s="155"/>
      <c r="B645" s="116"/>
      <c r="C645" s="116"/>
      <c r="D645" s="116"/>
      <c r="E645" s="116"/>
      <c r="F645" s="116"/>
      <c r="G645" s="116"/>
      <c r="H645" s="116"/>
      <c r="I645" s="116"/>
      <c r="J645" s="116"/>
      <c r="K645" s="116"/>
      <c r="L645" s="116"/>
      <c r="M645" s="116"/>
      <c r="N645" s="116"/>
      <c r="O645" s="116"/>
      <c r="P645" s="116"/>
      <c r="Q645" s="116"/>
      <c r="R645" s="116"/>
      <c r="S645" s="116"/>
      <c r="T645" s="116"/>
      <c r="U645" s="103"/>
      <c r="V645" s="103"/>
      <c r="W645" s="103"/>
      <c r="X645" s="103"/>
      <c r="Y645" s="103"/>
      <c r="Z645" s="103"/>
      <c r="AA645" s="103"/>
    </row>
    <row r="646" spans="1:27">
      <c r="A646" s="155"/>
      <c r="B646" s="116"/>
      <c r="C646" s="116"/>
      <c r="D646" s="116"/>
      <c r="E646" s="116"/>
      <c r="F646" s="116"/>
      <c r="G646" s="116"/>
      <c r="H646" s="116"/>
      <c r="I646" s="116"/>
      <c r="J646" s="116"/>
      <c r="K646" s="116"/>
      <c r="L646" s="116"/>
      <c r="M646" s="116"/>
      <c r="N646" s="116"/>
      <c r="O646" s="116"/>
      <c r="P646" s="116"/>
      <c r="Q646" s="116"/>
      <c r="R646" s="116"/>
      <c r="S646" s="116"/>
      <c r="T646" s="116"/>
      <c r="U646" s="103"/>
      <c r="V646" s="103"/>
      <c r="W646" s="103"/>
      <c r="X646" s="103"/>
      <c r="Y646" s="103"/>
      <c r="Z646" s="103"/>
      <c r="AA646" s="103"/>
    </row>
    <row r="647" spans="1:27">
      <c r="A647" s="155"/>
      <c r="B647" s="116"/>
      <c r="C647" s="116"/>
      <c r="D647" s="116"/>
      <c r="E647" s="116"/>
      <c r="F647" s="116"/>
      <c r="G647" s="116"/>
      <c r="H647" s="116"/>
      <c r="I647" s="116"/>
      <c r="J647" s="116"/>
      <c r="K647" s="116"/>
      <c r="L647" s="116"/>
      <c r="M647" s="116"/>
      <c r="N647" s="116"/>
      <c r="O647" s="116"/>
      <c r="P647" s="116"/>
      <c r="Q647" s="116"/>
      <c r="R647" s="116"/>
      <c r="S647" s="116"/>
      <c r="T647" s="116"/>
      <c r="U647" s="103"/>
      <c r="V647" s="103"/>
      <c r="W647" s="103"/>
      <c r="X647" s="103"/>
      <c r="Y647" s="103"/>
      <c r="Z647" s="103"/>
      <c r="AA647" s="103"/>
    </row>
    <row r="648" spans="1:27">
      <c r="A648" s="155"/>
      <c r="B648" s="116"/>
      <c r="C648" s="116"/>
      <c r="D648" s="116"/>
      <c r="E648" s="116"/>
      <c r="F648" s="116"/>
      <c r="G648" s="116"/>
      <c r="H648" s="116"/>
      <c r="I648" s="116"/>
      <c r="J648" s="116"/>
      <c r="K648" s="116"/>
      <c r="L648" s="116"/>
      <c r="M648" s="116"/>
      <c r="N648" s="116"/>
      <c r="O648" s="116"/>
      <c r="P648" s="116"/>
      <c r="Q648" s="116"/>
      <c r="R648" s="116"/>
      <c r="S648" s="116"/>
      <c r="T648" s="116"/>
      <c r="U648" s="103"/>
      <c r="V648" s="103"/>
      <c r="W648" s="103"/>
      <c r="X648" s="103"/>
      <c r="Y648" s="103"/>
      <c r="Z648" s="103"/>
      <c r="AA648" s="103"/>
    </row>
    <row r="649" spans="1:27">
      <c r="A649" s="155"/>
      <c r="B649" s="116"/>
      <c r="C649" s="116"/>
      <c r="D649" s="116"/>
      <c r="E649" s="116"/>
      <c r="F649" s="116"/>
      <c r="G649" s="116"/>
      <c r="H649" s="116"/>
      <c r="I649" s="116"/>
      <c r="J649" s="116"/>
      <c r="K649" s="116"/>
      <c r="L649" s="116"/>
      <c r="M649" s="116"/>
      <c r="N649" s="116"/>
      <c r="O649" s="116"/>
      <c r="P649" s="116"/>
      <c r="Q649" s="116"/>
      <c r="R649" s="116"/>
      <c r="S649" s="116"/>
      <c r="T649" s="116"/>
      <c r="U649" s="103"/>
      <c r="V649" s="103"/>
      <c r="W649" s="103"/>
      <c r="X649" s="103"/>
      <c r="Y649" s="103"/>
      <c r="Z649" s="103"/>
      <c r="AA649" s="103"/>
    </row>
    <row r="650" spans="1:27">
      <c r="A650" s="155"/>
      <c r="B650" s="116"/>
      <c r="C650" s="116"/>
      <c r="D650" s="116"/>
      <c r="E650" s="116"/>
      <c r="F650" s="116"/>
      <c r="G650" s="116"/>
      <c r="H650" s="116"/>
      <c r="I650" s="116"/>
      <c r="J650" s="116"/>
      <c r="K650" s="116"/>
      <c r="L650" s="116"/>
      <c r="M650" s="116"/>
      <c r="N650" s="116"/>
      <c r="O650" s="116"/>
      <c r="P650" s="116"/>
      <c r="Q650" s="116"/>
      <c r="R650" s="116"/>
      <c r="S650" s="116"/>
      <c r="T650" s="116"/>
      <c r="U650" s="103"/>
      <c r="V650" s="103"/>
      <c r="W650" s="103"/>
      <c r="X650" s="103"/>
      <c r="Y650" s="103"/>
      <c r="Z650" s="103"/>
      <c r="AA650" s="103"/>
    </row>
    <row r="651" spans="1:27">
      <c r="A651" s="155"/>
      <c r="B651" s="116"/>
      <c r="C651" s="116"/>
      <c r="D651" s="116"/>
      <c r="E651" s="116"/>
      <c r="F651" s="116"/>
      <c r="G651" s="116"/>
      <c r="H651" s="116"/>
      <c r="I651" s="116"/>
      <c r="J651" s="116"/>
      <c r="K651" s="116"/>
      <c r="L651" s="116"/>
      <c r="M651" s="116"/>
      <c r="N651" s="116"/>
      <c r="O651" s="116"/>
      <c r="P651" s="116"/>
      <c r="Q651" s="116"/>
      <c r="R651" s="116"/>
      <c r="S651" s="116"/>
      <c r="T651" s="116"/>
      <c r="U651" s="103"/>
      <c r="V651" s="103"/>
      <c r="W651" s="103"/>
      <c r="X651" s="103"/>
      <c r="Y651" s="103"/>
      <c r="Z651" s="103"/>
      <c r="AA651" s="103"/>
    </row>
    <row r="652" spans="1:27">
      <c r="A652" s="155"/>
      <c r="B652" s="116"/>
      <c r="C652" s="116"/>
      <c r="D652" s="116"/>
      <c r="E652" s="116"/>
      <c r="F652" s="116"/>
      <c r="G652" s="116"/>
      <c r="H652" s="116"/>
      <c r="I652" s="116"/>
      <c r="J652" s="116"/>
      <c r="K652" s="116"/>
      <c r="L652" s="116"/>
      <c r="M652" s="116"/>
      <c r="N652" s="116"/>
      <c r="O652" s="116"/>
      <c r="P652" s="116"/>
      <c r="Q652" s="116"/>
      <c r="R652" s="116"/>
      <c r="S652" s="116"/>
      <c r="T652" s="116"/>
      <c r="U652" s="103"/>
      <c r="V652" s="103"/>
      <c r="W652" s="103"/>
      <c r="X652" s="103"/>
      <c r="Y652" s="103"/>
      <c r="Z652" s="103"/>
      <c r="AA652" s="103"/>
    </row>
    <row r="653" spans="1:27">
      <c r="A653" s="155"/>
      <c r="B653" s="116"/>
      <c r="C653" s="116"/>
      <c r="D653" s="116"/>
      <c r="E653" s="116"/>
      <c r="F653" s="116"/>
      <c r="G653" s="116"/>
      <c r="H653" s="116"/>
      <c r="I653" s="116"/>
      <c r="J653" s="116"/>
      <c r="K653" s="116"/>
      <c r="L653" s="116"/>
      <c r="M653" s="116"/>
      <c r="N653" s="116"/>
      <c r="O653" s="116"/>
      <c r="P653" s="116"/>
      <c r="Q653" s="116"/>
      <c r="R653" s="116"/>
      <c r="S653" s="116"/>
      <c r="T653" s="116"/>
      <c r="U653" s="103"/>
      <c r="V653" s="103"/>
      <c r="W653" s="103"/>
      <c r="X653" s="103"/>
      <c r="Y653" s="103"/>
      <c r="Z653" s="103"/>
      <c r="AA653" s="103"/>
    </row>
    <row r="654" spans="1:27">
      <c r="A654" s="155"/>
      <c r="B654" s="116"/>
      <c r="C654" s="116"/>
      <c r="D654" s="116"/>
      <c r="E654" s="116"/>
      <c r="F654" s="116"/>
      <c r="G654" s="116"/>
      <c r="H654" s="116"/>
      <c r="I654" s="116"/>
      <c r="J654" s="116"/>
      <c r="K654" s="116"/>
      <c r="L654" s="116"/>
      <c r="M654" s="116"/>
      <c r="N654" s="116"/>
      <c r="O654" s="116"/>
      <c r="P654" s="116"/>
      <c r="Q654" s="116"/>
      <c r="R654" s="116"/>
      <c r="S654" s="116"/>
      <c r="T654" s="116"/>
      <c r="U654" s="103"/>
      <c r="V654" s="103"/>
      <c r="W654" s="103"/>
      <c r="X654" s="103"/>
      <c r="Y654" s="103"/>
      <c r="Z654" s="103"/>
      <c r="AA654" s="103"/>
    </row>
    <row r="655" spans="1:27">
      <c r="A655" s="155"/>
      <c r="B655" s="116"/>
      <c r="C655" s="116"/>
      <c r="D655" s="116"/>
      <c r="E655" s="116"/>
      <c r="F655" s="116"/>
      <c r="G655" s="116"/>
      <c r="H655" s="116"/>
      <c r="I655" s="116"/>
      <c r="J655" s="116"/>
      <c r="K655" s="116"/>
      <c r="L655" s="116"/>
      <c r="M655" s="116"/>
      <c r="N655" s="116"/>
      <c r="O655" s="116"/>
      <c r="P655" s="116"/>
      <c r="Q655" s="116"/>
      <c r="R655" s="116"/>
      <c r="S655" s="116"/>
      <c r="T655" s="116"/>
      <c r="U655" s="103"/>
      <c r="V655" s="103"/>
      <c r="W655" s="103"/>
      <c r="X655" s="103"/>
      <c r="Y655" s="103"/>
      <c r="Z655" s="103"/>
      <c r="AA655" s="103"/>
    </row>
    <row r="656" spans="1:27">
      <c r="A656" s="155"/>
      <c r="B656" s="116"/>
      <c r="C656" s="116"/>
      <c r="D656" s="116"/>
      <c r="E656" s="116"/>
      <c r="F656" s="116"/>
      <c r="G656" s="116"/>
      <c r="H656" s="116"/>
      <c r="I656" s="116"/>
      <c r="J656" s="116"/>
      <c r="K656" s="116"/>
      <c r="L656" s="116"/>
      <c r="M656" s="116"/>
      <c r="N656" s="116"/>
      <c r="O656" s="116"/>
      <c r="P656" s="116"/>
      <c r="Q656" s="116"/>
      <c r="R656" s="116"/>
      <c r="S656" s="116"/>
      <c r="T656" s="116"/>
      <c r="U656" s="103"/>
      <c r="V656" s="103"/>
      <c r="W656" s="103"/>
      <c r="X656" s="103"/>
      <c r="Y656" s="103"/>
      <c r="Z656" s="103"/>
      <c r="AA656" s="103"/>
    </row>
    <row r="657" spans="1:27">
      <c r="A657" s="155"/>
      <c r="B657" s="116"/>
      <c r="C657" s="116"/>
      <c r="D657" s="116"/>
      <c r="E657" s="116"/>
      <c r="F657" s="116"/>
      <c r="G657" s="116"/>
      <c r="H657" s="116"/>
      <c r="I657" s="116"/>
      <c r="J657" s="116"/>
      <c r="K657" s="116"/>
      <c r="L657" s="116"/>
      <c r="M657" s="116"/>
      <c r="N657" s="116"/>
      <c r="O657" s="116"/>
      <c r="P657" s="116"/>
      <c r="Q657" s="116"/>
      <c r="R657" s="116"/>
      <c r="S657" s="116"/>
      <c r="T657" s="116"/>
      <c r="U657" s="103"/>
      <c r="V657" s="103"/>
      <c r="W657" s="103"/>
      <c r="X657" s="103"/>
      <c r="Y657" s="103"/>
      <c r="Z657" s="103"/>
      <c r="AA657" s="103"/>
    </row>
    <row r="658" spans="1:27">
      <c r="A658" s="155"/>
      <c r="B658" s="116"/>
      <c r="C658" s="116"/>
      <c r="D658" s="116"/>
      <c r="E658" s="116"/>
      <c r="F658" s="116"/>
      <c r="G658" s="116"/>
      <c r="H658" s="116"/>
      <c r="I658" s="116"/>
      <c r="J658" s="116"/>
      <c r="K658" s="116"/>
      <c r="L658" s="116"/>
      <c r="M658" s="116"/>
      <c r="N658" s="116"/>
      <c r="O658" s="116"/>
      <c r="P658" s="116"/>
      <c r="Q658" s="116"/>
      <c r="R658" s="116"/>
      <c r="S658" s="116"/>
      <c r="T658" s="116"/>
      <c r="U658" s="103"/>
      <c r="V658" s="103"/>
      <c r="W658" s="103"/>
      <c r="X658" s="103"/>
      <c r="Y658" s="103"/>
      <c r="Z658" s="103"/>
      <c r="AA658" s="103"/>
    </row>
    <row r="659" spans="1:27">
      <c r="A659" s="155"/>
      <c r="B659" s="116"/>
      <c r="C659" s="116"/>
      <c r="D659" s="116"/>
      <c r="E659" s="116"/>
      <c r="F659" s="116"/>
      <c r="G659" s="116"/>
      <c r="H659" s="116"/>
      <c r="I659" s="116"/>
      <c r="J659" s="116"/>
      <c r="K659" s="116"/>
      <c r="L659" s="116"/>
      <c r="M659" s="116"/>
      <c r="N659" s="116"/>
      <c r="O659" s="116"/>
      <c r="P659" s="116"/>
      <c r="Q659" s="116"/>
      <c r="R659" s="116"/>
      <c r="S659" s="116"/>
      <c r="T659" s="116"/>
      <c r="U659" s="103"/>
      <c r="V659" s="103"/>
      <c r="W659" s="103"/>
      <c r="X659" s="103"/>
      <c r="Y659" s="103"/>
      <c r="Z659" s="103"/>
      <c r="AA659" s="103"/>
    </row>
    <row r="660" spans="1:27">
      <c r="A660" s="155"/>
      <c r="B660" s="116"/>
      <c r="C660" s="116"/>
      <c r="D660" s="116"/>
      <c r="E660" s="116"/>
      <c r="F660" s="116"/>
      <c r="G660" s="116"/>
      <c r="H660" s="116"/>
      <c r="I660" s="116"/>
      <c r="J660" s="116"/>
      <c r="K660" s="116"/>
      <c r="L660" s="116"/>
      <c r="M660" s="116"/>
      <c r="N660" s="116"/>
      <c r="O660" s="116"/>
      <c r="P660" s="116"/>
      <c r="Q660" s="116"/>
      <c r="R660" s="116"/>
      <c r="S660" s="116"/>
      <c r="T660" s="116"/>
      <c r="U660" s="103"/>
      <c r="V660" s="103"/>
      <c r="W660" s="103"/>
      <c r="X660" s="103"/>
      <c r="Y660" s="103"/>
      <c r="Z660" s="103"/>
      <c r="AA660" s="103"/>
    </row>
    <row r="661" spans="1:27">
      <c r="A661" s="155"/>
      <c r="B661" s="116"/>
      <c r="C661" s="116"/>
      <c r="D661" s="116"/>
      <c r="E661" s="116"/>
      <c r="F661" s="116"/>
      <c r="G661" s="116"/>
      <c r="H661" s="116"/>
      <c r="I661" s="116"/>
      <c r="J661" s="116"/>
      <c r="K661" s="116"/>
      <c r="L661" s="116"/>
      <c r="M661" s="116"/>
      <c r="N661" s="116"/>
      <c r="O661" s="116"/>
      <c r="P661" s="116"/>
      <c r="Q661" s="116"/>
      <c r="R661" s="116"/>
      <c r="S661" s="116"/>
      <c r="T661" s="116"/>
      <c r="U661" s="103"/>
      <c r="V661" s="103"/>
      <c r="W661" s="103"/>
      <c r="X661" s="103"/>
      <c r="Y661" s="103"/>
      <c r="Z661" s="103"/>
      <c r="AA661" s="103"/>
    </row>
    <row r="662" spans="1:27">
      <c r="A662" s="155"/>
      <c r="B662" s="116"/>
      <c r="C662" s="116"/>
      <c r="D662" s="116"/>
      <c r="E662" s="116"/>
      <c r="F662" s="116"/>
      <c r="G662" s="116"/>
      <c r="H662" s="116"/>
      <c r="I662" s="116"/>
      <c r="J662" s="116"/>
      <c r="K662" s="116"/>
      <c r="L662" s="116"/>
      <c r="M662" s="116"/>
      <c r="N662" s="116"/>
      <c r="O662" s="116"/>
      <c r="P662" s="116"/>
      <c r="Q662" s="116"/>
      <c r="R662" s="116"/>
      <c r="S662" s="116"/>
      <c r="T662" s="116"/>
      <c r="U662" s="103"/>
      <c r="V662" s="103"/>
      <c r="W662" s="103"/>
      <c r="X662" s="103"/>
      <c r="Y662" s="103"/>
      <c r="Z662" s="103"/>
      <c r="AA662" s="103"/>
    </row>
    <row r="663" spans="1:27">
      <c r="A663" s="155"/>
      <c r="B663" s="116"/>
      <c r="C663" s="116"/>
      <c r="D663" s="116"/>
      <c r="E663" s="116"/>
      <c r="F663" s="116"/>
      <c r="G663" s="116"/>
      <c r="H663" s="116"/>
      <c r="I663" s="116"/>
      <c r="J663" s="116"/>
      <c r="K663" s="116"/>
      <c r="L663" s="116"/>
      <c r="M663" s="116"/>
      <c r="N663" s="116"/>
      <c r="O663" s="116"/>
      <c r="P663" s="116"/>
      <c r="Q663" s="116"/>
      <c r="R663" s="116"/>
      <c r="S663" s="116"/>
      <c r="T663" s="116"/>
      <c r="U663" s="103"/>
      <c r="V663" s="103"/>
      <c r="W663" s="103"/>
      <c r="X663" s="103"/>
      <c r="Y663" s="103"/>
      <c r="Z663" s="103"/>
      <c r="AA663" s="103"/>
    </row>
    <row r="664" spans="1:27">
      <c r="A664" s="155"/>
      <c r="B664" s="116"/>
      <c r="C664" s="116"/>
      <c r="D664" s="116"/>
      <c r="E664" s="116"/>
      <c r="F664" s="116"/>
      <c r="G664" s="116"/>
      <c r="H664" s="116"/>
      <c r="I664" s="116"/>
      <c r="J664" s="116"/>
      <c r="K664" s="116"/>
      <c r="L664" s="116"/>
      <c r="M664" s="116"/>
      <c r="N664" s="116"/>
      <c r="O664" s="116"/>
      <c r="P664" s="116"/>
      <c r="Q664" s="116"/>
      <c r="R664" s="116"/>
      <c r="S664" s="116"/>
      <c r="T664" s="116"/>
      <c r="U664" s="103"/>
      <c r="V664" s="103"/>
      <c r="W664" s="103"/>
      <c r="X664" s="103"/>
      <c r="Y664" s="103"/>
      <c r="Z664" s="103"/>
      <c r="AA664" s="103"/>
    </row>
    <row r="665" spans="1:27">
      <c r="A665" s="155"/>
      <c r="B665" s="116"/>
      <c r="C665" s="116"/>
      <c r="D665" s="116"/>
      <c r="E665" s="116"/>
      <c r="F665" s="116"/>
      <c r="G665" s="116"/>
      <c r="H665" s="116"/>
      <c r="I665" s="116"/>
      <c r="J665" s="116"/>
      <c r="K665" s="116"/>
      <c r="L665" s="116"/>
      <c r="M665" s="116"/>
      <c r="N665" s="116"/>
      <c r="O665" s="116"/>
      <c r="P665" s="116"/>
      <c r="Q665" s="116"/>
      <c r="R665" s="116"/>
      <c r="S665" s="116"/>
      <c r="T665" s="116"/>
      <c r="U665" s="103"/>
      <c r="V665" s="103"/>
      <c r="W665" s="103"/>
      <c r="X665" s="103"/>
      <c r="Y665" s="103"/>
      <c r="Z665" s="103"/>
      <c r="AA665" s="103"/>
    </row>
    <row r="666" spans="1:27">
      <c r="A666" s="155"/>
      <c r="B666" s="116"/>
      <c r="C666" s="116"/>
      <c r="D666" s="116"/>
      <c r="E666" s="116"/>
      <c r="F666" s="116"/>
      <c r="G666" s="116"/>
      <c r="H666" s="116"/>
      <c r="I666" s="116"/>
      <c r="J666" s="116"/>
      <c r="K666" s="116"/>
      <c r="L666" s="116"/>
      <c r="M666" s="116"/>
      <c r="N666" s="116"/>
      <c r="O666" s="116"/>
      <c r="P666" s="116"/>
      <c r="Q666" s="116"/>
      <c r="R666" s="116"/>
      <c r="S666" s="116"/>
      <c r="T666" s="116"/>
      <c r="U666" s="103"/>
      <c r="V666" s="103"/>
      <c r="W666" s="103"/>
      <c r="X666" s="103"/>
      <c r="Y666" s="103"/>
      <c r="Z666" s="103"/>
      <c r="AA666" s="103"/>
    </row>
    <row r="667" spans="1:27">
      <c r="A667" s="155"/>
      <c r="B667" s="116"/>
      <c r="C667" s="116"/>
      <c r="D667" s="116"/>
      <c r="E667" s="116"/>
      <c r="F667" s="116"/>
      <c r="G667" s="116"/>
      <c r="H667" s="116"/>
      <c r="I667" s="116"/>
      <c r="J667" s="116"/>
      <c r="K667" s="116"/>
      <c r="L667" s="116"/>
      <c r="M667" s="116"/>
      <c r="N667" s="116"/>
      <c r="O667" s="116"/>
      <c r="P667" s="116"/>
      <c r="Q667" s="116"/>
      <c r="R667" s="116"/>
      <c r="S667" s="116"/>
      <c r="T667" s="116"/>
      <c r="U667" s="103"/>
      <c r="V667" s="103"/>
      <c r="W667" s="103"/>
      <c r="X667" s="103"/>
      <c r="Y667" s="103"/>
      <c r="Z667" s="103"/>
      <c r="AA667" s="103"/>
    </row>
    <row r="668" spans="1:27">
      <c r="A668" s="155"/>
      <c r="B668" s="116"/>
      <c r="C668" s="116"/>
      <c r="D668" s="116"/>
      <c r="E668" s="116"/>
      <c r="F668" s="116"/>
      <c r="G668" s="116"/>
      <c r="H668" s="116"/>
      <c r="I668" s="116"/>
      <c r="J668" s="116"/>
      <c r="K668" s="116"/>
      <c r="L668" s="116"/>
      <c r="M668" s="116"/>
      <c r="N668" s="116"/>
      <c r="O668" s="116"/>
      <c r="P668" s="116"/>
      <c r="Q668" s="116"/>
      <c r="R668" s="116"/>
      <c r="S668" s="116"/>
      <c r="T668" s="116"/>
      <c r="U668" s="103"/>
      <c r="V668" s="103"/>
      <c r="W668" s="103"/>
      <c r="X668" s="103"/>
      <c r="Y668" s="103"/>
      <c r="Z668" s="103"/>
      <c r="AA668" s="103"/>
    </row>
    <row r="669" spans="1:27">
      <c r="A669" s="155"/>
      <c r="B669" s="116"/>
      <c r="C669" s="116"/>
      <c r="D669" s="116"/>
      <c r="E669" s="116"/>
      <c r="F669" s="116"/>
      <c r="G669" s="116"/>
      <c r="H669" s="116"/>
      <c r="I669" s="116"/>
      <c r="J669" s="116"/>
      <c r="K669" s="116"/>
      <c r="L669" s="116"/>
      <c r="M669" s="116"/>
      <c r="N669" s="116"/>
      <c r="O669" s="116"/>
      <c r="P669" s="116"/>
      <c r="Q669" s="116"/>
      <c r="R669" s="116"/>
      <c r="S669" s="116"/>
      <c r="T669" s="116"/>
      <c r="U669" s="103"/>
      <c r="V669" s="103"/>
      <c r="W669" s="103"/>
      <c r="X669" s="103"/>
      <c r="Y669" s="103"/>
      <c r="Z669" s="103"/>
      <c r="AA669" s="103"/>
    </row>
    <row r="670" spans="1:27">
      <c r="A670" s="155"/>
      <c r="B670" s="116"/>
      <c r="C670" s="116"/>
      <c r="D670" s="116"/>
      <c r="E670" s="116"/>
      <c r="F670" s="116"/>
      <c r="G670" s="116"/>
      <c r="H670" s="116"/>
      <c r="I670" s="116"/>
      <c r="J670" s="116"/>
      <c r="K670" s="116"/>
      <c r="L670" s="116"/>
      <c r="M670" s="116"/>
      <c r="N670" s="116"/>
      <c r="O670" s="116"/>
      <c r="P670" s="116"/>
      <c r="Q670" s="116"/>
      <c r="R670" s="116"/>
      <c r="S670" s="116"/>
      <c r="T670" s="116"/>
      <c r="U670" s="103"/>
      <c r="V670" s="103"/>
      <c r="W670" s="103"/>
      <c r="X670" s="103"/>
      <c r="Y670" s="103"/>
      <c r="Z670" s="103"/>
      <c r="AA670" s="103"/>
    </row>
    <row r="671" spans="1:27">
      <c r="A671" s="155"/>
      <c r="B671" s="116"/>
      <c r="C671" s="116"/>
      <c r="D671" s="116"/>
      <c r="E671" s="116"/>
      <c r="F671" s="116"/>
      <c r="G671" s="116"/>
      <c r="H671" s="116"/>
      <c r="I671" s="116"/>
      <c r="J671" s="116"/>
      <c r="K671" s="116"/>
      <c r="L671" s="116"/>
      <c r="M671" s="116"/>
      <c r="N671" s="116"/>
      <c r="O671" s="116"/>
      <c r="P671" s="116"/>
      <c r="Q671" s="116"/>
      <c r="R671" s="116"/>
      <c r="S671" s="116"/>
      <c r="T671" s="116"/>
      <c r="U671" s="103"/>
      <c r="V671" s="103"/>
      <c r="W671" s="103"/>
      <c r="X671" s="103"/>
      <c r="Y671" s="103"/>
      <c r="Z671" s="103"/>
      <c r="AA671" s="103"/>
    </row>
    <row r="672" spans="1:27">
      <c r="A672" s="155"/>
      <c r="B672" s="116"/>
      <c r="C672" s="116"/>
      <c r="D672" s="116"/>
      <c r="E672" s="116"/>
      <c r="F672" s="116"/>
      <c r="G672" s="116"/>
      <c r="H672" s="116"/>
      <c r="I672" s="116"/>
      <c r="J672" s="116"/>
      <c r="K672" s="116"/>
      <c r="L672" s="116"/>
      <c r="M672" s="116"/>
      <c r="N672" s="116"/>
      <c r="O672" s="116"/>
      <c r="P672" s="116"/>
      <c r="Q672" s="116"/>
      <c r="R672" s="116"/>
      <c r="S672" s="116"/>
      <c r="T672" s="116"/>
      <c r="U672" s="103"/>
      <c r="V672" s="103"/>
      <c r="W672" s="103"/>
      <c r="X672" s="103"/>
      <c r="Y672" s="103"/>
      <c r="Z672" s="103"/>
      <c r="AA672" s="103"/>
    </row>
    <row r="673" spans="1:27">
      <c r="A673" s="155"/>
      <c r="B673" s="116"/>
      <c r="C673" s="116"/>
      <c r="D673" s="116"/>
      <c r="E673" s="116"/>
      <c r="F673" s="116"/>
      <c r="G673" s="116"/>
      <c r="H673" s="116"/>
      <c r="I673" s="116"/>
      <c r="J673" s="116"/>
      <c r="K673" s="116"/>
      <c r="L673" s="116"/>
      <c r="M673" s="116"/>
      <c r="N673" s="116"/>
      <c r="O673" s="116"/>
      <c r="P673" s="116"/>
      <c r="Q673" s="116"/>
      <c r="R673" s="116"/>
      <c r="S673" s="116"/>
      <c r="T673" s="116"/>
      <c r="U673" s="103"/>
      <c r="V673" s="103"/>
      <c r="W673" s="103"/>
      <c r="X673" s="103"/>
      <c r="Y673" s="103"/>
      <c r="Z673" s="103"/>
      <c r="AA673" s="103"/>
    </row>
    <row r="674" spans="1:27">
      <c r="A674" s="155"/>
      <c r="B674" s="116"/>
      <c r="C674" s="116"/>
      <c r="D674" s="116"/>
      <c r="E674" s="116"/>
      <c r="F674" s="116"/>
      <c r="G674" s="116"/>
      <c r="H674" s="116"/>
      <c r="I674" s="116"/>
      <c r="J674" s="116"/>
      <c r="K674" s="116"/>
      <c r="L674" s="116"/>
      <c r="M674" s="116"/>
      <c r="N674" s="116"/>
      <c r="O674" s="116"/>
      <c r="P674" s="116"/>
      <c r="Q674" s="116"/>
      <c r="R674" s="116"/>
      <c r="S674" s="116"/>
      <c r="T674" s="116"/>
      <c r="U674" s="103"/>
      <c r="V674" s="103"/>
      <c r="W674" s="103"/>
      <c r="X674" s="103"/>
      <c r="Y674" s="103"/>
      <c r="Z674" s="103"/>
      <c r="AA674" s="103"/>
    </row>
    <row r="675" spans="1:27">
      <c r="A675" s="155"/>
      <c r="B675" s="116"/>
      <c r="C675" s="116"/>
      <c r="D675" s="116"/>
      <c r="E675" s="116"/>
      <c r="F675" s="116"/>
      <c r="G675" s="116"/>
      <c r="H675" s="116"/>
      <c r="I675" s="116"/>
      <c r="J675" s="116"/>
      <c r="K675" s="116"/>
      <c r="L675" s="116"/>
      <c r="M675" s="116"/>
      <c r="N675" s="116"/>
      <c r="O675" s="116"/>
      <c r="P675" s="116"/>
      <c r="Q675" s="116"/>
      <c r="R675" s="116"/>
      <c r="S675" s="116"/>
      <c r="T675" s="116"/>
      <c r="U675" s="103"/>
      <c r="V675" s="103"/>
      <c r="W675" s="103"/>
      <c r="X675" s="103"/>
      <c r="Y675" s="103"/>
      <c r="Z675" s="103"/>
      <c r="AA675" s="103"/>
    </row>
    <row r="676" spans="1:27">
      <c r="A676" s="155"/>
      <c r="B676" s="116"/>
      <c r="C676" s="116"/>
      <c r="D676" s="116"/>
      <c r="E676" s="116"/>
      <c r="F676" s="116"/>
      <c r="G676" s="116"/>
      <c r="H676" s="116"/>
      <c r="I676" s="116"/>
      <c r="J676" s="116"/>
      <c r="K676" s="116"/>
      <c r="L676" s="116"/>
      <c r="M676" s="116"/>
      <c r="N676" s="116"/>
      <c r="O676" s="116"/>
      <c r="P676" s="116"/>
      <c r="Q676" s="116"/>
      <c r="R676" s="116"/>
      <c r="S676" s="116"/>
      <c r="T676" s="116"/>
      <c r="U676" s="103"/>
      <c r="V676" s="103"/>
      <c r="W676" s="103"/>
      <c r="X676" s="103"/>
      <c r="Y676" s="103"/>
      <c r="Z676" s="103"/>
      <c r="AA676" s="103"/>
    </row>
    <row r="677" spans="1:27">
      <c r="A677" s="155"/>
      <c r="B677" s="116"/>
      <c r="C677" s="116"/>
      <c r="D677" s="116"/>
      <c r="E677" s="116"/>
      <c r="F677" s="116"/>
      <c r="G677" s="116"/>
      <c r="H677" s="116"/>
      <c r="I677" s="116"/>
      <c r="J677" s="116"/>
      <c r="K677" s="116"/>
      <c r="L677" s="116"/>
      <c r="M677" s="116"/>
      <c r="N677" s="116"/>
      <c r="O677" s="116"/>
      <c r="P677" s="116"/>
      <c r="Q677" s="116"/>
      <c r="R677" s="116"/>
      <c r="S677" s="116"/>
      <c r="T677" s="116"/>
      <c r="U677" s="103"/>
      <c r="V677" s="103"/>
      <c r="W677" s="103"/>
      <c r="X677" s="103"/>
      <c r="Y677" s="103"/>
      <c r="Z677" s="103"/>
      <c r="AA677" s="103"/>
    </row>
    <row r="678" spans="1:27">
      <c r="A678" s="155"/>
      <c r="B678" s="116"/>
      <c r="C678" s="116"/>
      <c r="D678" s="116"/>
      <c r="E678" s="116"/>
      <c r="F678" s="116"/>
      <c r="G678" s="116"/>
      <c r="H678" s="116"/>
      <c r="I678" s="116"/>
      <c r="J678" s="116"/>
      <c r="K678" s="116"/>
      <c r="L678" s="116"/>
      <c r="M678" s="116"/>
      <c r="N678" s="116"/>
      <c r="O678" s="116"/>
      <c r="P678" s="116"/>
      <c r="Q678" s="116"/>
      <c r="R678" s="116"/>
      <c r="S678" s="116"/>
      <c r="T678" s="116"/>
      <c r="U678" s="103"/>
      <c r="V678" s="103"/>
      <c r="W678" s="103"/>
      <c r="X678" s="103"/>
      <c r="Y678" s="103"/>
      <c r="Z678" s="103"/>
      <c r="AA678" s="103"/>
    </row>
    <row r="679" spans="1:27">
      <c r="A679" s="155"/>
      <c r="B679" s="116"/>
      <c r="C679" s="116"/>
      <c r="D679" s="116"/>
      <c r="E679" s="116"/>
      <c r="F679" s="116"/>
      <c r="G679" s="116"/>
      <c r="H679" s="116"/>
      <c r="I679" s="116"/>
      <c r="J679" s="116"/>
      <c r="K679" s="116"/>
      <c r="L679" s="116"/>
      <c r="M679" s="116"/>
      <c r="N679" s="116"/>
      <c r="O679" s="116"/>
      <c r="P679" s="116"/>
      <c r="Q679" s="116"/>
      <c r="R679" s="116"/>
      <c r="S679" s="116"/>
      <c r="T679" s="116"/>
      <c r="U679" s="103"/>
      <c r="V679" s="103"/>
      <c r="W679" s="103"/>
      <c r="X679" s="103"/>
      <c r="Y679" s="103"/>
      <c r="Z679" s="103"/>
      <c r="AA679" s="103"/>
    </row>
    <row r="680" spans="1:27">
      <c r="A680" s="155"/>
      <c r="B680" s="116"/>
      <c r="C680" s="116"/>
      <c r="D680" s="116"/>
      <c r="E680" s="116"/>
      <c r="F680" s="116"/>
      <c r="G680" s="116"/>
      <c r="H680" s="116"/>
      <c r="I680" s="116"/>
      <c r="J680" s="116"/>
      <c r="K680" s="116"/>
      <c r="L680" s="116"/>
      <c r="M680" s="116"/>
      <c r="N680" s="116"/>
      <c r="O680" s="116"/>
      <c r="P680" s="116"/>
      <c r="Q680" s="116"/>
      <c r="R680" s="116"/>
      <c r="S680" s="116"/>
      <c r="T680" s="116"/>
      <c r="U680" s="103"/>
      <c r="V680" s="103"/>
      <c r="W680" s="103"/>
      <c r="X680" s="103"/>
      <c r="Y680" s="103"/>
      <c r="Z680" s="103"/>
      <c r="AA680" s="103"/>
    </row>
    <row r="681" spans="1:27">
      <c r="A681" s="155"/>
      <c r="B681" s="116"/>
      <c r="C681" s="116"/>
      <c r="D681" s="116"/>
      <c r="E681" s="116"/>
      <c r="F681" s="116"/>
      <c r="G681" s="116"/>
      <c r="H681" s="116"/>
      <c r="I681" s="116"/>
      <c r="J681" s="116"/>
      <c r="K681" s="116"/>
      <c r="L681" s="116"/>
      <c r="M681" s="116"/>
      <c r="N681" s="116"/>
      <c r="O681" s="116"/>
      <c r="P681" s="116"/>
      <c r="Q681" s="116"/>
      <c r="R681" s="116"/>
      <c r="S681" s="116"/>
      <c r="T681" s="116"/>
      <c r="U681" s="103"/>
      <c r="V681" s="103"/>
      <c r="W681" s="103"/>
      <c r="X681" s="103"/>
      <c r="Y681" s="103"/>
      <c r="Z681" s="103"/>
      <c r="AA681" s="103"/>
    </row>
    <row r="682" spans="1:27">
      <c r="A682" s="155"/>
      <c r="B682" s="116"/>
      <c r="C682" s="116"/>
      <c r="D682" s="116"/>
      <c r="E682" s="116"/>
      <c r="F682" s="116"/>
      <c r="G682" s="116"/>
      <c r="H682" s="116"/>
      <c r="I682" s="116"/>
      <c r="J682" s="116"/>
      <c r="K682" s="116"/>
      <c r="L682" s="116"/>
      <c r="M682" s="116"/>
      <c r="N682" s="116"/>
      <c r="O682" s="116"/>
      <c r="P682" s="116"/>
      <c r="Q682" s="116"/>
      <c r="R682" s="116"/>
      <c r="S682" s="116"/>
      <c r="T682" s="116"/>
      <c r="U682" s="103"/>
      <c r="V682" s="103"/>
      <c r="W682" s="103"/>
      <c r="X682" s="103"/>
      <c r="Y682" s="103"/>
      <c r="Z682" s="103"/>
      <c r="AA682" s="103"/>
    </row>
    <row r="683" spans="1:27">
      <c r="A683" s="155"/>
      <c r="B683" s="116"/>
      <c r="C683" s="116"/>
      <c r="D683" s="116"/>
      <c r="E683" s="116"/>
      <c r="F683" s="116"/>
      <c r="G683" s="116"/>
      <c r="H683" s="116"/>
      <c r="I683" s="116"/>
      <c r="J683" s="116"/>
      <c r="K683" s="116"/>
      <c r="L683" s="116"/>
      <c r="M683" s="116"/>
      <c r="N683" s="116"/>
      <c r="O683" s="116"/>
      <c r="P683" s="116"/>
      <c r="Q683" s="116"/>
      <c r="R683" s="116"/>
      <c r="S683" s="116"/>
      <c r="T683" s="116"/>
      <c r="U683" s="103"/>
      <c r="V683" s="103"/>
      <c r="W683" s="103"/>
      <c r="X683" s="103"/>
      <c r="Y683" s="103"/>
      <c r="Z683" s="103"/>
      <c r="AA683" s="103"/>
    </row>
    <row r="684" spans="1:27">
      <c r="A684" s="155"/>
      <c r="B684" s="116"/>
      <c r="C684" s="116"/>
      <c r="D684" s="116"/>
      <c r="E684" s="116"/>
      <c r="F684" s="116"/>
      <c r="G684" s="116"/>
      <c r="H684" s="116"/>
      <c r="I684" s="116"/>
      <c r="J684" s="116"/>
      <c r="K684" s="116"/>
      <c r="L684" s="116"/>
      <c r="M684" s="116"/>
      <c r="N684" s="116"/>
      <c r="O684" s="116"/>
      <c r="P684" s="116"/>
      <c r="Q684" s="116"/>
      <c r="R684" s="116"/>
      <c r="S684" s="116"/>
      <c r="T684" s="116"/>
      <c r="U684" s="103"/>
      <c r="V684" s="103"/>
      <c r="W684" s="103"/>
      <c r="X684" s="103"/>
      <c r="Y684" s="103"/>
      <c r="Z684" s="103"/>
      <c r="AA684" s="103"/>
    </row>
    <row r="685" spans="1:27">
      <c r="A685" s="155"/>
      <c r="B685" s="116"/>
      <c r="C685" s="116"/>
      <c r="D685" s="116"/>
      <c r="E685" s="116"/>
      <c r="F685" s="116"/>
      <c r="G685" s="116"/>
      <c r="H685" s="116"/>
      <c r="I685" s="116"/>
      <c r="J685" s="116"/>
      <c r="K685" s="116"/>
      <c r="L685" s="116"/>
      <c r="M685" s="116"/>
      <c r="N685" s="116"/>
      <c r="O685" s="116"/>
      <c r="P685" s="116"/>
      <c r="Q685" s="116"/>
      <c r="R685" s="116"/>
      <c r="S685" s="116"/>
      <c r="T685" s="116"/>
      <c r="U685" s="103"/>
      <c r="V685" s="103"/>
      <c r="W685" s="103"/>
      <c r="X685" s="103"/>
      <c r="Y685" s="103"/>
      <c r="Z685" s="103"/>
      <c r="AA685" s="103"/>
    </row>
    <row r="686" spans="1:27">
      <c r="A686" s="155"/>
      <c r="B686" s="116"/>
      <c r="C686" s="116"/>
      <c r="D686" s="116"/>
      <c r="E686" s="116"/>
      <c r="F686" s="116"/>
      <c r="G686" s="116"/>
      <c r="H686" s="116"/>
      <c r="I686" s="116"/>
      <c r="J686" s="116"/>
      <c r="K686" s="116"/>
      <c r="L686" s="116"/>
      <c r="M686" s="116"/>
      <c r="N686" s="116"/>
      <c r="O686" s="116"/>
      <c r="P686" s="116"/>
      <c r="Q686" s="116"/>
      <c r="R686" s="116"/>
      <c r="S686" s="116"/>
      <c r="T686" s="116"/>
      <c r="U686" s="103"/>
      <c r="V686" s="103"/>
      <c r="W686" s="103"/>
      <c r="X686" s="103"/>
      <c r="Y686" s="103"/>
      <c r="Z686" s="103"/>
      <c r="AA686" s="103"/>
    </row>
    <row r="687" spans="1:27">
      <c r="A687" s="155"/>
      <c r="B687" s="116"/>
      <c r="C687" s="116"/>
      <c r="D687" s="116"/>
      <c r="E687" s="116"/>
      <c r="F687" s="116"/>
      <c r="G687" s="116"/>
      <c r="H687" s="116"/>
      <c r="I687" s="116"/>
      <c r="J687" s="116"/>
      <c r="K687" s="116"/>
      <c r="L687" s="116"/>
      <c r="M687" s="116"/>
      <c r="N687" s="116"/>
      <c r="O687" s="116"/>
      <c r="P687" s="116"/>
      <c r="Q687" s="116"/>
      <c r="R687" s="116"/>
      <c r="S687" s="116"/>
      <c r="T687" s="116"/>
      <c r="U687" s="103"/>
      <c r="V687" s="103"/>
      <c r="W687" s="103"/>
      <c r="X687" s="103"/>
      <c r="Y687" s="103"/>
      <c r="Z687" s="103"/>
      <c r="AA687" s="103"/>
    </row>
    <row r="688" spans="1:27">
      <c r="A688" s="155"/>
      <c r="B688" s="116"/>
      <c r="C688" s="116"/>
      <c r="D688" s="116"/>
      <c r="E688" s="116"/>
      <c r="F688" s="116"/>
      <c r="G688" s="116"/>
      <c r="H688" s="116"/>
      <c r="I688" s="116"/>
      <c r="J688" s="116"/>
      <c r="K688" s="116"/>
      <c r="L688" s="116"/>
      <c r="M688" s="116"/>
      <c r="N688" s="116"/>
      <c r="O688" s="116"/>
      <c r="P688" s="116"/>
      <c r="Q688" s="116"/>
      <c r="R688" s="116"/>
      <c r="S688" s="116"/>
      <c r="T688" s="116"/>
      <c r="U688" s="103"/>
      <c r="V688" s="103"/>
      <c r="W688" s="103"/>
      <c r="X688" s="103"/>
      <c r="Y688" s="103"/>
      <c r="Z688" s="103"/>
      <c r="AA688" s="103"/>
    </row>
    <row r="689" spans="1:27">
      <c r="A689" s="155"/>
      <c r="B689" s="116"/>
      <c r="C689" s="116"/>
      <c r="D689" s="116"/>
      <c r="E689" s="116"/>
      <c r="F689" s="116"/>
      <c r="G689" s="116"/>
      <c r="H689" s="116"/>
      <c r="I689" s="116"/>
      <c r="J689" s="116"/>
      <c r="K689" s="116"/>
      <c r="L689" s="116"/>
      <c r="M689" s="116"/>
      <c r="N689" s="116"/>
      <c r="O689" s="116"/>
      <c r="P689" s="116"/>
      <c r="Q689" s="116"/>
      <c r="R689" s="116"/>
      <c r="S689" s="116"/>
      <c r="T689" s="116"/>
      <c r="U689" s="103"/>
      <c r="V689" s="103"/>
      <c r="W689" s="103"/>
      <c r="X689" s="103"/>
      <c r="Y689" s="103"/>
      <c r="Z689" s="103"/>
      <c r="AA689" s="103"/>
    </row>
    <row r="690" spans="1:27">
      <c r="A690" s="155"/>
      <c r="B690" s="116"/>
      <c r="C690" s="116"/>
      <c r="D690" s="116"/>
      <c r="E690" s="116"/>
      <c r="F690" s="116"/>
      <c r="G690" s="116"/>
      <c r="H690" s="116"/>
      <c r="I690" s="116"/>
      <c r="J690" s="116"/>
      <c r="K690" s="116"/>
      <c r="L690" s="116"/>
      <c r="M690" s="116"/>
      <c r="N690" s="116"/>
      <c r="O690" s="116"/>
      <c r="P690" s="116"/>
      <c r="Q690" s="116"/>
      <c r="R690" s="116"/>
      <c r="S690" s="116"/>
      <c r="T690" s="116"/>
      <c r="U690" s="103"/>
      <c r="V690" s="103"/>
      <c r="W690" s="103"/>
      <c r="X690" s="103"/>
      <c r="Y690" s="103"/>
      <c r="Z690" s="103"/>
      <c r="AA690" s="103"/>
    </row>
    <row r="691" spans="1:27">
      <c r="A691" s="155"/>
      <c r="B691" s="116"/>
      <c r="C691" s="116"/>
      <c r="D691" s="116"/>
      <c r="E691" s="116"/>
      <c r="F691" s="116"/>
      <c r="G691" s="116"/>
      <c r="H691" s="116"/>
      <c r="I691" s="116"/>
      <c r="J691" s="116"/>
      <c r="K691" s="116"/>
      <c r="L691" s="116"/>
      <c r="M691" s="116"/>
      <c r="N691" s="116"/>
      <c r="O691" s="116"/>
      <c r="P691" s="116"/>
      <c r="Q691" s="116"/>
      <c r="R691" s="116"/>
      <c r="S691" s="116"/>
      <c r="T691" s="116"/>
      <c r="U691" s="103"/>
      <c r="V691" s="103"/>
      <c r="W691" s="103"/>
      <c r="X691" s="103"/>
      <c r="Y691" s="103"/>
      <c r="Z691" s="103"/>
      <c r="AA691" s="103"/>
    </row>
    <row r="692" spans="1:27">
      <c r="A692" s="155"/>
      <c r="B692" s="116"/>
      <c r="C692" s="116"/>
      <c r="D692" s="116"/>
      <c r="E692" s="116"/>
      <c r="F692" s="116"/>
      <c r="G692" s="116"/>
      <c r="H692" s="116"/>
      <c r="I692" s="116"/>
      <c r="J692" s="116"/>
      <c r="K692" s="116"/>
      <c r="L692" s="116"/>
      <c r="M692" s="116"/>
      <c r="N692" s="116"/>
      <c r="O692" s="116"/>
      <c r="P692" s="116"/>
      <c r="Q692" s="116"/>
      <c r="R692" s="116"/>
      <c r="S692" s="116"/>
      <c r="T692" s="116"/>
      <c r="U692" s="103"/>
      <c r="V692" s="103"/>
      <c r="W692" s="103"/>
      <c r="X692" s="103"/>
      <c r="Y692" s="103"/>
      <c r="Z692" s="103"/>
      <c r="AA692" s="103"/>
    </row>
    <row r="693" spans="1:27">
      <c r="A693" s="155"/>
      <c r="B693" s="116"/>
      <c r="C693" s="116"/>
      <c r="D693" s="116"/>
      <c r="E693" s="116"/>
      <c r="F693" s="116"/>
      <c r="G693" s="116"/>
      <c r="H693" s="116"/>
      <c r="I693" s="116"/>
      <c r="J693" s="116"/>
      <c r="K693" s="116"/>
      <c r="L693" s="116"/>
      <c r="M693" s="116"/>
      <c r="N693" s="116"/>
      <c r="O693" s="116"/>
      <c r="P693" s="116"/>
      <c r="Q693" s="116"/>
      <c r="R693" s="116"/>
      <c r="S693" s="116"/>
      <c r="T693" s="116"/>
      <c r="U693" s="103"/>
      <c r="V693" s="103"/>
      <c r="W693" s="103"/>
      <c r="X693" s="103"/>
      <c r="Y693" s="103"/>
      <c r="Z693" s="103"/>
      <c r="AA693" s="103"/>
    </row>
    <row r="694" spans="1:27">
      <c r="A694" s="155"/>
      <c r="B694" s="116"/>
      <c r="C694" s="116"/>
      <c r="D694" s="116"/>
      <c r="E694" s="116"/>
      <c r="F694" s="116"/>
      <c r="G694" s="116"/>
      <c r="H694" s="116"/>
      <c r="I694" s="116"/>
      <c r="J694" s="116"/>
      <c r="K694" s="116"/>
      <c r="L694" s="116"/>
      <c r="M694" s="116"/>
      <c r="N694" s="116"/>
      <c r="O694" s="116"/>
      <c r="P694" s="116"/>
      <c r="Q694" s="116"/>
      <c r="R694" s="116"/>
      <c r="S694" s="116"/>
      <c r="T694" s="116"/>
      <c r="U694" s="103"/>
      <c r="V694" s="103"/>
      <c r="W694" s="103"/>
      <c r="X694" s="103"/>
      <c r="Y694" s="103"/>
      <c r="Z694" s="103"/>
      <c r="AA694" s="103"/>
    </row>
    <row r="695" spans="1:27">
      <c r="A695" s="155"/>
      <c r="B695" s="116"/>
      <c r="C695" s="116"/>
      <c r="D695" s="116"/>
      <c r="E695" s="116"/>
      <c r="F695" s="116"/>
      <c r="G695" s="116"/>
      <c r="H695" s="116"/>
      <c r="I695" s="116"/>
      <c r="J695" s="116"/>
      <c r="K695" s="116"/>
      <c r="L695" s="116"/>
      <c r="M695" s="116"/>
      <c r="N695" s="116"/>
      <c r="O695" s="116"/>
      <c r="P695" s="116"/>
      <c r="Q695" s="116"/>
      <c r="R695" s="116"/>
      <c r="S695" s="116"/>
      <c r="T695" s="116"/>
      <c r="U695" s="103"/>
      <c r="V695" s="103"/>
      <c r="W695" s="103"/>
      <c r="X695" s="103"/>
      <c r="Y695" s="103"/>
      <c r="Z695" s="103"/>
      <c r="AA695" s="103"/>
    </row>
    <row r="696" spans="1:27">
      <c r="A696" s="155"/>
      <c r="B696" s="116"/>
      <c r="C696" s="116"/>
      <c r="D696" s="116"/>
      <c r="E696" s="116"/>
      <c r="F696" s="116"/>
      <c r="G696" s="116"/>
      <c r="H696" s="116"/>
      <c r="I696" s="116"/>
      <c r="J696" s="116"/>
      <c r="K696" s="116"/>
      <c r="L696" s="116"/>
      <c r="M696" s="116"/>
      <c r="N696" s="116"/>
      <c r="O696" s="116"/>
      <c r="P696" s="116"/>
      <c r="Q696" s="116"/>
      <c r="R696" s="116"/>
      <c r="S696" s="116"/>
      <c r="T696" s="116"/>
      <c r="U696" s="103"/>
      <c r="V696" s="103"/>
      <c r="W696" s="103"/>
      <c r="X696" s="103"/>
      <c r="Y696" s="103"/>
      <c r="Z696" s="103"/>
      <c r="AA696" s="103"/>
    </row>
    <row r="697" spans="1:27">
      <c r="A697" s="155"/>
      <c r="B697" s="116"/>
      <c r="C697" s="116"/>
      <c r="D697" s="116"/>
      <c r="E697" s="116"/>
      <c r="F697" s="116"/>
      <c r="G697" s="116"/>
      <c r="H697" s="116"/>
      <c r="I697" s="116"/>
      <c r="J697" s="116"/>
      <c r="K697" s="116"/>
      <c r="L697" s="116"/>
      <c r="M697" s="116"/>
      <c r="N697" s="116"/>
      <c r="O697" s="116"/>
      <c r="P697" s="116"/>
      <c r="Q697" s="116"/>
      <c r="R697" s="116"/>
      <c r="S697" s="116"/>
      <c r="T697" s="116"/>
      <c r="U697" s="103"/>
      <c r="V697" s="103"/>
      <c r="W697" s="103"/>
      <c r="X697" s="103"/>
      <c r="Y697" s="103"/>
      <c r="Z697" s="103"/>
      <c r="AA697" s="103"/>
    </row>
    <row r="698" spans="1:27">
      <c r="A698" s="155"/>
      <c r="B698" s="116"/>
      <c r="C698" s="116"/>
      <c r="D698" s="116"/>
      <c r="E698" s="116"/>
      <c r="F698" s="116"/>
      <c r="G698" s="116"/>
      <c r="H698" s="116"/>
      <c r="I698" s="116"/>
      <c r="J698" s="116"/>
      <c r="K698" s="116"/>
      <c r="L698" s="116"/>
      <c r="M698" s="116"/>
      <c r="N698" s="116"/>
      <c r="O698" s="116"/>
      <c r="P698" s="116"/>
      <c r="Q698" s="116"/>
      <c r="R698" s="116"/>
      <c r="S698" s="116"/>
      <c r="T698" s="116"/>
      <c r="U698" s="103"/>
      <c r="V698" s="103"/>
      <c r="W698" s="103"/>
      <c r="X698" s="103"/>
      <c r="Y698" s="103"/>
      <c r="Z698" s="103"/>
      <c r="AA698" s="103"/>
    </row>
    <row r="699" spans="1:27">
      <c r="A699" s="155"/>
      <c r="B699" s="116"/>
      <c r="C699" s="116"/>
      <c r="D699" s="116"/>
      <c r="E699" s="116"/>
      <c r="F699" s="116"/>
      <c r="G699" s="116"/>
      <c r="H699" s="116"/>
      <c r="I699" s="116"/>
      <c r="J699" s="116"/>
      <c r="K699" s="116"/>
      <c r="L699" s="116"/>
      <c r="M699" s="116"/>
      <c r="N699" s="116"/>
      <c r="O699" s="116"/>
      <c r="P699" s="116"/>
      <c r="Q699" s="116"/>
      <c r="R699" s="116"/>
      <c r="S699" s="116"/>
      <c r="T699" s="116"/>
      <c r="U699" s="103"/>
      <c r="V699" s="103"/>
      <c r="W699" s="103"/>
      <c r="X699" s="103"/>
      <c r="Y699" s="103"/>
      <c r="Z699" s="103"/>
      <c r="AA699" s="103"/>
    </row>
    <row r="700" spans="1:27">
      <c r="A700" s="155"/>
      <c r="B700" s="116"/>
      <c r="C700" s="116"/>
      <c r="D700" s="116"/>
      <c r="E700" s="116"/>
      <c r="F700" s="116"/>
      <c r="G700" s="116"/>
      <c r="H700" s="116"/>
      <c r="I700" s="116"/>
      <c r="J700" s="116"/>
      <c r="K700" s="116"/>
      <c r="L700" s="116"/>
      <c r="M700" s="116"/>
      <c r="N700" s="116"/>
      <c r="O700" s="116"/>
      <c r="P700" s="116"/>
      <c r="Q700" s="116"/>
      <c r="R700" s="116"/>
      <c r="S700" s="116"/>
      <c r="T700" s="116"/>
      <c r="U700" s="103"/>
      <c r="V700" s="103"/>
      <c r="W700" s="103"/>
      <c r="X700" s="103"/>
      <c r="Y700" s="103"/>
      <c r="Z700" s="103"/>
      <c r="AA700" s="103"/>
    </row>
    <row r="701" spans="1:27">
      <c r="A701" s="155"/>
      <c r="B701" s="116"/>
      <c r="C701" s="116"/>
      <c r="D701" s="116"/>
      <c r="E701" s="116"/>
      <c r="F701" s="116"/>
      <c r="G701" s="116"/>
      <c r="H701" s="116"/>
      <c r="I701" s="116"/>
      <c r="J701" s="116"/>
      <c r="K701" s="116"/>
      <c r="L701" s="116"/>
      <c r="M701" s="116"/>
      <c r="N701" s="116"/>
      <c r="O701" s="116"/>
      <c r="P701" s="116"/>
      <c r="Q701" s="116"/>
      <c r="R701" s="116"/>
      <c r="S701" s="116"/>
      <c r="T701" s="116"/>
      <c r="U701" s="103"/>
      <c r="V701" s="103"/>
      <c r="W701" s="103"/>
      <c r="X701" s="103"/>
      <c r="Y701" s="103"/>
      <c r="Z701" s="103"/>
      <c r="AA701" s="103"/>
    </row>
    <row r="702" spans="1:27">
      <c r="A702" s="155"/>
      <c r="B702" s="116"/>
      <c r="C702" s="116"/>
      <c r="D702" s="116"/>
      <c r="E702" s="116"/>
      <c r="F702" s="116"/>
      <c r="G702" s="116"/>
      <c r="H702" s="116"/>
      <c r="I702" s="116"/>
      <c r="J702" s="116"/>
      <c r="K702" s="116"/>
      <c r="L702" s="116"/>
      <c r="M702" s="116"/>
      <c r="N702" s="116"/>
      <c r="O702" s="116"/>
      <c r="P702" s="116"/>
      <c r="Q702" s="116"/>
      <c r="R702" s="116"/>
      <c r="S702" s="116"/>
      <c r="T702" s="116"/>
      <c r="U702" s="103"/>
      <c r="V702" s="103"/>
      <c r="W702" s="103"/>
      <c r="X702" s="103"/>
      <c r="Y702" s="103"/>
      <c r="Z702" s="103"/>
      <c r="AA702" s="103"/>
    </row>
    <row r="703" spans="1:27">
      <c r="A703" s="155"/>
      <c r="B703" s="116"/>
      <c r="C703" s="116"/>
      <c r="D703" s="116"/>
      <c r="E703" s="116"/>
      <c r="F703" s="116"/>
      <c r="G703" s="116"/>
      <c r="H703" s="116"/>
      <c r="I703" s="116"/>
      <c r="J703" s="116"/>
      <c r="K703" s="116"/>
      <c r="L703" s="116"/>
      <c r="M703" s="116"/>
      <c r="N703" s="116"/>
      <c r="O703" s="116"/>
      <c r="P703" s="116"/>
      <c r="Q703" s="116"/>
      <c r="R703" s="116"/>
      <c r="S703" s="116"/>
      <c r="T703" s="116"/>
      <c r="U703" s="103"/>
      <c r="V703" s="103"/>
      <c r="W703" s="103"/>
      <c r="X703" s="103"/>
      <c r="Y703" s="103"/>
      <c r="Z703" s="103"/>
      <c r="AA703" s="103"/>
    </row>
    <row r="704" spans="1:27">
      <c r="A704" s="155"/>
      <c r="B704" s="116"/>
      <c r="C704" s="116"/>
      <c r="D704" s="116"/>
      <c r="E704" s="116"/>
      <c r="F704" s="116"/>
      <c r="G704" s="116"/>
      <c r="H704" s="116"/>
      <c r="I704" s="116"/>
      <c r="J704" s="116"/>
      <c r="K704" s="116"/>
      <c r="L704" s="116"/>
      <c r="M704" s="116"/>
      <c r="N704" s="116"/>
      <c r="O704" s="116"/>
      <c r="P704" s="116"/>
      <c r="Q704" s="116"/>
      <c r="R704" s="116"/>
      <c r="S704" s="116"/>
      <c r="T704" s="116"/>
      <c r="U704" s="103"/>
      <c r="V704" s="103"/>
      <c r="W704" s="103"/>
      <c r="X704" s="103"/>
      <c r="Y704" s="103"/>
      <c r="Z704" s="103"/>
      <c r="AA704" s="103"/>
    </row>
    <row r="705" spans="1:27">
      <c r="A705" s="155"/>
      <c r="B705" s="116"/>
      <c r="C705" s="116"/>
      <c r="D705" s="116"/>
      <c r="E705" s="116"/>
      <c r="F705" s="116"/>
      <c r="G705" s="116"/>
      <c r="H705" s="116"/>
      <c r="I705" s="116"/>
      <c r="J705" s="116"/>
      <c r="K705" s="116"/>
      <c r="L705" s="116"/>
      <c r="M705" s="116"/>
      <c r="N705" s="116"/>
      <c r="O705" s="116"/>
      <c r="P705" s="116"/>
      <c r="Q705" s="116"/>
      <c r="R705" s="116"/>
      <c r="S705" s="116"/>
      <c r="T705" s="116"/>
      <c r="U705" s="103"/>
      <c r="V705" s="103"/>
      <c r="W705" s="103"/>
      <c r="X705" s="103"/>
      <c r="Y705" s="103"/>
      <c r="Z705" s="103"/>
      <c r="AA705" s="103"/>
    </row>
    <row r="706" spans="1:27">
      <c r="A706" s="155"/>
      <c r="B706" s="116"/>
      <c r="C706" s="116"/>
      <c r="D706" s="116"/>
      <c r="E706" s="116"/>
      <c r="F706" s="116"/>
      <c r="G706" s="116"/>
      <c r="H706" s="116"/>
      <c r="I706" s="116"/>
      <c r="J706" s="116"/>
      <c r="K706" s="116"/>
      <c r="L706" s="116"/>
      <c r="M706" s="116"/>
      <c r="N706" s="116"/>
      <c r="O706" s="116"/>
      <c r="P706" s="116"/>
      <c r="Q706" s="116"/>
      <c r="R706" s="116"/>
      <c r="S706" s="116"/>
      <c r="T706" s="116"/>
      <c r="U706" s="103"/>
      <c r="V706" s="103"/>
      <c r="W706" s="103"/>
      <c r="X706" s="103"/>
      <c r="Y706" s="103"/>
      <c r="Z706" s="103"/>
      <c r="AA706" s="103"/>
    </row>
    <row r="707" spans="1:27">
      <c r="A707" s="155"/>
      <c r="B707" s="116"/>
      <c r="C707" s="116"/>
      <c r="D707" s="116"/>
      <c r="E707" s="116"/>
      <c r="F707" s="116"/>
      <c r="G707" s="116"/>
      <c r="H707" s="116"/>
      <c r="I707" s="116"/>
      <c r="J707" s="116"/>
      <c r="K707" s="116"/>
      <c r="L707" s="116"/>
      <c r="M707" s="116"/>
      <c r="N707" s="116"/>
      <c r="O707" s="116"/>
      <c r="P707" s="116"/>
      <c r="Q707" s="116"/>
      <c r="R707" s="116"/>
      <c r="S707" s="116"/>
      <c r="T707" s="116"/>
      <c r="U707" s="103"/>
      <c r="V707" s="103"/>
      <c r="W707" s="103"/>
      <c r="X707" s="103"/>
      <c r="Y707" s="103"/>
      <c r="Z707" s="103"/>
      <c r="AA707" s="103"/>
    </row>
    <row r="708" spans="1:27">
      <c r="A708" s="155"/>
      <c r="B708" s="116"/>
      <c r="C708" s="116"/>
      <c r="D708" s="116"/>
      <c r="E708" s="116"/>
      <c r="F708" s="116"/>
      <c r="G708" s="116"/>
      <c r="H708" s="116"/>
      <c r="I708" s="116"/>
      <c r="J708" s="116"/>
      <c r="K708" s="116"/>
      <c r="L708" s="116"/>
      <c r="M708" s="116"/>
      <c r="N708" s="116"/>
      <c r="O708" s="116"/>
      <c r="P708" s="116"/>
      <c r="Q708" s="116"/>
      <c r="R708" s="116"/>
      <c r="S708" s="116"/>
      <c r="T708" s="116"/>
      <c r="U708" s="103"/>
      <c r="V708" s="103"/>
      <c r="W708" s="103"/>
      <c r="X708" s="103"/>
      <c r="Y708" s="103"/>
      <c r="Z708" s="103"/>
      <c r="AA708" s="103"/>
    </row>
    <row r="709" spans="1:27">
      <c r="A709" s="155"/>
      <c r="B709" s="116"/>
      <c r="C709" s="116"/>
      <c r="D709" s="116"/>
      <c r="E709" s="116"/>
      <c r="F709" s="116"/>
      <c r="G709" s="116"/>
      <c r="H709" s="116"/>
      <c r="I709" s="116"/>
      <c r="J709" s="116"/>
      <c r="K709" s="116"/>
      <c r="L709" s="116"/>
      <c r="M709" s="116"/>
      <c r="N709" s="116"/>
      <c r="O709" s="116"/>
      <c r="P709" s="116"/>
      <c r="Q709" s="116"/>
      <c r="R709" s="116"/>
      <c r="S709" s="116"/>
      <c r="T709" s="116"/>
      <c r="U709" s="103"/>
      <c r="V709" s="103"/>
      <c r="W709" s="103"/>
      <c r="X709" s="103"/>
      <c r="Y709" s="103"/>
      <c r="Z709" s="103"/>
      <c r="AA709" s="103"/>
    </row>
    <row r="710" spans="1:27">
      <c r="A710" s="155"/>
      <c r="B710" s="116"/>
      <c r="C710" s="116"/>
      <c r="D710" s="116"/>
      <c r="E710" s="116"/>
      <c r="F710" s="116"/>
      <c r="G710" s="116"/>
      <c r="H710" s="116"/>
      <c r="I710" s="116"/>
      <c r="J710" s="116"/>
      <c r="K710" s="116"/>
      <c r="L710" s="116"/>
      <c r="M710" s="116"/>
      <c r="N710" s="116"/>
      <c r="O710" s="116"/>
      <c r="P710" s="116"/>
      <c r="Q710" s="116"/>
      <c r="R710" s="116"/>
      <c r="S710" s="116"/>
      <c r="T710" s="116"/>
      <c r="U710" s="103"/>
      <c r="V710" s="103"/>
      <c r="W710" s="103"/>
      <c r="X710" s="103"/>
      <c r="Y710" s="103"/>
      <c r="Z710" s="103"/>
      <c r="AA710" s="103"/>
    </row>
    <row r="711" spans="1:27">
      <c r="A711" s="155"/>
      <c r="B711" s="116"/>
      <c r="C711" s="116"/>
      <c r="D711" s="116"/>
      <c r="E711" s="116"/>
      <c r="F711" s="116"/>
      <c r="G711" s="116"/>
      <c r="H711" s="116"/>
      <c r="I711" s="116"/>
      <c r="J711" s="116"/>
      <c r="K711" s="116"/>
      <c r="L711" s="116"/>
      <c r="M711" s="116"/>
      <c r="N711" s="116"/>
      <c r="O711" s="116"/>
      <c r="P711" s="116"/>
      <c r="Q711" s="116"/>
      <c r="R711" s="116"/>
      <c r="S711" s="116"/>
      <c r="T711" s="116"/>
      <c r="U711" s="103"/>
      <c r="V711" s="103"/>
      <c r="W711" s="103"/>
      <c r="X711" s="103"/>
      <c r="Y711" s="103"/>
      <c r="Z711" s="103"/>
      <c r="AA711" s="103"/>
    </row>
    <row r="712" spans="1:27">
      <c r="A712" s="155"/>
      <c r="B712" s="116"/>
      <c r="C712" s="116"/>
      <c r="D712" s="116"/>
      <c r="E712" s="116"/>
      <c r="F712" s="116"/>
      <c r="G712" s="116"/>
      <c r="H712" s="116"/>
      <c r="I712" s="116"/>
      <c r="J712" s="116"/>
      <c r="K712" s="116"/>
      <c r="L712" s="116"/>
      <c r="M712" s="116"/>
      <c r="N712" s="116"/>
      <c r="O712" s="116"/>
      <c r="P712" s="116"/>
      <c r="Q712" s="116"/>
      <c r="R712" s="116"/>
      <c r="S712" s="116"/>
      <c r="T712" s="116"/>
      <c r="U712" s="103"/>
      <c r="V712" s="103"/>
      <c r="W712" s="103"/>
      <c r="X712" s="103"/>
      <c r="Y712" s="103"/>
      <c r="Z712" s="103"/>
      <c r="AA712" s="103"/>
    </row>
    <row r="713" spans="1:27">
      <c r="A713" s="155"/>
      <c r="B713" s="116"/>
      <c r="C713" s="116"/>
      <c r="D713" s="116"/>
      <c r="E713" s="116"/>
      <c r="F713" s="116"/>
      <c r="G713" s="116"/>
      <c r="H713" s="116"/>
      <c r="I713" s="116"/>
      <c r="J713" s="116"/>
      <c r="K713" s="116"/>
      <c r="L713" s="116"/>
      <c r="M713" s="116"/>
      <c r="N713" s="116"/>
      <c r="O713" s="116"/>
      <c r="P713" s="116"/>
      <c r="Q713" s="116"/>
      <c r="R713" s="116"/>
      <c r="S713" s="116"/>
      <c r="T713" s="116"/>
      <c r="U713" s="103"/>
      <c r="V713" s="103"/>
      <c r="W713" s="103"/>
      <c r="X713" s="103"/>
      <c r="Y713" s="103"/>
      <c r="Z713" s="103"/>
      <c r="AA713" s="103"/>
    </row>
    <row r="714" spans="1:27">
      <c r="A714" s="155"/>
      <c r="B714" s="116"/>
      <c r="C714" s="116"/>
      <c r="D714" s="116"/>
      <c r="E714" s="116"/>
      <c r="F714" s="116"/>
      <c r="G714" s="116"/>
      <c r="H714" s="116"/>
      <c r="I714" s="116"/>
      <c r="J714" s="116"/>
      <c r="K714" s="116"/>
      <c r="L714" s="116"/>
      <c r="M714" s="116"/>
      <c r="N714" s="116"/>
      <c r="O714" s="116"/>
      <c r="P714" s="116"/>
      <c r="Q714" s="116"/>
      <c r="R714" s="116"/>
      <c r="S714" s="116"/>
      <c r="T714" s="116"/>
      <c r="U714" s="103"/>
      <c r="V714" s="103"/>
      <c r="W714" s="103"/>
      <c r="X714" s="103"/>
      <c r="Y714" s="103"/>
      <c r="Z714" s="103"/>
      <c r="AA714" s="103"/>
    </row>
    <row r="715" spans="1:27">
      <c r="A715" s="155"/>
      <c r="B715" s="116"/>
      <c r="C715" s="116"/>
      <c r="D715" s="116"/>
      <c r="E715" s="116"/>
      <c r="F715" s="116"/>
      <c r="G715" s="116"/>
      <c r="H715" s="116"/>
      <c r="I715" s="116"/>
      <c r="J715" s="116"/>
      <c r="K715" s="116"/>
      <c r="L715" s="116"/>
      <c r="M715" s="116"/>
      <c r="N715" s="116"/>
      <c r="O715" s="116"/>
      <c r="P715" s="116"/>
      <c r="Q715" s="116"/>
      <c r="R715" s="116"/>
      <c r="S715" s="116"/>
      <c r="T715" s="116"/>
      <c r="U715" s="103"/>
      <c r="V715" s="103"/>
      <c r="W715" s="103"/>
      <c r="X715" s="103"/>
      <c r="Y715" s="103"/>
      <c r="Z715" s="103"/>
      <c r="AA715" s="103"/>
    </row>
    <row r="716" spans="1:27">
      <c r="A716" s="155"/>
      <c r="B716" s="116"/>
      <c r="C716" s="116"/>
      <c r="D716" s="116"/>
      <c r="E716" s="116"/>
      <c r="F716" s="116"/>
      <c r="G716" s="116"/>
      <c r="H716" s="116"/>
      <c r="I716" s="116"/>
      <c r="J716" s="116"/>
      <c r="K716" s="116"/>
      <c r="L716" s="116"/>
      <c r="M716" s="116"/>
      <c r="N716" s="116"/>
      <c r="O716" s="116"/>
      <c r="P716" s="116"/>
      <c r="Q716" s="116"/>
      <c r="R716" s="116"/>
      <c r="S716" s="116"/>
      <c r="T716" s="116"/>
      <c r="U716" s="103"/>
      <c r="V716" s="103"/>
      <c r="W716" s="103"/>
      <c r="X716" s="103"/>
      <c r="Y716" s="103"/>
      <c r="Z716" s="103"/>
      <c r="AA716" s="103"/>
    </row>
    <row r="717" spans="1:27">
      <c r="A717" s="155"/>
      <c r="B717" s="116"/>
      <c r="C717" s="116"/>
      <c r="D717" s="116"/>
      <c r="E717" s="116"/>
      <c r="F717" s="116"/>
      <c r="G717" s="116"/>
      <c r="H717" s="116"/>
      <c r="I717" s="116"/>
      <c r="J717" s="116"/>
      <c r="K717" s="116"/>
      <c r="L717" s="116"/>
      <c r="M717" s="116"/>
      <c r="N717" s="116"/>
      <c r="O717" s="116"/>
      <c r="P717" s="116"/>
      <c r="Q717" s="116"/>
      <c r="R717" s="116"/>
      <c r="S717" s="116"/>
      <c r="T717" s="116"/>
      <c r="U717" s="103"/>
      <c r="V717" s="103"/>
      <c r="W717" s="103"/>
      <c r="X717" s="103"/>
      <c r="Y717" s="103"/>
      <c r="Z717" s="103"/>
      <c r="AA717" s="103"/>
    </row>
    <row r="718" spans="1:27">
      <c r="A718" s="155"/>
      <c r="B718" s="116"/>
      <c r="C718" s="116"/>
      <c r="D718" s="116"/>
      <c r="E718" s="116"/>
      <c r="F718" s="116"/>
      <c r="G718" s="116"/>
      <c r="H718" s="116"/>
      <c r="I718" s="116"/>
      <c r="J718" s="116"/>
      <c r="K718" s="116"/>
      <c r="L718" s="116"/>
      <c r="M718" s="116"/>
      <c r="N718" s="116"/>
      <c r="O718" s="116"/>
      <c r="P718" s="116"/>
      <c r="Q718" s="116"/>
      <c r="R718" s="116"/>
      <c r="S718" s="116"/>
      <c r="T718" s="116"/>
      <c r="U718" s="103"/>
      <c r="V718" s="103"/>
      <c r="W718" s="103"/>
      <c r="X718" s="103"/>
      <c r="Y718" s="103"/>
      <c r="Z718" s="103"/>
      <c r="AA718" s="103"/>
    </row>
    <row r="719" spans="1:27">
      <c r="A719" s="155"/>
      <c r="B719" s="116"/>
      <c r="C719" s="116"/>
      <c r="D719" s="116"/>
      <c r="E719" s="116"/>
      <c r="F719" s="116"/>
      <c r="G719" s="116"/>
      <c r="H719" s="116"/>
      <c r="I719" s="116"/>
      <c r="J719" s="116"/>
      <c r="K719" s="116"/>
      <c r="L719" s="116"/>
      <c r="M719" s="116"/>
      <c r="N719" s="116"/>
      <c r="O719" s="116"/>
      <c r="P719" s="116"/>
      <c r="Q719" s="116"/>
      <c r="R719" s="116"/>
      <c r="S719" s="116"/>
      <c r="T719" s="116"/>
      <c r="U719" s="103"/>
      <c r="V719" s="103"/>
      <c r="W719" s="103"/>
      <c r="X719" s="103"/>
      <c r="Y719" s="103"/>
      <c r="Z719" s="103"/>
      <c r="AA719" s="103"/>
    </row>
    <row r="720" spans="1:27">
      <c r="A720" s="155"/>
      <c r="B720" s="116"/>
      <c r="C720" s="116"/>
      <c r="D720" s="116"/>
      <c r="E720" s="116"/>
      <c r="F720" s="116"/>
      <c r="G720" s="116"/>
      <c r="H720" s="116"/>
      <c r="I720" s="116"/>
      <c r="J720" s="116"/>
      <c r="K720" s="116"/>
      <c r="L720" s="116"/>
      <c r="M720" s="116"/>
      <c r="N720" s="116"/>
      <c r="O720" s="116"/>
      <c r="P720" s="116"/>
      <c r="Q720" s="116"/>
      <c r="R720" s="116"/>
      <c r="S720" s="116"/>
      <c r="T720" s="116"/>
      <c r="U720" s="103"/>
      <c r="V720" s="103"/>
      <c r="W720" s="103"/>
      <c r="X720" s="103"/>
      <c r="Y720" s="103"/>
      <c r="Z720" s="103"/>
      <c r="AA720" s="103"/>
    </row>
    <row r="721" spans="1:27">
      <c r="A721" s="155"/>
      <c r="B721" s="116"/>
      <c r="C721" s="116"/>
      <c r="D721" s="116"/>
      <c r="E721" s="116"/>
      <c r="F721" s="116"/>
      <c r="G721" s="116"/>
      <c r="H721" s="116"/>
      <c r="I721" s="116"/>
      <c r="J721" s="116"/>
      <c r="K721" s="116"/>
      <c r="L721" s="116"/>
      <c r="M721" s="116"/>
      <c r="N721" s="116"/>
      <c r="O721" s="116"/>
      <c r="P721" s="116"/>
      <c r="Q721" s="116"/>
      <c r="R721" s="116"/>
      <c r="S721" s="116"/>
      <c r="T721" s="116"/>
      <c r="U721" s="103"/>
      <c r="V721" s="103"/>
      <c r="W721" s="103"/>
      <c r="X721" s="103"/>
      <c r="Y721" s="103"/>
      <c r="Z721" s="103"/>
      <c r="AA721" s="103"/>
    </row>
    <row r="722" spans="1:27">
      <c r="A722" s="155"/>
      <c r="B722" s="116"/>
      <c r="C722" s="116"/>
      <c r="D722" s="116"/>
      <c r="E722" s="116"/>
      <c r="F722" s="116"/>
      <c r="G722" s="116"/>
      <c r="H722" s="116"/>
      <c r="I722" s="116"/>
      <c r="J722" s="116"/>
      <c r="K722" s="116"/>
      <c r="L722" s="116"/>
      <c r="M722" s="116"/>
      <c r="N722" s="116"/>
      <c r="O722" s="116"/>
      <c r="P722" s="116"/>
      <c r="Q722" s="116"/>
      <c r="R722" s="116"/>
      <c r="S722" s="116"/>
      <c r="T722" s="116"/>
      <c r="U722" s="103"/>
      <c r="V722" s="103"/>
      <c r="W722" s="103"/>
      <c r="X722" s="103"/>
      <c r="Y722" s="103"/>
      <c r="Z722" s="103"/>
      <c r="AA722" s="103"/>
    </row>
    <row r="723" spans="1:27">
      <c r="A723" s="155"/>
      <c r="B723" s="116"/>
      <c r="C723" s="116"/>
      <c r="D723" s="116"/>
      <c r="E723" s="116"/>
      <c r="F723" s="116"/>
      <c r="G723" s="116"/>
      <c r="H723" s="116"/>
      <c r="I723" s="116"/>
      <c r="J723" s="116"/>
      <c r="K723" s="116"/>
      <c r="L723" s="116"/>
      <c r="M723" s="116"/>
      <c r="N723" s="116"/>
      <c r="O723" s="116"/>
      <c r="P723" s="116"/>
      <c r="Q723" s="116"/>
      <c r="R723" s="116"/>
      <c r="S723" s="116"/>
      <c r="T723" s="116"/>
      <c r="U723" s="103"/>
      <c r="V723" s="103"/>
      <c r="W723" s="103"/>
      <c r="X723" s="103"/>
      <c r="Y723" s="103"/>
      <c r="Z723" s="103"/>
      <c r="AA723" s="103"/>
    </row>
    <row r="724" spans="1:27">
      <c r="A724" s="155"/>
      <c r="B724" s="116"/>
      <c r="C724" s="116"/>
      <c r="D724" s="116"/>
      <c r="E724" s="116"/>
      <c r="F724" s="116"/>
      <c r="G724" s="116"/>
      <c r="H724" s="116"/>
      <c r="I724" s="116"/>
      <c r="J724" s="116"/>
      <c r="K724" s="116"/>
      <c r="L724" s="116"/>
      <c r="M724" s="116"/>
      <c r="N724" s="116"/>
      <c r="O724" s="116"/>
      <c r="P724" s="116"/>
      <c r="Q724" s="116"/>
      <c r="R724" s="116"/>
      <c r="S724" s="116"/>
      <c r="T724" s="116"/>
      <c r="U724" s="103"/>
      <c r="V724" s="103"/>
      <c r="W724" s="103"/>
      <c r="X724" s="103"/>
      <c r="Y724" s="103"/>
      <c r="Z724" s="103"/>
      <c r="AA724" s="103"/>
    </row>
    <row r="725" spans="1:27">
      <c r="A725" s="155"/>
      <c r="B725" s="116"/>
      <c r="C725" s="116"/>
      <c r="D725" s="116"/>
      <c r="E725" s="116"/>
      <c r="F725" s="116"/>
      <c r="G725" s="116"/>
      <c r="H725" s="116"/>
      <c r="I725" s="116"/>
      <c r="J725" s="116"/>
      <c r="K725" s="116"/>
      <c r="L725" s="116"/>
      <c r="M725" s="116"/>
      <c r="N725" s="116"/>
      <c r="O725" s="116"/>
      <c r="P725" s="116"/>
      <c r="Q725" s="116"/>
      <c r="R725" s="116"/>
      <c r="S725" s="116"/>
      <c r="T725" s="116"/>
      <c r="U725" s="103"/>
      <c r="V725" s="103"/>
      <c r="W725" s="103"/>
      <c r="X725" s="103"/>
      <c r="Y725" s="103"/>
      <c r="Z725" s="103"/>
      <c r="AA725" s="103"/>
    </row>
    <row r="726" spans="1:27">
      <c r="A726" s="155"/>
      <c r="B726" s="116"/>
      <c r="C726" s="116"/>
      <c r="D726" s="116"/>
      <c r="E726" s="116"/>
      <c r="F726" s="116"/>
      <c r="G726" s="116"/>
      <c r="H726" s="116"/>
      <c r="I726" s="116"/>
      <c r="J726" s="116"/>
      <c r="K726" s="116"/>
      <c r="L726" s="116"/>
      <c r="M726" s="116"/>
      <c r="N726" s="116"/>
      <c r="O726" s="116"/>
      <c r="P726" s="116"/>
      <c r="Q726" s="116"/>
      <c r="R726" s="116"/>
      <c r="S726" s="116"/>
      <c r="T726" s="116"/>
      <c r="U726" s="103"/>
      <c r="V726" s="103"/>
      <c r="W726" s="103"/>
      <c r="X726" s="103"/>
      <c r="Y726" s="103"/>
      <c r="Z726" s="103"/>
      <c r="AA726" s="103"/>
    </row>
    <row r="727" spans="1:27">
      <c r="A727" s="155"/>
      <c r="B727" s="116"/>
      <c r="C727" s="116"/>
      <c r="D727" s="116"/>
      <c r="E727" s="116"/>
      <c r="F727" s="116"/>
      <c r="G727" s="116"/>
      <c r="H727" s="116"/>
      <c r="I727" s="116"/>
      <c r="J727" s="116"/>
      <c r="K727" s="116"/>
      <c r="L727" s="116"/>
      <c r="M727" s="116"/>
      <c r="N727" s="116"/>
      <c r="O727" s="116"/>
      <c r="P727" s="116"/>
      <c r="Q727" s="116"/>
      <c r="R727" s="116"/>
      <c r="S727" s="116"/>
      <c r="T727" s="116"/>
      <c r="U727" s="103"/>
      <c r="V727" s="103"/>
      <c r="W727" s="103"/>
      <c r="X727" s="103"/>
      <c r="Y727" s="103"/>
      <c r="Z727" s="103"/>
      <c r="AA727" s="103"/>
    </row>
    <row r="728" spans="1:27">
      <c r="A728" s="155"/>
      <c r="B728" s="116"/>
      <c r="C728" s="116"/>
      <c r="D728" s="116"/>
      <c r="E728" s="116"/>
      <c r="F728" s="116"/>
      <c r="G728" s="116"/>
      <c r="H728" s="116"/>
      <c r="I728" s="116"/>
      <c r="J728" s="116"/>
      <c r="K728" s="116"/>
      <c r="L728" s="116"/>
      <c r="M728" s="116"/>
      <c r="N728" s="116"/>
      <c r="O728" s="116"/>
      <c r="P728" s="116"/>
      <c r="Q728" s="116"/>
      <c r="R728" s="116"/>
      <c r="S728" s="116"/>
      <c r="T728" s="116"/>
      <c r="U728" s="103"/>
      <c r="V728" s="103"/>
      <c r="W728" s="103"/>
      <c r="X728" s="103"/>
      <c r="Y728" s="103"/>
      <c r="Z728" s="103"/>
      <c r="AA728" s="103"/>
    </row>
    <row r="729" spans="1:27">
      <c r="A729" s="155"/>
      <c r="B729" s="116"/>
      <c r="C729" s="116"/>
      <c r="D729" s="116"/>
      <c r="E729" s="116"/>
      <c r="F729" s="116"/>
      <c r="G729" s="116"/>
      <c r="H729" s="116"/>
      <c r="I729" s="116"/>
      <c r="J729" s="116"/>
      <c r="K729" s="116"/>
      <c r="L729" s="116"/>
      <c r="M729" s="116"/>
      <c r="N729" s="116"/>
      <c r="O729" s="116"/>
      <c r="P729" s="116"/>
      <c r="Q729" s="116"/>
      <c r="R729" s="116"/>
      <c r="S729" s="116"/>
      <c r="T729" s="116"/>
      <c r="U729" s="103"/>
      <c r="V729" s="103"/>
      <c r="W729" s="103"/>
      <c r="X729" s="103"/>
      <c r="Y729" s="103"/>
      <c r="Z729" s="103"/>
      <c r="AA729" s="103"/>
    </row>
    <row r="730" spans="1:27">
      <c r="A730" s="155"/>
      <c r="B730" s="116"/>
      <c r="C730" s="116"/>
      <c r="D730" s="116"/>
      <c r="E730" s="116"/>
      <c r="F730" s="116"/>
      <c r="G730" s="116"/>
      <c r="H730" s="116"/>
      <c r="I730" s="116"/>
      <c r="J730" s="116"/>
      <c r="K730" s="116"/>
      <c r="L730" s="116"/>
      <c r="M730" s="116"/>
      <c r="N730" s="116"/>
      <c r="O730" s="116"/>
      <c r="P730" s="116"/>
      <c r="Q730" s="116"/>
      <c r="R730" s="116"/>
      <c r="S730" s="116"/>
      <c r="T730" s="116"/>
      <c r="U730" s="103"/>
      <c r="V730" s="103"/>
      <c r="W730" s="103"/>
      <c r="X730" s="103"/>
      <c r="Y730" s="103"/>
      <c r="Z730" s="103"/>
      <c r="AA730" s="103"/>
    </row>
    <row r="731" spans="1:27">
      <c r="A731" s="155"/>
      <c r="B731" s="116"/>
      <c r="C731" s="116"/>
      <c r="D731" s="116"/>
      <c r="E731" s="116"/>
      <c r="F731" s="116"/>
      <c r="G731" s="116"/>
      <c r="H731" s="116"/>
      <c r="I731" s="116"/>
      <c r="J731" s="116"/>
      <c r="K731" s="116"/>
      <c r="L731" s="116"/>
      <c r="M731" s="116"/>
      <c r="N731" s="116"/>
      <c r="O731" s="116"/>
      <c r="P731" s="116"/>
      <c r="Q731" s="116"/>
      <c r="R731" s="116"/>
      <c r="S731" s="116"/>
      <c r="T731" s="116"/>
      <c r="U731" s="103"/>
      <c r="V731" s="103"/>
      <c r="W731" s="103"/>
      <c r="X731" s="103"/>
      <c r="Y731" s="103"/>
      <c r="Z731" s="103"/>
      <c r="AA731" s="103"/>
    </row>
    <row r="732" spans="1:27">
      <c r="A732" s="155"/>
      <c r="B732" s="116"/>
      <c r="C732" s="116"/>
      <c r="D732" s="116"/>
      <c r="E732" s="116"/>
      <c r="F732" s="116"/>
      <c r="G732" s="116"/>
      <c r="H732" s="116"/>
      <c r="I732" s="116"/>
      <c r="J732" s="116"/>
      <c r="K732" s="116"/>
      <c r="L732" s="116"/>
      <c r="M732" s="116"/>
      <c r="N732" s="116"/>
      <c r="O732" s="116"/>
      <c r="P732" s="116"/>
      <c r="Q732" s="116"/>
      <c r="R732" s="116"/>
      <c r="S732" s="116"/>
      <c r="T732" s="116"/>
      <c r="U732" s="103"/>
      <c r="V732" s="103"/>
      <c r="W732" s="103"/>
      <c r="X732" s="103"/>
      <c r="Y732" s="103"/>
      <c r="Z732" s="103"/>
      <c r="AA732" s="103"/>
    </row>
    <row r="733" spans="1:27">
      <c r="A733" s="155"/>
      <c r="B733" s="116"/>
      <c r="C733" s="116"/>
      <c r="D733" s="116"/>
      <c r="E733" s="116"/>
      <c r="F733" s="116"/>
      <c r="G733" s="116"/>
      <c r="H733" s="116"/>
      <c r="I733" s="116"/>
      <c r="J733" s="116"/>
      <c r="K733" s="116"/>
      <c r="L733" s="116"/>
      <c r="M733" s="116"/>
      <c r="N733" s="116"/>
      <c r="O733" s="116"/>
      <c r="P733" s="116"/>
      <c r="Q733" s="116"/>
      <c r="R733" s="116"/>
      <c r="S733" s="116"/>
      <c r="T733" s="116"/>
      <c r="U733" s="103"/>
      <c r="V733" s="103"/>
      <c r="W733" s="103"/>
      <c r="X733" s="103"/>
      <c r="Y733" s="103"/>
      <c r="Z733" s="103"/>
      <c r="AA733" s="103"/>
    </row>
    <row r="734" spans="1:27">
      <c r="A734" s="155"/>
      <c r="B734" s="116"/>
      <c r="C734" s="116"/>
      <c r="D734" s="116"/>
      <c r="E734" s="116"/>
      <c r="F734" s="116"/>
      <c r="G734" s="116"/>
      <c r="H734" s="116"/>
      <c r="I734" s="116"/>
      <c r="J734" s="116"/>
      <c r="K734" s="116"/>
      <c r="L734" s="116"/>
      <c r="M734" s="116"/>
      <c r="N734" s="116"/>
      <c r="O734" s="116"/>
      <c r="P734" s="116"/>
      <c r="Q734" s="116"/>
      <c r="R734" s="116"/>
      <c r="S734" s="116"/>
      <c r="T734" s="116"/>
      <c r="U734" s="103"/>
      <c r="V734" s="103"/>
      <c r="W734" s="103"/>
      <c r="X734" s="103"/>
      <c r="Y734" s="103"/>
      <c r="Z734" s="103"/>
      <c r="AA734" s="103"/>
    </row>
    <row r="735" spans="1:27">
      <c r="A735" s="155"/>
      <c r="B735" s="116"/>
      <c r="C735" s="116"/>
      <c r="D735" s="116"/>
      <c r="E735" s="116"/>
      <c r="F735" s="116"/>
      <c r="G735" s="116"/>
      <c r="H735" s="116"/>
      <c r="I735" s="116"/>
      <c r="J735" s="116"/>
      <c r="K735" s="116"/>
      <c r="L735" s="116"/>
      <c r="M735" s="116"/>
      <c r="N735" s="116"/>
      <c r="O735" s="116"/>
      <c r="P735" s="116"/>
      <c r="Q735" s="116"/>
      <c r="R735" s="116"/>
      <c r="S735" s="116"/>
      <c r="T735" s="116"/>
      <c r="U735" s="103"/>
      <c r="V735" s="103"/>
      <c r="W735" s="103"/>
      <c r="X735" s="103"/>
      <c r="Y735" s="103"/>
      <c r="Z735" s="103"/>
      <c r="AA735" s="103"/>
    </row>
    <row r="736" spans="1:27">
      <c r="A736" s="155"/>
      <c r="B736" s="116"/>
      <c r="C736" s="116"/>
      <c r="D736" s="116"/>
      <c r="E736" s="116"/>
      <c r="F736" s="116"/>
      <c r="G736" s="116"/>
      <c r="H736" s="116"/>
      <c r="I736" s="116"/>
      <c r="J736" s="116"/>
      <c r="K736" s="116"/>
      <c r="L736" s="116"/>
      <c r="M736" s="116"/>
      <c r="N736" s="116"/>
      <c r="O736" s="116"/>
      <c r="P736" s="116"/>
      <c r="Q736" s="116"/>
      <c r="R736" s="116"/>
      <c r="S736" s="116"/>
      <c r="T736" s="116"/>
      <c r="U736" s="103"/>
      <c r="V736" s="103"/>
      <c r="W736" s="103"/>
      <c r="X736" s="103"/>
      <c r="Y736" s="103"/>
      <c r="Z736" s="103"/>
      <c r="AA736" s="103"/>
    </row>
    <row r="737" spans="1:27">
      <c r="A737" s="155"/>
      <c r="B737" s="116"/>
      <c r="C737" s="116"/>
      <c r="D737" s="116"/>
      <c r="E737" s="116"/>
      <c r="F737" s="116"/>
      <c r="G737" s="116"/>
      <c r="H737" s="116"/>
      <c r="I737" s="116"/>
      <c r="J737" s="116"/>
      <c r="K737" s="116"/>
      <c r="L737" s="116"/>
      <c r="M737" s="116"/>
      <c r="N737" s="116"/>
      <c r="O737" s="116"/>
      <c r="P737" s="116"/>
      <c r="Q737" s="116"/>
      <c r="R737" s="116"/>
      <c r="S737" s="116"/>
      <c r="T737" s="116"/>
      <c r="U737" s="103"/>
      <c r="V737" s="103"/>
      <c r="W737" s="103"/>
      <c r="X737" s="103"/>
      <c r="Y737" s="103"/>
      <c r="Z737" s="103"/>
      <c r="AA737" s="103"/>
    </row>
    <row r="738" spans="1:27">
      <c r="A738" s="155"/>
      <c r="B738" s="116"/>
      <c r="C738" s="116"/>
      <c r="D738" s="116"/>
      <c r="E738" s="116"/>
      <c r="F738" s="116"/>
      <c r="G738" s="116"/>
      <c r="H738" s="116"/>
      <c r="I738" s="116"/>
      <c r="J738" s="116"/>
      <c r="K738" s="116"/>
      <c r="L738" s="116"/>
      <c r="M738" s="116"/>
      <c r="N738" s="116"/>
      <c r="O738" s="116"/>
      <c r="P738" s="116"/>
      <c r="Q738" s="116"/>
      <c r="R738" s="116"/>
      <c r="S738" s="116"/>
      <c r="T738" s="116"/>
      <c r="U738" s="103"/>
      <c r="V738" s="103"/>
      <c r="W738" s="103"/>
      <c r="X738" s="103"/>
      <c r="Y738" s="103"/>
      <c r="Z738" s="103"/>
      <c r="AA738" s="103"/>
    </row>
    <row r="739" spans="1:27">
      <c r="A739" s="155"/>
      <c r="B739" s="116"/>
      <c r="C739" s="116"/>
      <c r="D739" s="116"/>
      <c r="E739" s="116"/>
      <c r="F739" s="116"/>
      <c r="G739" s="116"/>
      <c r="H739" s="116"/>
      <c r="I739" s="116"/>
      <c r="J739" s="116"/>
      <c r="K739" s="116"/>
      <c r="L739" s="116"/>
      <c r="M739" s="116"/>
      <c r="N739" s="116"/>
      <c r="O739" s="116"/>
      <c r="P739" s="116"/>
      <c r="Q739" s="116"/>
      <c r="R739" s="116"/>
      <c r="S739" s="116"/>
      <c r="T739" s="116"/>
      <c r="U739" s="103"/>
      <c r="V739" s="103"/>
      <c r="W739" s="103"/>
      <c r="X739" s="103"/>
      <c r="Y739" s="103"/>
      <c r="Z739" s="103"/>
      <c r="AA739" s="103"/>
    </row>
    <row r="740" spans="1:27">
      <c r="A740" s="155"/>
      <c r="B740" s="116"/>
      <c r="C740" s="116"/>
      <c r="D740" s="116"/>
      <c r="E740" s="116"/>
      <c r="F740" s="116"/>
      <c r="G740" s="116"/>
      <c r="H740" s="116"/>
      <c r="I740" s="116"/>
      <c r="J740" s="116"/>
      <c r="K740" s="116"/>
      <c r="L740" s="116"/>
      <c r="M740" s="116"/>
      <c r="N740" s="116"/>
      <c r="O740" s="116"/>
      <c r="P740" s="116"/>
      <c r="Q740" s="116"/>
      <c r="R740" s="116"/>
      <c r="S740" s="116"/>
      <c r="T740" s="116"/>
      <c r="U740" s="103"/>
      <c r="V740" s="103"/>
      <c r="W740" s="103"/>
      <c r="X740" s="103"/>
      <c r="Y740" s="103"/>
      <c r="Z740" s="103"/>
      <c r="AA740" s="103"/>
    </row>
    <row r="741" spans="1:27">
      <c r="A741" s="155"/>
      <c r="B741" s="116"/>
      <c r="C741" s="116"/>
      <c r="D741" s="116"/>
      <c r="E741" s="116"/>
      <c r="F741" s="116"/>
      <c r="G741" s="116"/>
      <c r="H741" s="116"/>
      <c r="I741" s="116"/>
      <c r="J741" s="116"/>
      <c r="K741" s="116"/>
      <c r="L741" s="116"/>
      <c r="M741" s="116"/>
      <c r="N741" s="116"/>
      <c r="O741" s="116"/>
      <c r="P741" s="116"/>
      <c r="Q741" s="116"/>
      <c r="R741" s="116"/>
      <c r="S741" s="116"/>
      <c r="T741" s="116"/>
      <c r="U741" s="103"/>
      <c r="V741" s="103"/>
      <c r="W741" s="103"/>
      <c r="X741" s="103"/>
      <c r="Y741" s="103"/>
      <c r="Z741" s="103"/>
      <c r="AA741" s="103"/>
    </row>
    <row r="742" spans="1:27">
      <c r="A742" s="155"/>
      <c r="B742" s="116"/>
      <c r="C742" s="116"/>
      <c r="D742" s="116"/>
      <c r="E742" s="116"/>
      <c r="F742" s="116"/>
      <c r="G742" s="116"/>
      <c r="H742" s="116"/>
      <c r="I742" s="116"/>
      <c r="J742" s="116"/>
      <c r="K742" s="116"/>
      <c r="L742" s="116"/>
      <c r="M742" s="116"/>
      <c r="N742" s="116"/>
      <c r="O742" s="116"/>
      <c r="P742" s="116"/>
      <c r="Q742" s="116"/>
      <c r="R742" s="116"/>
      <c r="S742" s="116"/>
      <c r="T742" s="116"/>
      <c r="U742" s="103"/>
      <c r="V742" s="103"/>
      <c r="W742" s="103"/>
      <c r="X742" s="103"/>
      <c r="Y742" s="103"/>
      <c r="Z742" s="103"/>
      <c r="AA742" s="103"/>
    </row>
    <row r="743" spans="1:27">
      <c r="A743" s="155"/>
      <c r="B743" s="116"/>
      <c r="C743" s="116"/>
      <c r="D743" s="116"/>
      <c r="E743" s="116"/>
      <c r="F743" s="116"/>
      <c r="G743" s="116"/>
      <c r="H743" s="116"/>
      <c r="I743" s="116"/>
      <c r="J743" s="116"/>
      <c r="K743" s="116"/>
      <c r="L743" s="116"/>
      <c r="M743" s="116"/>
      <c r="N743" s="116"/>
      <c r="O743" s="116"/>
      <c r="P743" s="116"/>
      <c r="Q743" s="116"/>
      <c r="R743" s="116"/>
      <c r="S743" s="116"/>
      <c r="T743" s="116"/>
      <c r="U743" s="103"/>
      <c r="V743" s="103"/>
      <c r="W743" s="103"/>
      <c r="X743" s="103"/>
      <c r="Y743" s="103"/>
      <c r="Z743" s="103"/>
      <c r="AA743" s="103"/>
    </row>
    <row r="744" spans="1:27">
      <c r="A744" s="155"/>
      <c r="B744" s="116"/>
      <c r="C744" s="116"/>
      <c r="D744" s="116"/>
      <c r="E744" s="116"/>
      <c r="F744" s="116"/>
      <c r="G744" s="116"/>
      <c r="H744" s="116"/>
      <c r="I744" s="116"/>
      <c r="J744" s="116"/>
      <c r="K744" s="116"/>
      <c r="L744" s="116"/>
      <c r="M744" s="116"/>
      <c r="N744" s="116"/>
      <c r="O744" s="116"/>
      <c r="P744" s="116"/>
      <c r="Q744" s="116"/>
      <c r="R744" s="116"/>
      <c r="S744" s="116"/>
      <c r="T744" s="116"/>
      <c r="U744" s="103"/>
      <c r="V744" s="103"/>
      <c r="W744" s="103"/>
      <c r="X744" s="103"/>
      <c r="Y744" s="103"/>
      <c r="Z744" s="103"/>
      <c r="AA744" s="103"/>
    </row>
    <row r="745" spans="1:27">
      <c r="A745" s="155"/>
      <c r="B745" s="116"/>
      <c r="C745" s="116"/>
      <c r="D745" s="116"/>
      <c r="E745" s="116"/>
      <c r="F745" s="116"/>
      <c r="G745" s="116"/>
      <c r="H745" s="116"/>
      <c r="I745" s="116"/>
      <c r="J745" s="116"/>
      <c r="K745" s="116"/>
      <c r="L745" s="116"/>
      <c r="M745" s="116"/>
      <c r="N745" s="116"/>
      <c r="O745" s="116"/>
      <c r="P745" s="116"/>
      <c r="Q745" s="116"/>
      <c r="R745" s="116"/>
      <c r="S745" s="116"/>
      <c r="T745" s="116"/>
      <c r="U745" s="103"/>
      <c r="V745" s="103"/>
      <c r="W745" s="103"/>
      <c r="X745" s="103"/>
      <c r="Y745" s="103"/>
      <c r="Z745" s="103"/>
      <c r="AA745" s="103"/>
    </row>
    <row r="746" spans="1:27">
      <c r="A746" s="155"/>
      <c r="B746" s="116"/>
      <c r="C746" s="116"/>
      <c r="D746" s="116"/>
      <c r="E746" s="116"/>
      <c r="F746" s="116"/>
      <c r="G746" s="116"/>
      <c r="H746" s="116"/>
      <c r="I746" s="116"/>
      <c r="J746" s="116"/>
      <c r="K746" s="116"/>
      <c r="L746" s="116"/>
      <c r="M746" s="116"/>
      <c r="N746" s="116"/>
      <c r="O746" s="116"/>
      <c r="P746" s="116"/>
      <c r="Q746" s="116"/>
      <c r="R746" s="116"/>
      <c r="S746" s="116"/>
      <c r="T746" s="116"/>
      <c r="U746" s="103"/>
      <c r="V746" s="103"/>
      <c r="W746" s="103"/>
      <c r="X746" s="103"/>
      <c r="Y746" s="103"/>
      <c r="Z746" s="103"/>
      <c r="AA746" s="103"/>
    </row>
    <row r="747" spans="1:27">
      <c r="A747" s="155"/>
      <c r="B747" s="116"/>
      <c r="C747" s="116"/>
      <c r="D747" s="116"/>
      <c r="E747" s="116"/>
      <c r="F747" s="116"/>
      <c r="G747" s="116"/>
      <c r="H747" s="116"/>
      <c r="I747" s="116"/>
      <c r="J747" s="116"/>
      <c r="K747" s="116"/>
      <c r="L747" s="116"/>
      <c r="M747" s="116"/>
      <c r="N747" s="116"/>
      <c r="O747" s="116"/>
      <c r="P747" s="116"/>
      <c r="Q747" s="116"/>
      <c r="R747" s="116"/>
      <c r="S747" s="116"/>
      <c r="T747" s="116"/>
      <c r="U747" s="103"/>
      <c r="V747" s="103"/>
      <c r="W747" s="103"/>
      <c r="X747" s="103"/>
      <c r="Y747" s="103"/>
      <c r="Z747" s="103"/>
      <c r="AA747" s="103"/>
    </row>
    <row r="748" spans="1:27">
      <c r="A748" s="155"/>
      <c r="B748" s="116"/>
      <c r="C748" s="116"/>
      <c r="D748" s="116"/>
      <c r="E748" s="116"/>
      <c r="F748" s="116"/>
      <c r="G748" s="116"/>
      <c r="H748" s="116"/>
      <c r="I748" s="116"/>
      <c r="J748" s="116"/>
      <c r="K748" s="116"/>
      <c r="L748" s="116"/>
      <c r="M748" s="116"/>
      <c r="N748" s="116"/>
      <c r="O748" s="116"/>
      <c r="P748" s="116"/>
      <c r="Q748" s="116"/>
      <c r="R748" s="116"/>
      <c r="S748" s="116"/>
      <c r="T748" s="116"/>
      <c r="U748" s="103"/>
      <c r="V748" s="103"/>
      <c r="W748" s="103"/>
      <c r="X748" s="103"/>
      <c r="Y748" s="103"/>
      <c r="Z748" s="103"/>
      <c r="AA748" s="103"/>
    </row>
    <row r="749" spans="1:27">
      <c r="A749" s="155"/>
      <c r="B749" s="116"/>
      <c r="C749" s="116"/>
      <c r="D749" s="116"/>
      <c r="E749" s="116"/>
      <c r="F749" s="116"/>
      <c r="G749" s="116"/>
      <c r="H749" s="116"/>
      <c r="I749" s="116"/>
      <c r="J749" s="116"/>
      <c r="K749" s="116"/>
      <c r="L749" s="116"/>
      <c r="M749" s="116"/>
      <c r="N749" s="116"/>
      <c r="O749" s="116"/>
      <c r="P749" s="116"/>
      <c r="Q749" s="116"/>
      <c r="R749" s="116"/>
      <c r="S749" s="116"/>
      <c r="T749" s="116"/>
      <c r="U749" s="103"/>
      <c r="V749" s="103"/>
      <c r="W749" s="103"/>
      <c r="X749" s="103"/>
      <c r="Y749" s="103"/>
      <c r="Z749" s="103"/>
      <c r="AA749" s="103"/>
    </row>
    <row r="750" spans="1:27">
      <c r="A750" s="155"/>
      <c r="B750" s="116"/>
      <c r="C750" s="116"/>
      <c r="D750" s="116"/>
      <c r="E750" s="116"/>
      <c r="F750" s="116"/>
      <c r="G750" s="116"/>
      <c r="H750" s="116"/>
      <c r="I750" s="116"/>
      <c r="J750" s="116"/>
      <c r="K750" s="116"/>
      <c r="L750" s="116"/>
      <c r="M750" s="116"/>
      <c r="N750" s="116"/>
      <c r="O750" s="116"/>
      <c r="P750" s="116"/>
      <c r="Q750" s="116"/>
      <c r="R750" s="116"/>
      <c r="S750" s="116"/>
      <c r="T750" s="116"/>
      <c r="U750" s="103"/>
      <c r="V750" s="103"/>
      <c r="W750" s="103"/>
      <c r="X750" s="103"/>
      <c r="Y750" s="103"/>
      <c r="Z750" s="103"/>
      <c r="AA750" s="103"/>
    </row>
    <row r="751" spans="1:27">
      <c r="A751" s="155"/>
      <c r="B751" s="116"/>
      <c r="C751" s="116"/>
      <c r="D751" s="116"/>
      <c r="E751" s="116"/>
      <c r="F751" s="116"/>
      <c r="G751" s="116"/>
      <c r="H751" s="116"/>
      <c r="I751" s="116"/>
      <c r="J751" s="116"/>
      <c r="K751" s="116"/>
      <c r="L751" s="116"/>
      <c r="M751" s="116"/>
      <c r="N751" s="116"/>
      <c r="O751" s="116"/>
      <c r="P751" s="116"/>
      <c r="Q751" s="116"/>
      <c r="R751" s="116"/>
      <c r="S751" s="116"/>
      <c r="T751" s="116"/>
      <c r="U751" s="103"/>
      <c r="V751" s="103"/>
      <c r="W751" s="103"/>
      <c r="X751" s="103"/>
      <c r="Y751" s="103"/>
      <c r="Z751" s="103"/>
      <c r="AA751" s="103"/>
    </row>
    <row r="752" spans="1:27">
      <c r="A752" s="155"/>
      <c r="B752" s="116"/>
      <c r="C752" s="116"/>
      <c r="D752" s="116"/>
      <c r="E752" s="116"/>
      <c r="F752" s="116"/>
      <c r="G752" s="116"/>
      <c r="H752" s="116"/>
      <c r="I752" s="116"/>
      <c r="J752" s="116"/>
      <c r="K752" s="116"/>
      <c r="L752" s="116"/>
      <c r="M752" s="116"/>
      <c r="N752" s="116"/>
      <c r="O752" s="116"/>
      <c r="P752" s="116"/>
      <c r="Q752" s="116"/>
      <c r="R752" s="116"/>
      <c r="S752" s="116"/>
      <c r="T752" s="116"/>
      <c r="U752" s="103"/>
      <c r="V752" s="103"/>
      <c r="W752" s="103"/>
      <c r="X752" s="103"/>
      <c r="Y752" s="103"/>
      <c r="Z752" s="103"/>
      <c r="AA752" s="103"/>
    </row>
    <row r="753" spans="1:27">
      <c r="A753" s="155"/>
      <c r="B753" s="116"/>
      <c r="C753" s="116"/>
      <c r="D753" s="116"/>
      <c r="E753" s="116"/>
      <c r="F753" s="116"/>
      <c r="G753" s="116"/>
      <c r="H753" s="116"/>
      <c r="I753" s="116"/>
      <c r="J753" s="116"/>
      <c r="K753" s="116"/>
      <c r="L753" s="116"/>
      <c r="M753" s="116"/>
      <c r="N753" s="116"/>
      <c r="O753" s="116"/>
      <c r="P753" s="116"/>
      <c r="Q753" s="116"/>
      <c r="R753" s="116"/>
      <c r="S753" s="116"/>
      <c r="T753" s="116"/>
      <c r="U753" s="103"/>
      <c r="V753" s="103"/>
      <c r="W753" s="103"/>
      <c r="X753" s="103"/>
      <c r="Y753" s="103"/>
      <c r="Z753" s="103"/>
      <c r="AA753" s="103"/>
    </row>
    <row r="754" spans="1:27">
      <c r="A754" s="155"/>
      <c r="B754" s="116"/>
      <c r="C754" s="116"/>
      <c r="D754" s="116"/>
      <c r="E754" s="116"/>
      <c r="F754" s="116"/>
      <c r="G754" s="116"/>
      <c r="H754" s="116"/>
      <c r="I754" s="116"/>
      <c r="J754" s="116"/>
      <c r="K754" s="116"/>
      <c r="L754" s="116"/>
      <c r="M754" s="116"/>
      <c r="N754" s="116"/>
      <c r="O754" s="116"/>
      <c r="P754" s="116"/>
      <c r="Q754" s="116"/>
      <c r="R754" s="116"/>
      <c r="S754" s="116"/>
      <c r="T754" s="116"/>
      <c r="U754" s="103"/>
      <c r="V754" s="103"/>
      <c r="W754" s="103"/>
      <c r="X754" s="103"/>
      <c r="Y754" s="103"/>
      <c r="Z754" s="103"/>
      <c r="AA754" s="103"/>
    </row>
    <row r="755" spans="1:27">
      <c r="A755" s="155"/>
      <c r="B755" s="116"/>
      <c r="C755" s="116"/>
      <c r="D755" s="116"/>
      <c r="E755" s="116"/>
      <c r="F755" s="116"/>
      <c r="G755" s="116"/>
      <c r="H755" s="116"/>
      <c r="I755" s="116"/>
      <c r="J755" s="116"/>
      <c r="K755" s="116"/>
      <c r="L755" s="116"/>
      <c r="M755" s="116"/>
      <c r="N755" s="116"/>
      <c r="O755" s="116"/>
      <c r="P755" s="116"/>
      <c r="Q755" s="116"/>
      <c r="R755" s="116"/>
      <c r="S755" s="116"/>
      <c r="T755" s="116"/>
      <c r="U755" s="103"/>
      <c r="V755" s="103"/>
      <c r="W755" s="103"/>
      <c r="X755" s="103"/>
      <c r="Y755" s="103"/>
      <c r="Z755" s="103"/>
      <c r="AA755" s="103"/>
    </row>
    <row r="756" spans="1:27">
      <c r="A756" s="155"/>
      <c r="B756" s="116"/>
      <c r="C756" s="116"/>
      <c r="D756" s="116"/>
      <c r="E756" s="116"/>
      <c r="F756" s="116"/>
      <c r="G756" s="116"/>
      <c r="H756" s="116"/>
      <c r="I756" s="116"/>
      <c r="J756" s="116"/>
      <c r="K756" s="116"/>
      <c r="L756" s="116"/>
      <c r="M756" s="116"/>
      <c r="N756" s="116"/>
      <c r="O756" s="116"/>
      <c r="P756" s="116"/>
      <c r="Q756" s="116"/>
      <c r="R756" s="116"/>
      <c r="S756" s="116"/>
      <c r="T756" s="116"/>
      <c r="U756" s="103"/>
      <c r="V756" s="103"/>
      <c r="W756" s="103"/>
      <c r="X756" s="103"/>
      <c r="Y756" s="103"/>
      <c r="Z756" s="103"/>
      <c r="AA756" s="103"/>
    </row>
    <row r="757" spans="1:27">
      <c r="A757" s="155"/>
      <c r="B757" s="116"/>
      <c r="C757" s="116"/>
      <c r="D757" s="116"/>
      <c r="E757" s="116"/>
      <c r="F757" s="116"/>
      <c r="G757" s="116"/>
      <c r="H757" s="116"/>
      <c r="I757" s="116"/>
      <c r="J757" s="116"/>
      <c r="K757" s="116"/>
      <c r="L757" s="116"/>
      <c r="M757" s="116"/>
      <c r="N757" s="116"/>
      <c r="O757" s="116"/>
      <c r="P757" s="116"/>
      <c r="Q757" s="116"/>
      <c r="R757" s="116"/>
      <c r="S757" s="116"/>
      <c r="T757" s="116"/>
      <c r="U757" s="103"/>
      <c r="V757" s="103"/>
      <c r="W757" s="103"/>
      <c r="X757" s="103"/>
      <c r="Y757" s="103"/>
      <c r="Z757" s="103"/>
      <c r="AA757" s="103"/>
    </row>
    <row r="758" spans="1:27">
      <c r="A758" s="155"/>
      <c r="B758" s="116"/>
      <c r="C758" s="116"/>
      <c r="D758" s="116"/>
      <c r="E758" s="116"/>
      <c r="F758" s="116"/>
      <c r="G758" s="116"/>
      <c r="H758" s="116"/>
      <c r="I758" s="116"/>
      <c r="J758" s="116"/>
      <c r="K758" s="116"/>
      <c r="L758" s="116"/>
      <c r="M758" s="116"/>
      <c r="N758" s="116"/>
      <c r="O758" s="116"/>
      <c r="P758" s="116"/>
      <c r="Q758" s="116"/>
      <c r="R758" s="116"/>
      <c r="S758" s="116"/>
      <c r="T758" s="116"/>
      <c r="U758" s="103"/>
      <c r="V758" s="103"/>
      <c r="W758" s="103"/>
      <c r="X758" s="103"/>
      <c r="Y758" s="103"/>
      <c r="Z758" s="103"/>
      <c r="AA758" s="103"/>
    </row>
    <row r="759" spans="1:27">
      <c r="A759" s="155"/>
      <c r="B759" s="116"/>
      <c r="C759" s="116"/>
      <c r="D759" s="116"/>
      <c r="E759" s="116"/>
      <c r="F759" s="116"/>
      <c r="G759" s="116"/>
      <c r="H759" s="116"/>
      <c r="I759" s="116"/>
      <c r="J759" s="116"/>
      <c r="K759" s="116"/>
      <c r="L759" s="116"/>
      <c r="M759" s="116"/>
      <c r="N759" s="116"/>
      <c r="O759" s="116"/>
      <c r="P759" s="116"/>
      <c r="Q759" s="116"/>
      <c r="R759" s="116"/>
      <c r="S759" s="116"/>
      <c r="T759" s="116"/>
      <c r="U759" s="103"/>
      <c r="V759" s="103"/>
      <c r="W759" s="103"/>
      <c r="X759" s="103"/>
      <c r="Y759" s="103"/>
      <c r="Z759" s="103"/>
      <c r="AA759" s="103"/>
    </row>
    <row r="760" spans="1:27">
      <c r="A760" s="155"/>
      <c r="B760" s="116"/>
      <c r="C760" s="116"/>
      <c r="D760" s="116"/>
      <c r="E760" s="116"/>
      <c r="F760" s="116"/>
      <c r="G760" s="116"/>
      <c r="H760" s="116"/>
      <c r="I760" s="116"/>
      <c r="J760" s="116"/>
      <c r="K760" s="116"/>
      <c r="L760" s="116"/>
      <c r="M760" s="116"/>
      <c r="N760" s="116"/>
      <c r="O760" s="116"/>
      <c r="P760" s="116"/>
      <c r="Q760" s="116"/>
      <c r="R760" s="116"/>
      <c r="S760" s="116"/>
      <c r="T760" s="116"/>
      <c r="U760" s="103"/>
      <c r="V760" s="103"/>
      <c r="W760" s="103"/>
      <c r="X760" s="103"/>
      <c r="Y760" s="103"/>
      <c r="Z760" s="103"/>
      <c r="AA760" s="103"/>
    </row>
    <row r="761" spans="1:27">
      <c r="A761" s="155"/>
      <c r="B761" s="116"/>
      <c r="C761" s="116"/>
      <c r="D761" s="116"/>
      <c r="E761" s="116"/>
      <c r="F761" s="116"/>
      <c r="G761" s="116"/>
      <c r="H761" s="116"/>
      <c r="I761" s="116"/>
      <c r="J761" s="116"/>
      <c r="K761" s="116"/>
      <c r="L761" s="116"/>
      <c r="M761" s="116"/>
      <c r="N761" s="116"/>
      <c r="O761" s="116"/>
      <c r="P761" s="116"/>
      <c r="Q761" s="116"/>
      <c r="R761" s="116"/>
      <c r="S761" s="116"/>
      <c r="T761" s="116"/>
      <c r="U761" s="103"/>
      <c r="V761" s="103"/>
      <c r="W761" s="103"/>
      <c r="X761" s="103"/>
      <c r="Y761" s="103"/>
      <c r="Z761" s="103"/>
      <c r="AA761" s="103"/>
    </row>
    <row r="762" spans="1:27">
      <c r="A762" s="155"/>
      <c r="B762" s="116"/>
      <c r="C762" s="116"/>
      <c r="D762" s="116"/>
      <c r="E762" s="116"/>
      <c r="F762" s="116"/>
      <c r="G762" s="116"/>
      <c r="H762" s="116"/>
      <c r="I762" s="116"/>
      <c r="J762" s="116"/>
      <c r="K762" s="116"/>
      <c r="L762" s="116"/>
      <c r="M762" s="116"/>
      <c r="N762" s="116"/>
      <c r="O762" s="116"/>
      <c r="P762" s="116"/>
      <c r="Q762" s="116"/>
      <c r="R762" s="116"/>
      <c r="S762" s="116"/>
      <c r="T762" s="116"/>
      <c r="U762" s="103"/>
      <c r="V762" s="103"/>
      <c r="W762" s="103"/>
      <c r="X762" s="103"/>
      <c r="Y762" s="103"/>
      <c r="Z762" s="103"/>
      <c r="AA762" s="103"/>
    </row>
    <row r="763" spans="1:27">
      <c r="A763" s="155"/>
      <c r="B763" s="116"/>
      <c r="C763" s="116"/>
      <c r="D763" s="116"/>
      <c r="E763" s="116"/>
      <c r="F763" s="116"/>
      <c r="G763" s="116"/>
      <c r="H763" s="116"/>
      <c r="I763" s="116"/>
      <c r="J763" s="116"/>
      <c r="K763" s="116"/>
      <c r="L763" s="116"/>
      <c r="M763" s="116"/>
      <c r="N763" s="116"/>
      <c r="O763" s="116"/>
      <c r="P763" s="116"/>
      <c r="Q763" s="116"/>
      <c r="R763" s="116"/>
      <c r="S763" s="116"/>
      <c r="T763" s="116"/>
      <c r="U763" s="103"/>
      <c r="V763" s="103"/>
      <c r="W763" s="103"/>
      <c r="X763" s="103"/>
      <c r="Y763" s="103"/>
      <c r="Z763" s="103"/>
      <c r="AA763" s="103"/>
    </row>
    <row r="764" spans="1:27">
      <c r="A764" s="155"/>
      <c r="B764" s="116"/>
      <c r="C764" s="116"/>
      <c r="D764" s="116"/>
      <c r="E764" s="116"/>
      <c r="F764" s="116"/>
      <c r="G764" s="116"/>
      <c r="H764" s="116"/>
      <c r="I764" s="116"/>
      <c r="J764" s="116"/>
      <c r="K764" s="116"/>
      <c r="L764" s="116"/>
      <c r="M764" s="116"/>
      <c r="N764" s="116"/>
      <c r="O764" s="116"/>
      <c r="P764" s="116"/>
      <c r="Q764" s="116"/>
      <c r="R764" s="116"/>
      <c r="S764" s="116"/>
      <c r="T764" s="116"/>
      <c r="U764" s="103"/>
      <c r="V764" s="103"/>
      <c r="W764" s="103"/>
      <c r="X764" s="103"/>
      <c r="Y764" s="103"/>
      <c r="Z764" s="103"/>
      <c r="AA764" s="103"/>
    </row>
    <row r="765" spans="1:27">
      <c r="A765" s="155"/>
      <c r="B765" s="116"/>
      <c r="C765" s="116"/>
      <c r="D765" s="116"/>
      <c r="E765" s="116"/>
      <c r="F765" s="116"/>
      <c r="G765" s="116"/>
      <c r="H765" s="116"/>
      <c r="I765" s="116"/>
      <c r="J765" s="116"/>
      <c r="K765" s="116"/>
      <c r="L765" s="116"/>
      <c r="M765" s="116"/>
      <c r="N765" s="116"/>
      <c r="O765" s="116"/>
      <c r="P765" s="116"/>
      <c r="Q765" s="116"/>
      <c r="R765" s="116"/>
      <c r="S765" s="116"/>
      <c r="T765" s="116"/>
      <c r="U765" s="103"/>
      <c r="V765" s="103"/>
      <c r="W765" s="103"/>
      <c r="X765" s="103"/>
      <c r="Y765" s="103"/>
      <c r="Z765" s="103"/>
      <c r="AA765" s="103"/>
    </row>
    <row r="766" spans="1:27">
      <c r="A766" s="155"/>
      <c r="B766" s="116"/>
      <c r="C766" s="116"/>
      <c r="D766" s="116"/>
      <c r="E766" s="116"/>
      <c r="F766" s="116"/>
      <c r="G766" s="116"/>
      <c r="H766" s="116"/>
      <c r="I766" s="116"/>
      <c r="J766" s="116"/>
      <c r="K766" s="116"/>
      <c r="L766" s="116"/>
      <c r="M766" s="116"/>
      <c r="N766" s="116"/>
      <c r="O766" s="116"/>
      <c r="P766" s="116"/>
      <c r="Q766" s="116"/>
      <c r="R766" s="116"/>
      <c r="S766" s="116"/>
      <c r="T766" s="116"/>
      <c r="U766" s="103"/>
      <c r="V766" s="103"/>
      <c r="W766" s="103"/>
      <c r="X766" s="103"/>
      <c r="Y766" s="103"/>
      <c r="Z766" s="103"/>
      <c r="AA766" s="103"/>
    </row>
    <row r="767" spans="1:27">
      <c r="A767" s="155"/>
      <c r="B767" s="116"/>
      <c r="C767" s="116"/>
      <c r="D767" s="116"/>
      <c r="E767" s="116"/>
      <c r="F767" s="116"/>
      <c r="G767" s="116"/>
      <c r="H767" s="116"/>
      <c r="I767" s="116"/>
      <c r="J767" s="116"/>
      <c r="K767" s="116"/>
      <c r="L767" s="116"/>
      <c r="M767" s="116"/>
      <c r="N767" s="116"/>
      <c r="O767" s="116"/>
      <c r="P767" s="116"/>
      <c r="Q767" s="116"/>
      <c r="R767" s="116"/>
      <c r="S767" s="116"/>
      <c r="T767" s="116"/>
      <c r="U767" s="103"/>
      <c r="V767" s="103"/>
      <c r="W767" s="103"/>
      <c r="X767" s="103"/>
      <c r="Y767" s="103"/>
      <c r="Z767" s="103"/>
      <c r="AA767" s="103"/>
    </row>
    <row r="768" spans="1:27">
      <c r="A768" s="155"/>
      <c r="B768" s="116"/>
      <c r="C768" s="116"/>
      <c r="D768" s="116"/>
      <c r="E768" s="116"/>
      <c r="F768" s="116"/>
      <c r="G768" s="116"/>
      <c r="H768" s="116"/>
      <c r="I768" s="116"/>
      <c r="J768" s="116"/>
      <c r="K768" s="116"/>
      <c r="L768" s="116"/>
      <c r="M768" s="116"/>
      <c r="N768" s="116"/>
      <c r="O768" s="116"/>
      <c r="P768" s="116"/>
      <c r="Q768" s="116"/>
      <c r="R768" s="116"/>
      <c r="S768" s="116"/>
      <c r="T768" s="116"/>
      <c r="U768" s="103"/>
      <c r="V768" s="103"/>
      <c r="W768" s="103"/>
      <c r="X768" s="103"/>
      <c r="Y768" s="103"/>
      <c r="Z768" s="103"/>
      <c r="AA768" s="103"/>
    </row>
    <row r="769" spans="1:27">
      <c r="A769" s="155"/>
      <c r="B769" s="116"/>
      <c r="C769" s="116"/>
      <c r="D769" s="116"/>
      <c r="E769" s="116"/>
      <c r="F769" s="116"/>
      <c r="G769" s="116"/>
      <c r="H769" s="116"/>
      <c r="I769" s="116"/>
      <c r="J769" s="116"/>
      <c r="K769" s="116"/>
      <c r="L769" s="116"/>
      <c r="M769" s="116"/>
      <c r="N769" s="116"/>
      <c r="O769" s="116"/>
      <c r="P769" s="116"/>
      <c r="Q769" s="116"/>
      <c r="R769" s="116"/>
      <c r="S769" s="116"/>
      <c r="T769" s="116"/>
      <c r="U769" s="103"/>
      <c r="V769" s="103"/>
      <c r="W769" s="103"/>
      <c r="X769" s="103"/>
      <c r="Y769" s="103"/>
      <c r="Z769" s="103"/>
      <c r="AA769" s="103"/>
    </row>
    <row r="770" spans="1:27">
      <c r="A770" s="155"/>
      <c r="B770" s="116"/>
      <c r="C770" s="116"/>
      <c r="D770" s="116"/>
      <c r="E770" s="116"/>
      <c r="F770" s="116"/>
      <c r="G770" s="116"/>
      <c r="H770" s="116"/>
      <c r="I770" s="116"/>
      <c r="J770" s="116"/>
      <c r="K770" s="116"/>
      <c r="L770" s="116"/>
      <c r="M770" s="116"/>
      <c r="N770" s="116"/>
      <c r="O770" s="116"/>
      <c r="P770" s="116"/>
      <c r="Q770" s="116"/>
      <c r="R770" s="116"/>
      <c r="S770" s="116"/>
      <c r="T770" s="116"/>
      <c r="U770" s="103"/>
      <c r="V770" s="103"/>
      <c r="W770" s="103"/>
      <c r="X770" s="103"/>
      <c r="Y770" s="103"/>
      <c r="Z770" s="103"/>
      <c r="AA770" s="103"/>
    </row>
    <row r="771" spans="1:27">
      <c r="A771" s="155"/>
      <c r="B771" s="116"/>
      <c r="C771" s="116"/>
      <c r="D771" s="116"/>
      <c r="E771" s="116"/>
      <c r="F771" s="116"/>
      <c r="G771" s="116"/>
      <c r="H771" s="116"/>
      <c r="I771" s="116"/>
      <c r="J771" s="116"/>
      <c r="K771" s="116"/>
      <c r="L771" s="116"/>
      <c r="M771" s="116"/>
      <c r="N771" s="116"/>
      <c r="O771" s="116"/>
      <c r="P771" s="116"/>
      <c r="Q771" s="116"/>
      <c r="R771" s="116"/>
      <c r="S771" s="116"/>
      <c r="T771" s="116"/>
      <c r="U771" s="103"/>
      <c r="V771" s="103"/>
      <c r="W771" s="103"/>
      <c r="X771" s="103"/>
      <c r="Y771" s="103"/>
      <c r="Z771" s="103"/>
      <c r="AA771" s="103"/>
    </row>
    <row r="772" spans="1:27">
      <c r="A772" s="155"/>
      <c r="B772" s="116"/>
      <c r="C772" s="116"/>
      <c r="D772" s="116"/>
      <c r="E772" s="116"/>
      <c r="F772" s="116"/>
      <c r="G772" s="116"/>
      <c r="H772" s="116"/>
      <c r="I772" s="116"/>
      <c r="J772" s="116"/>
      <c r="K772" s="116"/>
      <c r="L772" s="116"/>
      <c r="M772" s="116"/>
      <c r="N772" s="116"/>
      <c r="O772" s="116"/>
      <c r="P772" s="116"/>
      <c r="Q772" s="116"/>
      <c r="R772" s="116"/>
      <c r="S772" s="116"/>
      <c r="T772" s="116"/>
      <c r="U772" s="103"/>
      <c r="V772" s="103"/>
      <c r="W772" s="103"/>
      <c r="X772" s="103"/>
      <c r="Y772" s="103"/>
      <c r="Z772" s="103"/>
      <c r="AA772" s="103"/>
    </row>
    <row r="773" spans="1:27">
      <c r="A773" s="155"/>
      <c r="B773" s="116"/>
      <c r="C773" s="116"/>
      <c r="D773" s="116"/>
      <c r="E773" s="116"/>
      <c r="F773" s="116"/>
      <c r="G773" s="116"/>
      <c r="H773" s="116"/>
      <c r="I773" s="116"/>
      <c r="J773" s="116"/>
      <c r="K773" s="116"/>
      <c r="L773" s="116"/>
      <c r="M773" s="116"/>
      <c r="N773" s="116"/>
      <c r="O773" s="116"/>
      <c r="P773" s="116"/>
      <c r="Q773" s="116"/>
      <c r="R773" s="116"/>
      <c r="S773" s="116"/>
      <c r="T773" s="116"/>
      <c r="U773" s="103"/>
      <c r="V773" s="103"/>
      <c r="W773" s="103"/>
      <c r="X773" s="103"/>
      <c r="Y773" s="103"/>
      <c r="Z773" s="103"/>
      <c r="AA773" s="103"/>
    </row>
    <row r="774" spans="1:27">
      <c r="A774" s="155"/>
      <c r="B774" s="116"/>
      <c r="C774" s="116"/>
      <c r="D774" s="116"/>
      <c r="E774" s="116"/>
      <c r="F774" s="116"/>
      <c r="G774" s="116"/>
      <c r="H774" s="116"/>
      <c r="I774" s="116"/>
      <c r="J774" s="116"/>
      <c r="K774" s="116"/>
      <c r="L774" s="116"/>
      <c r="M774" s="116"/>
      <c r="N774" s="116"/>
      <c r="O774" s="116"/>
      <c r="P774" s="116"/>
      <c r="Q774" s="116"/>
      <c r="R774" s="116"/>
      <c r="S774" s="116"/>
      <c r="T774" s="116"/>
      <c r="U774" s="103"/>
      <c r="V774" s="103"/>
      <c r="W774" s="103"/>
      <c r="X774" s="103"/>
      <c r="Y774" s="103"/>
      <c r="Z774" s="103"/>
      <c r="AA774" s="103"/>
    </row>
    <row r="775" spans="1:27">
      <c r="A775" s="155"/>
      <c r="B775" s="116"/>
      <c r="C775" s="116"/>
      <c r="D775" s="116"/>
      <c r="E775" s="116"/>
      <c r="F775" s="116"/>
      <c r="G775" s="116"/>
      <c r="H775" s="116"/>
      <c r="I775" s="116"/>
      <c r="J775" s="116"/>
      <c r="K775" s="116"/>
      <c r="L775" s="116"/>
      <c r="M775" s="116"/>
      <c r="N775" s="116"/>
      <c r="O775" s="116"/>
      <c r="P775" s="116"/>
      <c r="Q775" s="116"/>
      <c r="R775" s="116"/>
      <c r="S775" s="116"/>
      <c r="T775" s="116"/>
      <c r="U775" s="103"/>
      <c r="V775" s="103"/>
      <c r="W775" s="103"/>
      <c r="X775" s="103"/>
      <c r="Y775" s="103"/>
      <c r="Z775" s="103"/>
      <c r="AA775" s="103"/>
    </row>
    <row r="776" spans="1:27">
      <c r="A776" s="155"/>
      <c r="B776" s="116"/>
      <c r="C776" s="116"/>
      <c r="D776" s="116"/>
      <c r="E776" s="116"/>
      <c r="F776" s="116"/>
      <c r="G776" s="116"/>
      <c r="H776" s="116"/>
      <c r="I776" s="116"/>
      <c r="J776" s="116"/>
      <c r="K776" s="116"/>
      <c r="L776" s="116"/>
      <c r="M776" s="116"/>
      <c r="N776" s="116"/>
      <c r="O776" s="116"/>
      <c r="P776" s="116"/>
      <c r="Q776" s="116"/>
      <c r="R776" s="116"/>
      <c r="S776" s="116"/>
      <c r="T776" s="116"/>
      <c r="U776" s="103"/>
      <c r="V776" s="103"/>
      <c r="W776" s="103"/>
      <c r="X776" s="103"/>
      <c r="Y776" s="103"/>
      <c r="Z776" s="103"/>
      <c r="AA776" s="103"/>
    </row>
    <row r="777" spans="1:27">
      <c r="A777" s="155"/>
      <c r="B777" s="116"/>
      <c r="C777" s="116"/>
      <c r="D777" s="116"/>
      <c r="E777" s="116"/>
      <c r="F777" s="116"/>
      <c r="G777" s="116"/>
      <c r="H777" s="116"/>
      <c r="I777" s="116"/>
      <c r="J777" s="116"/>
      <c r="K777" s="116"/>
      <c r="L777" s="116"/>
      <c r="M777" s="116"/>
      <c r="N777" s="116"/>
      <c r="O777" s="116"/>
      <c r="P777" s="116"/>
      <c r="Q777" s="116"/>
      <c r="R777" s="116"/>
      <c r="S777" s="116"/>
      <c r="T777" s="116"/>
      <c r="U777" s="103"/>
      <c r="V777" s="103"/>
      <c r="W777" s="103"/>
      <c r="X777" s="103"/>
      <c r="Y777" s="103"/>
      <c r="Z777" s="103"/>
      <c r="AA777" s="103"/>
    </row>
    <row r="778" spans="1:27">
      <c r="A778" s="155"/>
      <c r="B778" s="116"/>
      <c r="C778" s="116"/>
      <c r="D778" s="116"/>
      <c r="E778" s="116"/>
      <c r="F778" s="116"/>
      <c r="G778" s="116"/>
      <c r="H778" s="116"/>
      <c r="I778" s="116"/>
      <c r="J778" s="116"/>
      <c r="K778" s="116"/>
      <c r="L778" s="116"/>
      <c r="M778" s="116"/>
      <c r="N778" s="116"/>
      <c r="O778" s="116"/>
      <c r="P778" s="116"/>
      <c r="Q778" s="116"/>
      <c r="R778" s="116"/>
      <c r="S778" s="116"/>
      <c r="T778" s="116"/>
      <c r="U778" s="103"/>
      <c r="V778" s="103"/>
      <c r="W778" s="103"/>
      <c r="X778" s="103"/>
      <c r="Y778" s="103"/>
      <c r="Z778" s="103"/>
      <c r="AA778" s="103"/>
    </row>
    <row r="779" spans="1:27">
      <c r="A779" s="155"/>
      <c r="B779" s="116"/>
      <c r="C779" s="116"/>
      <c r="D779" s="116"/>
      <c r="E779" s="116"/>
      <c r="F779" s="116"/>
      <c r="G779" s="116"/>
      <c r="H779" s="116"/>
      <c r="I779" s="116"/>
      <c r="J779" s="116"/>
      <c r="K779" s="116"/>
      <c r="L779" s="116"/>
      <c r="M779" s="116"/>
      <c r="N779" s="116"/>
      <c r="O779" s="116"/>
      <c r="P779" s="116"/>
      <c r="Q779" s="116"/>
      <c r="R779" s="116"/>
      <c r="S779" s="116"/>
      <c r="T779" s="116"/>
      <c r="U779" s="103"/>
      <c r="V779" s="103"/>
      <c r="W779" s="103"/>
      <c r="X779" s="103"/>
      <c r="Y779" s="103"/>
      <c r="Z779" s="103"/>
      <c r="AA779" s="103"/>
    </row>
    <row r="780" spans="1:27">
      <c r="A780" s="155"/>
      <c r="B780" s="116"/>
      <c r="C780" s="116"/>
      <c r="D780" s="116"/>
      <c r="E780" s="116"/>
      <c r="F780" s="116"/>
      <c r="G780" s="116"/>
      <c r="H780" s="116"/>
      <c r="I780" s="116"/>
      <c r="J780" s="116"/>
      <c r="K780" s="116"/>
      <c r="L780" s="116"/>
      <c r="M780" s="116"/>
      <c r="N780" s="116"/>
      <c r="O780" s="116"/>
      <c r="P780" s="116"/>
      <c r="Q780" s="116"/>
      <c r="R780" s="116"/>
      <c r="S780" s="116"/>
      <c r="T780" s="116"/>
      <c r="U780" s="103"/>
      <c r="V780" s="103"/>
      <c r="W780" s="103"/>
      <c r="X780" s="103"/>
      <c r="Y780" s="103"/>
      <c r="Z780" s="103"/>
      <c r="AA780" s="103"/>
    </row>
    <row r="781" spans="1:27">
      <c r="A781" s="155"/>
      <c r="B781" s="116"/>
      <c r="C781" s="116"/>
      <c r="D781" s="116"/>
      <c r="E781" s="116"/>
      <c r="F781" s="116"/>
      <c r="G781" s="116"/>
      <c r="H781" s="116"/>
      <c r="I781" s="116"/>
      <c r="J781" s="116"/>
      <c r="K781" s="116"/>
      <c r="L781" s="116"/>
      <c r="M781" s="116"/>
      <c r="N781" s="116"/>
      <c r="O781" s="116"/>
      <c r="P781" s="116"/>
      <c r="Q781" s="116"/>
      <c r="R781" s="116"/>
      <c r="S781" s="116"/>
      <c r="T781" s="116"/>
      <c r="U781" s="103"/>
      <c r="V781" s="103"/>
      <c r="W781" s="103"/>
      <c r="X781" s="103"/>
      <c r="Y781" s="103"/>
      <c r="Z781" s="103"/>
      <c r="AA781" s="103"/>
    </row>
    <row r="782" spans="1:27">
      <c r="A782" s="155"/>
      <c r="B782" s="116"/>
      <c r="C782" s="116"/>
      <c r="D782" s="116"/>
      <c r="E782" s="116"/>
      <c r="F782" s="116"/>
      <c r="G782" s="116"/>
      <c r="H782" s="116"/>
      <c r="I782" s="116"/>
      <c r="J782" s="116"/>
      <c r="K782" s="116"/>
      <c r="L782" s="116"/>
      <c r="M782" s="116"/>
      <c r="N782" s="116"/>
      <c r="O782" s="116"/>
      <c r="P782" s="116"/>
      <c r="Q782" s="116"/>
      <c r="R782" s="116"/>
      <c r="S782" s="116"/>
      <c r="T782" s="116"/>
      <c r="U782" s="103"/>
      <c r="V782" s="103"/>
      <c r="W782" s="103"/>
      <c r="X782" s="103"/>
      <c r="Y782" s="103"/>
      <c r="Z782" s="103"/>
      <c r="AA782" s="103"/>
    </row>
    <row r="783" spans="1:27">
      <c r="A783" s="155"/>
      <c r="B783" s="116"/>
      <c r="C783" s="116"/>
      <c r="D783" s="116"/>
      <c r="E783" s="116"/>
      <c r="F783" s="116"/>
      <c r="G783" s="116"/>
      <c r="H783" s="116"/>
      <c r="I783" s="116"/>
      <c r="J783" s="116"/>
      <c r="K783" s="116"/>
      <c r="L783" s="116"/>
      <c r="M783" s="116"/>
      <c r="N783" s="116"/>
      <c r="O783" s="116"/>
      <c r="P783" s="116"/>
      <c r="Q783" s="116"/>
      <c r="R783" s="116"/>
      <c r="S783" s="116"/>
      <c r="T783" s="116"/>
      <c r="U783" s="103"/>
      <c r="V783" s="103"/>
      <c r="W783" s="103"/>
      <c r="X783" s="103"/>
      <c r="Y783" s="103"/>
      <c r="Z783" s="103"/>
      <c r="AA783" s="103"/>
    </row>
    <row r="784" spans="1:27">
      <c r="A784" s="155"/>
      <c r="B784" s="116"/>
      <c r="C784" s="116"/>
      <c r="D784" s="116"/>
      <c r="E784" s="116"/>
      <c r="F784" s="116"/>
      <c r="G784" s="116"/>
      <c r="H784" s="116"/>
      <c r="I784" s="116"/>
      <c r="J784" s="116"/>
      <c r="K784" s="116"/>
      <c r="L784" s="116"/>
      <c r="M784" s="116"/>
      <c r="N784" s="116"/>
      <c r="O784" s="116"/>
      <c r="P784" s="116"/>
      <c r="Q784" s="116"/>
      <c r="R784" s="116"/>
      <c r="S784" s="116"/>
      <c r="T784" s="116"/>
      <c r="U784" s="103"/>
      <c r="V784" s="103"/>
      <c r="W784" s="103"/>
      <c r="X784" s="103"/>
      <c r="Y784" s="103"/>
      <c r="Z784" s="103"/>
      <c r="AA784" s="103"/>
    </row>
    <row r="785" spans="1:27">
      <c r="A785" s="155"/>
      <c r="B785" s="116"/>
      <c r="C785" s="116"/>
      <c r="D785" s="116"/>
      <c r="E785" s="116"/>
      <c r="F785" s="116"/>
      <c r="G785" s="116"/>
      <c r="H785" s="116"/>
      <c r="I785" s="116"/>
      <c r="J785" s="116"/>
      <c r="K785" s="116"/>
      <c r="L785" s="116"/>
      <c r="M785" s="116"/>
      <c r="N785" s="116"/>
      <c r="O785" s="116"/>
      <c r="P785" s="116"/>
      <c r="Q785" s="116"/>
      <c r="R785" s="116"/>
      <c r="S785" s="116"/>
      <c r="T785" s="116"/>
      <c r="U785" s="103"/>
      <c r="V785" s="103"/>
      <c r="W785" s="103"/>
      <c r="X785" s="103"/>
      <c r="Y785" s="103"/>
      <c r="Z785" s="103"/>
      <c r="AA785" s="103"/>
    </row>
    <row r="786" spans="1:27">
      <c r="A786" s="155"/>
      <c r="B786" s="116"/>
      <c r="C786" s="116"/>
      <c r="D786" s="116"/>
      <c r="E786" s="116"/>
      <c r="F786" s="116"/>
      <c r="G786" s="116"/>
      <c r="H786" s="116"/>
      <c r="I786" s="116"/>
      <c r="J786" s="116"/>
      <c r="K786" s="116"/>
      <c r="L786" s="116"/>
      <c r="M786" s="116"/>
      <c r="N786" s="116"/>
      <c r="O786" s="116"/>
      <c r="P786" s="116"/>
      <c r="Q786" s="116"/>
      <c r="R786" s="116"/>
      <c r="S786" s="116"/>
      <c r="T786" s="116"/>
      <c r="U786" s="103"/>
      <c r="V786" s="103"/>
      <c r="W786" s="103"/>
      <c r="X786" s="103"/>
      <c r="Y786" s="103"/>
      <c r="Z786" s="103"/>
      <c r="AA786" s="103"/>
    </row>
    <row r="787" spans="1:27">
      <c r="A787" s="155"/>
      <c r="B787" s="116"/>
      <c r="C787" s="116"/>
      <c r="D787" s="116"/>
      <c r="E787" s="116"/>
      <c r="F787" s="116"/>
      <c r="G787" s="116"/>
      <c r="H787" s="116"/>
      <c r="I787" s="116"/>
      <c r="J787" s="116"/>
      <c r="K787" s="116"/>
      <c r="L787" s="116"/>
      <c r="M787" s="116"/>
      <c r="N787" s="116"/>
      <c r="O787" s="116"/>
      <c r="P787" s="116"/>
      <c r="Q787" s="116"/>
      <c r="R787" s="116"/>
      <c r="S787" s="116"/>
      <c r="T787" s="116"/>
      <c r="U787" s="103"/>
      <c r="V787" s="103"/>
      <c r="W787" s="103"/>
      <c r="X787" s="103"/>
      <c r="Y787" s="103"/>
      <c r="Z787" s="103"/>
      <c r="AA787" s="103"/>
    </row>
    <row r="788" spans="1:27">
      <c r="A788" s="155"/>
      <c r="B788" s="116"/>
      <c r="C788" s="116"/>
      <c r="D788" s="116"/>
      <c r="E788" s="116"/>
      <c r="F788" s="116"/>
      <c r="G788" s="116"/>
      <c r="H788" s="116"/>
      <c r="I788" s="116"/>
      <c r="J788" s="116"/>
      <c r="K788" s="116"/>
      <c r="L788" s="116"/>
      <c r="M788" s="116"/>
      <c r="N788" s="116"/>
      <c r="O788" s="116"/>
      <c r="P788" s="116"/>
      <c r="Q788" s="116"/>
      <c r="R788" s="116"/>
      <c r="S788" s="116"/>
      <c r="T788" s="116"/>
      <c r="U788" s="103"/>
      <c r="V788" s="103"/>
      <c r="W788" s="103"/>
      <c r="X788" s="103"/>
      <c r="Y788" s="103"/>
      <c r="Z788" s="103"/>
      <c r="AA788" s="103"/>
    </row>
    <row r="789" spans="1:27">
      <c r="A789" s="155"/>
      <c r="B789" s="116"/>
      <c r="C789" s="116"/>
      <c r="D789" s="116"/>
      <c r="E789" s="116"/>
      <c r="F789" s="116"/>
      <c r="G789" s="116"/>
      <c r="H789" s="116"/>
      <c r="I789" s="116"/>
      <c r="J789" s="116"/>
      <c r="K789" s="116"/>
      <c r="L789" s="116"/>
      <c r="M789" s="116"/>
      <c r="N789" s="116"/>
      <c r="O789" s="116"/>
      <c r="P789" s="116"/>
      <c r="Q789" s="116"/>
      <c r="R789" s="116"/>
      <c r="S789" s="116"/>
      <c r="T789" s="116"/>
      <c r="U789" s="103"/>
      <c r="V789" s="103"/>
      <c r="W789" s="103"/>
      <c r="X789" s="103"/>
      <c r="Y789" s="103"/>
      <c r="Z789" s="103"/>
      <c r="AA789" s="103"/>
    </row>
    <row r="790" spans="1:27">
      <c r="A790" s="155"/>
      <c r="B790" s="116"/>
      <c r="C790" s="116"/>
      <c r="D790" s="116"/>
      <c r="E790" s="116"/>
      <c r="F790" s="116"/>
      <c r="G790" s="116"/>
      <c r="H790" s="116"/>
      <c r="I790" s="116"/>
      <c r="J790" s="116"/>
      <c r="K790" s="116"/>
      <c r="L790" s="116"/>
      <c r="M790" s="116"/>
      <c r="N790" s="116"/>
      <c r="O790" s="116"/>
      <c r="P790" s="116"/>
      <c r="Q790" s="116"/>
      <c r="R790" s="116"/>
      <c r="S790" s="116"/>
      <c r="T790" s="116"/>
      <c r="U790" s="103"/>
      <c r="V790" s="103"/>
      <c r="W790" s="103"/>
      <c r="X790" s="103"/>
      <c r="Y790" s="103"/>
      <c r="Z790" s="103"/>
      <c r="AA790" s="103"/>
    </row>
    <row r="791" spans="1:27">
      <c r="A791" s="155"/>
      <c r="B791" s="116"/>
      <c r="C791" s="116"/>
      <c r="D791" s="116"/>
      <c r="E791" s="116"/>
      <c r="F791" s="116"/>
      <c r="G791" s="116"/>
      <c r="H791" s="116"/>
      <c r="I791" s="116"/>
      <c r="J791" s="116"/>
      <c r="K791" s="116"/>
      <c r="L791" s="116"/>
      <c r="M791" s="116"/>
      <c r="N791" s="116"/>
      <c r="O791" s="116"/>
      <c r="P791" s="116"/>
      <c r="Q791" s="116"/>
      <c r="R791" s="116"/>
      <c r="S791" s="116"/>
      <c r="T791" s="116"/>
      <c r="U791" s="103"/>
      <c r="V791" s="103"/>
      <c r="W791" s="103"/>
      <c r="X791" s="103"/>
      <c r="Y791" s="103"/>
      <c r="Z791" s="103"/>
      <c r="AA791" s="103"/>
    </row>
    <row r="792" spans="1:27">
      <c r="A792" s="155"/>
      <c r="B792" s="116"/>
      <c r="C792" s="116"/>
      <c r="D792" s="116"/>
      <c r="E792" s="116"/>
      <c r="F792" s="116"/>
      <c r="G792" s="116"/>
      <c r="H792" s="116"/>
      <c r="I792" s="116"/>
      <c r="J792" s="116"/>
      <c r="K792" s="116"/>
      <c r="L792" s="116"/>
      <c r="M792" s="116"/>
      <c r="N792" s="116"/>
      <c r="O792" s="116"/>
      <c r="P792" s="116"/>
      <c r="Q792" s="116"/>
      <c r="R792" s="116"/>
      <c r="S792" s="116"/>
      <c r="T792" s="116"/>
      <c r="U792" s="103"/>
      <c r="V792" s="103"/>
      <c r="W792" s="103"/>
      <c r="X792" s="103"/>
      <c r="Y792" s="103"/>
      <c r="Z792" s="103"/>
      <c r="AA792" s="103"/>
    </row>
    <row r="793" spans="1:27">
      <c r="A793" s="155"/>
      <c r="B793" s="116"/>
      <c r="C793" s="116"/>
      <c r="D793" s="116"/>
      <c r="E793" s="116"/>
      <c r="F793" s="116"/>
      <c r="G793" s="116"/>
      <c r="H793" s="116"/>
      <c r="I793" s="116"/>
      <c r="J793" s="116"/>
      <c r="K793" s="116"/>
      <c r="L793" s="116"/>
      <c r="M793" s="116"/>
      <c r="N793" s="116"/>
      <c r="O793" s="116"/>
      <c r="P793" s="116"/>
      <c r="Q793" s="116"/>
      <c r="R793" s="116"/>
      <c r="S793" s="116"/>
      <c r="T793" s="116"/>
      <c r="U793" s="103"/>
      <c r="V793" s="103"/>
      <c r="W793" s="103"/>
      <c r="X793" s="103"/>
      <c r="Y793" s="103"/>
      <c r="Z793" s="103"/>
      <c r="AA793" s="103"/>
    </row>
    <row r="794" spans="1:27">
      <c r="A794" s="155"/>
      <c r="B794" s="116"/>
      <c r="C794" s="116"/>
      <c r="D794" s="116"/>
      <c r="E794" s="116"/>
      <c r="F794" s="116"/>
      <c r="G794" s="116"/>
      <c r="H794" s="116"/>
      <c r="I794" s="116"/>
      <c r="J794" s="116"/>
      <c r="K794" s="116"/>
      <c r="L794" s="116"/>
      <c r="M794" s="116"/>
      <c r="N794" s="116"/>
      <c r="O794" s="116"/>
      <c r="P794" s="116"/>
      <c r="Q794" s="116"/>
      <c r="R794" s="116"/>
      <c r="S794" s="116"/>
      <c r="T794" s="116"/>
      <c r="U794" s="103"/>
      <c r="V794" s="103"/>
      <c r="W794" s="103"/>
      <c r="X794" s="103"/>
      <c r="Y794" s="103"/>
      <c r="Z794" s="103"/>
      <c r="AA794" s="103"/>
    </row>
    <row r="795" spans="1:27">
      <c r="A795" s="155"/>
      <c r="B795" s="116"/>
      <c r="C795" s="116"/>
      <c r="D795" s="116"/>
      <c r="E795" s="116"/>
      <c r="F795" s="116"/>
      <c r="G795" s="116"/>
      <c r="H795" s="116"/>
      <c r="I795" s="116"/>
      <c r="J795" s="116"/>
      <c r="K795" s="116"/>
      <c r="L795" s="116"/>
      <c r="M795" s="116"/>
      <c r="N795" s="116"/>
      <c r="O795" s="116"/>
      <c r="P795" s="116"/>
      <c r="Q795" s="116"/>
      <c r="R795" s="116"/>
      <c r="S795" s="116"/>
      <c r="T795" s="116"/>
      <c r="U795" s="103"/>
      <c r="V795" s="103"/>
      <c r="W795" s="103"/>
      <c r="X795" s="103"/>
      <c r="Y795" s="103"/>
      <c r="Z795" s="103"/>
      <c r="AA795" s="103"/>
    </row>
    <row r="796" spans="1:27">
      <c r="A796" s="155"/>
      <c r="B796" s="116"/>
      <c r="C796" s="116"/>
      <c r="D796" s="116"/>
      <c r="E796" s="116"/>
      <c r="F796" s="116"/>
      <c r="G796" s="116"/>
      <c r="H796" s="116"/>
      <c r="I796" s="116"/>
      <c r="J796" s="116"/>
      <c r="K796" s="116"/>
      <c r="L796" s="116"/>
      <c r="M796" s="116"/>
      <c r="N796" s="116"/>
      <c r="O796" s="116"/>
      <c r="P796" s="116"/>
      <c r="Q796" s="116"/>
      <c r="R796" s="116"/>
      <c r="S796" s="116"/>
      <c r="T796" s="116"/>
      <c r="U796" s="103"/>
      <c r="V796" s="103"/>
      <c r="W796" s="103"/>
      <c r="X796" s="103"/>
      <c r="Y796" s="103"/>
      <c r="Z796" s="103"/>
      <c r="AA796" s="103"/>
    </row>
    <row r="797" spans="1:27">
      <c r="A797" s="155"/>
      <c r="B797" s="116"/>
      <c r="C797" s="116"/>
      <c r="D797" s="116"/>
      <c r="E797" s="116"/>
      <c r="F797" s="116"/>
      <c r="G797" s="116"/>
      <c r="H797" s="116"/>
      <c r="I797" s="116"/>
      <c r="J797" s="116"/>
      <c r="K797" s="116"/>
      <c r="L797" s="116"/>
      <c r="M797" s="116"/>
      <c r="N797" s="116"/>
      <c r="O797" s="116"/>
      <c r="P797" s="116"/>
      <c r="Q797" s="116"/>
      <c r="R797" s="116"/>
      <c r="S797" s="116"/>
      <c r="T797" s="116"/>
      <c r="U797" s="103"/>
      <c r="V797" s="103"/>
      <c r="W797" s="103"/>
      <c r="X797" s="103"/>
      <c r="Y797" s="103"/>
      <c r="Z797" s="103"/>
      <c r="AA797" s="103"/>
    </row>
    <row r="798" spans="1:27">
      <c r="A798" s="155"/>
      <c r="B798" s="116"/>
      <c r="C798" s="116"/>
      <c r="D798" s="116"/>
      <c r="E798" s="116"/>
      <c r="F798" s="116"/>
      <c r="G798" s="116"/>
      <c r="H798" s="116"/>
      <c r="I798" s="116"/>
      <c r="J798" s="116"/>
      <c r="K798" s="116"/>
      <c r="L798" s="116"/>
      <c r="M798" s="116"/>
      <c r="N798" s="116"/>
      <c r="O798" s="116"/>
      <c r="P798" s="116"/>
      <c r="Q798" s="116"/>
      <c r="R798" s="116"/>
      <c r="S798" s="116"/>
      <c r="T798" s="116"/>
      <c r="U798" s="103"/>
      <c r="V798" s="103"/>
      <c r="W798" s="103"/>
      <c r="X798" s="103"/>
      <c r="Y798" s="103"/>
      <c r="Z798" s="103"/>
      <c r="AA798" s="103"/>
    </row>
    <row r="799" spans="1:27">
      <c r="A799" s="155"/>
      <c r="B799" s="116"/>
      <c r="C799" s="116"/>
      <c r="D799" s="116"/>
      <c r="E799" s="116"/>
      <c r="F799" s="116"/>
      <c r="G799" s="116"/>
      <c r="H799" s="116"/>
      <c r="I799" s="116"/>
      <c r="J799" s="116"/>
      <c r="K799" s="116"/>
      <c r="L799" s="116"/>
      <c r="M799" s="116"/>
      <c r="N799" s="116"/>
      <c r="O799" s="116"/>
      <c r="P799" s="116"/>
      <c r="Q799" s="116"/>
      <c r="R799" s="116"/>
      <c r="S799" s="116"/>
      <c r="T799" s="116"/>
      <c r="U799" s="103"/>
      <c r="V799" s="103"/>
      <c r="W799" s="103"/>
      <c r="X799" s="103"/>
      <c r="Y799" s="103"/>
      <c r="Z799" s="103"/>
      <c r="AA799" s="103"/>
    </row>
    <row r="800" spans="1:27">
      <c r="A800" s="155"/>
      <c r="B800" s="116"/>
      <c r="C800" s="116"/>
      <c r="D800" s="116"/>
      <c r="E800" s="116"/>
      <c r="F800" s="116"/>
      <c r="G800" s="116"/>
      <c r="H800" s="116"/>
      <c r="I800" s="116"/>
      <c r="J800" s="116"/>
      <c r="K800" s="116"/>
      <c r="L800" s="116"/>
      <c r="M800" s="116"/>
      <c r="N800" s="116"/>
      <c r="O800" s="116"/>
      <c r="P800" s="116"/>
      <c r="Q800" s="116"/>
      <c r="R800" s="116"/>
      <c r="S800" s="116"/>
      <c r="T800" s="116"/>
      <c r="U800" s="103"/>
      <c r="V800" s="103"/>
      <c r="W800" s="103"/>
      <c r="X800" s="103"/>
      <c r="Y800" s="103"/>
      <c r="Z800" s="103"/>
      <c r="AA800" s="103"/>
    </row>
    <row r="801" spans="1:27">
      <c r="A801" s="155"/>
      <c r="B801" s="116"/>
      <c r="C801" s="116"/>
      <c r="D801" s="116"/>
      <c r="E801" s="116"/>
      <c r="F801" s="116"/>
      <c r="G801" s="116"/>
      <c r="H801" s="116"/>
      <c r="I801" s="116"/>
      <c r="J801" s="116"/>
      <c r="K801" s="116"/>
      <c r="L801" s="116"/>
      <c r="M801" s="116"/>
      <c r="N801" s="116"/>
      <c r="O801" s="116"/>
      <c r="P801" s="116"/>
      <c r="Q801" s="116"/>
      <c r="R801" s="116"/>
      <c r="S801" s="116"/>
      <c r="T801" s="116"/>
      <c r="U801" s="103"/>
      <c r="V801" s="103"/>
      <c r="W801" s="103"/>
      <c r="X801" s="103"/>
      <c r="Y801" s="103"/>
      <c r="Z801" s="103"/>
      <c r="AA801" s="103"/>
    </row>
    <row r="802" spans="1:27">
      <c r="A802" s="155"/>
      <c r="B802" s="116"/>
      <c r="C802" s="116"/>
      <c r="D802" s="116"/>
      <c r="E802" s="116"/>
      <c r="F802" s="116"/>
      <c r="G802" s="116"/>
      <c r="H802" s="116"/>
      <c r="I802" s="116"/>
      <c r="J802" s="116"/>
      <c r="K802" s="116"/>
      <c r="L802" s="116"/>
      <c r="M802" s="116"/>
      <c r="N802" s="116"/>
      <c r="O802" s="116"/>
      <c r="P802" s="116"/>
      <c r="Q802" s="116"/>
      <c r="R802" s="116"/>
      <c r="S802" s="116"/>
      <c r="T802" s="116"/>
      <c r="U802" s="103"/>
      <c r="V802" s="103"/>
      <c r="W802" s="103"/>
      <c r="X802" s="103"/>
      <c r="Y802" s="103"/>
      <c r="Z802" s="103"/>
      <c r="AA802" s="103"/>
    </row>
    <row r="803" spans="1:27">
      <c r="A803" s="155"/>
      <c r="B803" s="116"/>
      <c r="C803" s="116"/>
      <c r="D803" s="116"/>
      <c r="E803" s="116"/>
      <c r="F803" s="116"/>
      <c r="G803" s="116"/>
      <c r="H803" s="116"/>
      <c r="I803" s="116"/>
      <c r="J803" s="116"/>
      <c r="K803" s="116"/>
      <c r="L803" s="116"/>
      <c r="M803" s="116"/>
      <c r="N803" s="116"/>
      <c r="O803" s="116"/>
      <c r="P803" s="116"/>
      <c r="Q803" s="116"/>
      <c r="R803" s="116"/>
      <c r="S803" s="116"/>
      <c r="T803" s="116"/>
      <c r="U803" s="103"/>
      <c r="V803" s="103"/>
      <c r="W803" s="103"/>
      <c r="X803" s="103"/>
      <c r="Y803" s="103"/>
      <c r="Z803" s="103"/>
      <c r="AA803" s="103"/>
    </row>
    <row r="804" spans="1:27">
      <c r="A804" s="155"/>
      <c r="B804" s="116"/>
      <c r="C804" s="116"/>
      <c r="D804" s="116"/>
      <c r="E804" s="116"/>
      <c r="F804" s="116"/>
      <c r="G804" s="116"/>
      <c r="H804" s="116"/>
      <c r="I804" s="116"/>
      <c r="J804" s="116"/>
      <c r="K804" s="116"/>
      <c r="L804" s="116"/>
      <c r="M804" s="116"/>
      <c r="N804" s="116"/>
      <c r="O804" s="116"/>
      <c r="P804" s="116"/>
      <c r="Q804" s="116"/>
      <c r="R804" s="116"/>
      <c r="S804" s="116"/>
      <c r="T804" s="116"/>
      <c r="U804" s="103"/>
      <c r="V804" s="103"/>
      <c r="W804" s="103"/>
      <c r="X804" s="103"/>
      <c r="Y804" s="103"/>
      <c r="Z804" s="103"/>
      <c r="AA804" s="103"/>
    </row>
    <row r="805" spans="1:27">
      <c r="A805" s="155"/>
      <c r="B805" s="116"/>
      <c r="C805" s="116"/>
      <c r="D805" s="116"/>
      <c r="E805" s="116"/>
      <c r="F805" s="116"/>
      <c r="G805" s="116"/>
      <c r="H805" s="116"/>
      <c r="I805" s="116"/>
      <c r="J805" s="116"/>
      <c r="K805" s="116"/>
      <c r="L805" s="116"/>
      <c r="M805" s="116"/>
      <c r="N805" s="116"/>
      <c r="O805" s="116"/>
      <c r="P805" s="116"/>
      <c r="Q805" s="116"/>
      <c r="R805" s="116"/>
      <c r="S805" s="116"/>
      <c r="T805" s="116"/>
      <c r="U805" s="103"/>
      <c r="V805" s="103"/>
      <c r="W805" s="103"/>
      <c r="X805" s="103"/>
      <c r="Y805" s="103"/>
      <c r="Z805" s="103"/>
      <c r="AA805" s="103"/>
    </row>
    <row r="806" spans="1:27">
      <c r="A806" s="155"/>
      <c r="B806" s="116"/>
      <c r="C806" s="116"/>
      <c r="D806" s="116"/>
      <c r="E806" s="116"/>
      <c r="F806" s="116"/>
      <c r="G806" s="116"/>
      <c r="H806" s="116"/>
      <c r="I806" s="116"/>
      <c r="J806" s="116"/>
      <c r="K806" s="116"/>
      <c r="L806" s="116"/>
      <c r="M806" s="116"/>
      <c r="N806" s="116"/>
      <c r="O806" s="116"/>
      <c r="P806" s="116"/>
      <c r="Q806" s="116"/>
      <c r="R806" s="116"/>
      <c r="S806" s="116"/>
      <c r="T806" s="116"/>
      <c r="U806" s="103"/>
      <c r="V806" s="103"/>
      <c r="W806" s="103"/>
      <c r="X806" s="103"/>
      <c r="Y806" s="103"/>
      <c r="Z806" s="103"/>
      <c r="AA806" s="103"/>
    </row>
    <row r="807" spans="1:27">
      <c r="A807" s="155"/>
      <c r="B807" s="116"/>
      <c r="C807" s="116"/>
      <c r="D807" s="116"/>
      <c r="E807" s="116"/>
      <c r="F807" s="116"/>
      <c r="G807" s="116"/>
      <c r="H807" s="116"/>
      <c r="I807" s="116"/>
      <c r="J807" s="116"/>
      <c r="K807" s="116"/>
      <c r="L807" s="116"/>
      <c r="M807" s="116"/>
      <c r="N807" s="116"/>
      <c r="O807" s="116"/>
      <c r="P807" s="116"/>
      <c r="Q807" s="116"/>
      <c r="R807" s="116"/>
      <c r="S807" s="116"/>
      <c r="T807" s="116"/>
      <c r="U807" s="103"/>
      <c r="V807" s="103"/>
      <c r="W807" s="103"/>
      <c r="X807" s="103"/>
      <c r="Y807" s="103"/>
      <c r="Z807" s="103"/>
      <c r="AA807" s="103"/>
    </row>
    <row r="808" spans="1:27">
      <c r="A808" s="155"/>
      <c r="B808" s="116"/>
      <c r="C808" s="116"/>
      <c r="D808" s="116"/>
      <c r="E808" s="116"/>
      <c r="F808" s="116"/>
      <c r="G808" s="116"/>
      <c r="H808" s="116"/>
      <c r="I808" s="116"/>
      <c r="J808" s="116"/>
      <c r="K808" s="116"/>
      <c r="L808" s="116"/>
      <c r="M808" s="116"/>
      <c r="N808" s="116"/>
      <c r="O808" s="116"/>
      <c r="P808" s="116"/>
      <c r="Q808" s="116"/>
      <c r="R808" s="116"/>
      <c r="S808" s="116"/>
      <c r="T808" s="116"/>
      <c r="U808" s="103"/>
      <c r="V808" s="103"/>
      <c r="W808" s="103"/>
      <c r="X808" s="103"/>
      <c r="Y808" s="103"/>
      <c r="Z808" s="103"/>
      <c r="AA808" s="103"/>
    </row>
    <row r="809" spans="1:27">
      <c r="A809" s="155"/>
      <c r="B809" s="116"/>
      <c r="C809" s="116"/>
      <c r="D809" s="116"/>
      <c r="E809" s="116"/>
      <c r="F809" s="116"/>
      <c r="G809" s="116"/>
      <c r="H809" s="116"/>
      <c r="I809" s="116"/>
      <c r="J809" s="116"/>
      <c r="K809" s="116"/>
      <c r="L809" s="116"/>
      <c r="M809" s="116"/>
      <c r="N809" s="116"/>
      <c r="O809" s="116"/>
      <c r="P809" s="116"/>
      <c r="Q809" s="116"/>
      <c r="R809" s="116"/>
      <c r="S809" s="116"/>
      <c r="T809" s="116"/>
      <c r="U809" s="103"/>
      <c r="V809" s="103"/>
      <c r="W809" s="103"/>
      <c r="X809" s="103"/>
      <c r="Y809" s="103"/>
      <c r="Z809" s="103"/>
      <c r="AA809" s="103"/>
    </row>
    <row r="810" spans="1:27">
      <c r="A810" s="155"/>
      <c r="B810" s="116"/>
      <c r="C810" s="116"/>
      <c r="D810" s="116"/>
      <c r="E810" s="116"/>
      <c r="F810" s="116"/>
      <c r="G810" s="116"/>
      <c r="H810" s="116"/>
      <c r="I810" s="116"/>
      <c r="J810" s="116"/>
      <c r="K810" s="116"/>
      <c r="L810" s="116"/>
      <c r="M810" s="116"/>
      <c r="N810" s="116"/>
      <c r="O810" s="116"/>
      <c r="P810" s="116"/>
      <c r="Q810" s="116"/>
      <c r="R810" s="116"/>
      <c r="S810" s="116"/>
      <c r="T810" s="116"/>
      <c r="U810" s="103"/>
      <c r="V810" s="103"/>
      <c r="W810" s="103"/>
      <c r="X810" s="103"/>
      <c r="Y810" s="103"/>
      <c r="Z810" s="103"/>
      <c r="AA810" s="103"/>
    </row>
    <row r="811" spans="1:27">
      <c r="A811" s="155"/>
      <c r="B811" s="116"/>
      <c r="C811" s="116"/>
      <c r="D811" s="116"/>
      <c r="E811" s="116"/>
      <c r="F811" s="116"/>
      <c r="G811" s="116"/>
      <c r="H811" s="116"/>
      <c r="I811" s="116"/>
      <c r="J811" s="116"/>
      <c r="K811" s="116"/>
      <c r="L811" s="116"/>
      <c r="M811" s="116"/>
      <c r="N811" s="116"/>
      <c r="O811" s="116"/>
      <c r="P811" s="116"/>
      <c r="Q811" s="116"/>
      <c r="R811" s="116"/>
      <c r="S811" s="116"/>
      <c r="T811" s="116"/>
      <c r="U811" s="103"/>
      <c r="V811" s="103"/>
      <c r="W811" s="103"/>
      <c r="X811" s="103"/>
      <c r="Y811" s="103"/>
      <c r="Z811" s="103"/>
      <c r="AA811" s="103"/>
    </row>
    <row r="812" spans="1:27">
      <c r="A812" s="155"/>
      <c r="B812" s="116"/>
      <c r="C812" s="116"/>
      <c r="D812" s="116"/>
      <c r="E812" s="116"/>
      <c r="F812" s="116"/>
      <c r="G812" s="116"/>
      <c r="H812" s="116"/>
      <c r="I812" s="116"/>
      <c r="J812" s="116"/>
      <c r="K812" s="116"/>
      <c r="L812" s="116"/>
      <c r="M812" s="116"/>
      <c r="N812" s="116"/>
      <c r="O812" s="116"/>
      <c r="P812" s="116"/>
      <c r="Q812" s="116"/>
      <c r="R812" s="116"/>
      <c r="S812" s="116"/>
      <c r="T812" s="116"/>
      <c r="U812" s="103"/>
      <c r="V812" s="103"/>
      <c r="W812" s="103"/>
      <c r="X812" s="103"/>
      <c r="Y812" s="103"/>
      <c r="Z812" s="103"/>
      <c r="AA812" s="103"/>
    </row>
    <row r="813" spans="1:27">
      <c r="A813" s="155"/>
      <c r="B813" s="116"/>
      <c r="C813" s="116"/>
      <c r="D813" s="116"/>
      <c r="E813" s="116"/>
      <c r="F813" s="116"/>
      <c r="G813" s="116"/>
      <c r="H813" s="116"/>
      <c r="I813" s="116"/>
      <c r="J813" s="116"/>
      <c r="K813" s="116"/>
      <c r="L813" s="116"/>
      <c r="M813" s="116"/>
      <c r="N813" s="116"/>
      <c r="O813" s="116"/>
      <c r="P813" s="116"/>
      <c r="Q813" s="116"/>
      <c r="R813" s="116"/>
      <c r="S813" s="116"/>
      <c r="T813" s="116"/>
      <c r="U813" s="103"/>
      <c r="V813" s="103"/>
      <c r="W813" s="103"/>
      <c r="X813" s="103"/>
      <c r="Y813" s="103"/>
      <c r="Z813" s="103"/>
      <c r="AA813" s="103"/>
    </row>
    <row r="814" spans="1:27">
      <c r="A814" s="155"/>
      <c r="B814" s="116"/>
      <c r="C814" s="116"/>
      <c r="D814" s="116"/>
      <c r="E814" s="116"/>
      <c r="F814" s="116"/>
      <c r="G814" s="116"/>
      <c r="H814" s="116"/>
      <c r="I814" s="116"/>
      <c r="J814" s="116"/>
      <c r="K814" s="116"/>
      <c r="L814" s="116"/>
      <c r="M814" s="116"/>
      <c r="N814" s="116"/>
      <c r="O814" s="116"/>
      <c r="P814" s="116"/>
      <c r="Q814" s="116"/>
      <c r="R814" s="116"/>
      <c r="S814" s="116"/>
      <c r="T814" s="116"/>
      <c r="U814" s="103"/>
      <c r="V814" s="103"/>
      <c r="W814" s="103"/>
      <c r="X814" s="103"/>
      <c r="Y814" s="103"/>
      <c r="Z814" s="103"/>
      <c r="AA814" s="103"/>
    </row>
    <row r="815" spans="1:27">
      <c r="A815" s="155"/>
      <c r="B815" s="116"/>
      <c r="C815" s="116"/>
      <c r="D815" s="116"/>
      <c r="E815" s="116"/>
      <c r="F815" s="116"/>
      <c r="G815" s="116"/>
      <c r="H815" s="116"/>
      <c r="I815" s="116"/>
      <c r="J815" s="116"/>
      <c r="K815" s="116"/>
      <c r="L815" s="116"/>
      <c r="M815" s="116"/>
      <c r="N815" s="116"/>
      <c r="O815" s="116"/>
      <c r="P815" s="116"/>
      <c r="Q815" s="116"/>
      <c r="R815" s="116"/>
      <c r="S815" s="116"/>
      <c r="T815" s="116"/>
      <c r="U815" s="103"/>
      <c r="V815" s="103"/>
      <c r="W815" s="103"/>
      <c r="X815" s="103"/>
      <c r="Y815" s="103"/>
      <c r="Z815" s="103"/>
      <c r="AA815" s="103"/>
    </row>
    <row r="816" spans="1:27">
      <c r="A816" s="155"/>
      <c r="B816" s="116"/>
      <c r="C816" s="116"/>
      <c r="D816" s="116"/>
      <c r="E816" s="116"/>
      <c r="F816" s="116"/>
      <c r="G816" s="116"/>
      <c r="H816" s="116"/>
      <c r="I816" s="116"/>
      <c r="J816" s="116"/>
      <c r="K816" s="116"/>
      <c r="L816" s="116"/>
      <c r="M816" s="116"/>
      <c r="N816" s="116"/>
      <c r="O816" s="116"/>
      <c r="P816" s="116"/>
      <c r="Q816" s="116"/>
      <c r="R816" s="116"/>
      <c r="S816" s="116"/>
      <c r="T816" s="116"/>
      <c r="U816" s="103"/>
      <c r="V816" s="103"/>
      <c r="W816" s="103"/>
      <c r="X816" s="103"/>
      <c r="Y816" s="103"/>
      <c r="Z816" s="103"/>
      <c r="AA816" s="103"/>
    </row>
    <row r="817" spans="1:27">
      <c r="A817" s="155"/>
      <c r="B817" s="116"/>
      <c r="C817" s="116"/>
      <c r="D817" s="116"/>
      <c r="E817" s="116"/>
      <c r="F817" s="116"/>
      <c r="G817" s="116"/>
      <c r="H817" s="116"/>
      <c r="I817" s="116"/>
      <c r="J817" s="116"/>
      <c r="K817" s="116"/>
      <c r="L817" s="116"/>
      <c r="M817" s="116"/>
      <c r="N817" s="116"/>
      <c r="O817" s="116"/>
      <c r="P817" s="116"/>
      <c r="Q817" s="116"/>
      <c r="R817" s="116"/>
      <c r="S817" s="116"/>
      <c r="T817" s="116"/>
      <c r="U817" s="103"/>
      <c r="V817" s="103"/>
      <c r="W817" s="103"/>
      <c r="X817" s="103"/>
      <c r="Y817" s="103"/>
      <c r="Z817" s="103"/>
      <c r="AA817" s="103"/>
    </row>
    <row r="818" spans="1:27">
      <c r="A818" s="155"/>
      <c r="B818" s="116"/>
      <c r="C818" s="116"/>
      <c r="D818" s="116"/>
      <c r="E818" s="116"/>
      <c r="F818" s="116"/>
      <c r="G818" s="116"/>
      <c r="H818" s="116"/>
      <c r="I818" s="116"/>
      <c r="J818" s="116"/>
      <c r="K818" s="116"/>
      <c r="L818" s="116"/>
      <c r="M818" s="116"/>
      <c r="N818" s="116"/>
      <c r="O818" s="116"/>
      <c r="P818" s="116"/>
      <c r="Q818" s="116"/>
      <c r="R818" s="116"/>
      <c r="S818" s="116"/>
      <c r="T818" s="116"/>
      <c r="U818" s="103"/>
      <c r="V818" s="103"/>
      <c r="W818" s="103"/>
      <c r="X818" s="103"/>
      <c r="Y818" s="103"/>
      <c r="Z818" s="103"/>
      <c r="AA818" s="103"/>
    </row>
    <row r="819" spans="1:27">
      <c r="A819" s="155"/>
      <c r="B819" s="116"/>
      <c r="C819" s="116"/>
      <c r="D819" s="116"/>
      <c r="E819" s="116"/>
      <c r="F819" s="116"/>
      <c r="G819" s="116"/>
      <c r="H819" s="116"/>
      <c r="I819" s="116"/>
      <c r="J819" s="116"/>
      <c r="K819" s="116"/>
      <c r="L819" s="116"/>
      <c r="M819" s="116"/>
      <c r="N819" s="116"/>
      <c r="O819" s="116"/>
      <c r="P819" s="116"/>
      <c r="Q819" s="116"/>
      <c r="R819" s="116"/>
      <c r="S819" s="116"/>
      <c r="T819" s="116"/>
      <c r="U819" s="103"/>
      <c r="V819" s="103"/>
      <c r="W819" s="103"/>
      <c r="X819" s="103"/>
      <c r="Y819" s="103"/>
      <c r="Z819" s="103"/>
      <c r="AA819" s="103"/>
    </row>
    <row r="820" spans="1:27">
      <c r="A820" s="155"/>
      <c r="B820" s="116"/>
      <c r="C820" s="116"/>
      <c r="D820" s="116"/>
      <c r="E820" s="116"/>
      <c r="F820" s="116"/>
      <c r="G820" s="116"/>
      <c r="H820" s="116"/>
      <c r="I820" s="116"/>
      <c r="J820" s="116"/>
      <c r="K820" s="116"/>
      <c r="L820" s="116"/>
      <c r="M820" s="116"/>
      <c r="N820" s="116"/>
      <c r="O820" s="116"/>
      <c r="P820" s="116"/>
      <c r="Q820" s="116"/>
      <c r="R820" s="116"/>
      <c r="S820" s="116"/>
      <c r="T820" s="116"/>
      <c r="U820" s="103"/>
      <c r="V820" s="103"/>
      <c r="W820" s="103"/>
      <c r="X820" s="103"/>
      <c r="Y820" s="103"/>
      <c r="Z820" s="103"/>
      <c r="AA820" s="103"/>
    </row>
    <row r="821" spans="1:27">
      <c r="A821" s="155"/>
      <c r="B821" s="116"/>
      <c r="C821" s="116"/>
      <c r="D821" s="116"/>
      <c r="E821" s="116"/>
      <c r="F821" s="116"/>
      <c r="G821" s="116"/>
      <c r="H821" s="116"/>
      <c r="I821" s="116"/>
      <c r="J821" s="116"/>
      <c r="K821" s="116"/>
      <c r="L821" s="116"/>
      <c r="M821" s="116"/>
      <c r="N821" s="116"/>
      <c r="O821" s="116"/>
      <c r="P821" s="116"/>
      <c r="Q821" s="116"/>
      <c r="R821" s="116"/>
      <c r="S821" s="116"/>
      <c r="T821" s="116"/>
      <c r="U821" s="103"/>
      <c r="V821" s="103"/>
      <c r="W821" s="103"/>
      <c r="X821" s="103"/>
      <c r="Y821" s="103"/>
      <c r="Z821" s="103"/>
      <c r="AA821" s="103"/>
    </row>
    <row r="822" spans="1:27">
      <c r="A822" s="155"/>
      <c r="B822" s="116"/>
      <c r="C822" s="116"/>
      <c r="D822" s="116"/>
      <c r="E822" s="116"/>
      <c r="F822" s="116"/>
      <c r="G822" s="116"/>
      <c r="H822" s="116"/>
      <c r="I822" s="116"/>
      <c r="J822" s="116"/>
      <c r="K822" s="116"/>
      <c r="L822" s="116"/>
      <c r="M822" s="116"/>
      <c r="N822" s="116"/>
      <c r="O822" s="116"/>
      <c r="P822" s="116"/>
      <c r="Q822" s="116"/>
      <c r="R822" s="116"/>
      <c r="S822" s="116"/>
      <c r="T822" s="116"/>
      <c r="U822" s="103"/>
      <c r="V822" s="103"/>
      <c r="W822" s="103"/>
      <c r="X822" s="103"/>
      <c r="Y822" s="103"/>
      <c r="Z822" s="103"/>
      <c r="AA822" s="103"/>
    </row>
    <row r="823" spans="1:27">
      <c r="A823" s="155"/>
      <c r="B823" s="116"/>
      <c r="C823" s="116"/>
      <c r="D823" s="116"/>
      <c r="E823" s="116"/>
      <c r="F823" s="116"/>
      <c r="G823" s="116"/>
      <c r="H823" s="116"/>
      <c r="I823" s="116"/>
      <c r="J823" s="116"/>
      <c r="K823" s="116"/>
      <c r="L823" s="116"/>
      <c r="M823" s="116"/>
      <c r="N823" s="116"/>
      <c r="O823" s="116"/>
      <c r="P823" s="116"/>
      <c r="Q823" s="116"/>
      <c r="R823" s="116"/>
      <c r="S823" s="116"/>
      <c r="T823" s="116"/>
      <c r="U823" s="103"/>
      <c r="V823" s="103"/>
      <c r="W823" s="103"/>
      <c r="X823" s="103"/>
      <c r="Y823" s="103"/>
      <c r="Z823" s="103"/>
      <c r="AA823" s="103"/>
    </row>
    <row r="824" spans="1:27">
      <c r="A824" s="155"/>
      <c r="B824" s="116"/>
      <c r="C824" s="116"/>
      <c r="D824" s="116"/>
      <c r="E824" s="116"/>
      <c r="F824" s="116"/>
      <c r="G824" s="116"/>
      <c r="H824" s="116"/>
      <c r="I824" s="116"/>
      <c r="J824" s="116"/>
      <c r="K824" s="116"/>
      <c r="L824" s="116"/>
      <c r="M824" s="116"/>
      <c r="N824" s="116"/>
      <c r="O824" s="116"/>
      <c r="P824" s="116"/>
      <c r="Q824" s="116"/>
      <c r="R824" s="116"/>
      <c r="S824" s="116"/>
      <c r="T824" s="116"/>
      <c r="U824" s="103"/>
      <c r="V824" s="103"/>
      <c r="W824" s="103"/>
      <c r="X824" s="103"/>
      <c r="Y824" s="103"/>
      <c r="Z824" s="103"/>
      <c r="AA824" s="103"/>
    </row>
    <row r="825" spans="1:27">
      <c r="A825" s="155"/>
      <c r="B825" s="116"/>
      <c r="C825" s="116"/>
      <c r="D825" s="116"/>
      <c r="E825" s="116"/>
      <c r="F825" s="116"/>
      <c r="G825" s="116"/>
      <c r="H825" s="116"/>
      <c r="I825" s="116"/>
      <c r="J825" s="116"/>
      <c r="K825" s="116"/>
      <c r="L825" s="116"/>
      <c r="M825" s="116"/>
      <c r="N825" s="116"/>
      <c r="O825" s="116"/>
      <c r="P825" s="116"/>
      <c r="Q825" s="116"/>
      <c r="R825" s="116"/>
      <c r="S825" s="116"/>
      <c r="T825" s="116"/>
      <c r="U825" s="103"/>
      <c r="V825" s="103"/>
      <c r="W825" s="103"/>
      <c r="X825" s="103"/>
      <c r="Y825" s="103"/>
      <c r="Z825" s="103"/>
      <c r="AA825" s="103"/>
    </row>
    <row r="826" spans="1:27">
      <c r="A826" s="155"/>
      <c r="B826" s="116"/>
      <c r="C826" s="116"/>
      <c r="D826" s="116"/>
      <c r="E826" s="116"/>
      <c r="F826" s="116"/>
      <c r="G826" s="116"/>
      <c r="H826" s="116"/>
      <c r="I826" s="116"/>
      <c r="J826" s="116"/>
      <c r="K826" s="116"/>
      <c r="L826" s="116"/>
      <c r="M826" s="116"/>
      <c r="N826" s="116"/>
      <c r="O826" s="116"/>
      <c r="P826" s="116"/>
      <c r="Q826" s="116"/>
      <c r="R826" s="116"/>
      <c r="S826" s="116"/>
      <c r="T826" s="116"/>
      <c r="U826" s="103"/>
      <c r="V826" s="103"/>
      <c r="W826" s="103"/>
      <c r="X826" s="103"/>
      <c r="Y826" s="103"/>
      <c r="Z826" s="103"/>
      <c r="AA826" s="103"/>
    </row>
    <row r="827" spans="1:27">
      <c r="A827" s="155"/>
      <c r="B827" s="116"/>
      <c r="C827" s="116"/>
      <c r="D827" s="116"/>
      <c r="E827" s="116"/>
      <c r="F827" s="116"/>
      <c r="G827" s="116"/>
      <c r="H827" s="116"/>
      <c r="I827" s="116"/>
      <c r="J827" s="116"/>
      <c r="K827" s="116"/>
      <c r="L827" s="116"/>
      <c r="M827" s="116"/>
      <c r="N827" s="116"/>
      <c r="O827" s="116"/>
      <c r="P827" s="116"/>
      <c r="Q827" s="116"/>
      <c r="R827" s="116"/>
      <c r="S827" s="116"/>
      <c r="T827" s="116"/>
      <c r="U827" s="103"/>
      <c r="V827" s="103"/>
      <c r="W827" s="103"/>
      <c r="X827" s="103"/>
      <c r="Y827" s="103"/>
      <c r="Z827" s="103"/>
      <c r="AA827" s="103"/>
    </row>
    <row r="828" spans="1:27">
      <c r="A828" s="155"/>
      <c r="B828" s="116"/>
      <c r="C828" s="116"/>
      <c r="D828" s="116"/>
      <c r="E828" s="116"/>
      <c r="F828" s="116"/>
      <c r="G828" s="116"/>
      <c r="H828" s="116"/>
      <c r="I828" s="116"/>
      <c r="J828" s="116"/>
      <c r="K828" s="116"/>
      <c r="L828" s="116"/>
      <c r="M828" s="116"/>
      <c r="N828" s="116"/>
      <c r="O828" s="116"/>
      <c r="P828" s="116"/>
      <c r="Q828" s="116"/>
      <c r="R828" s="116"/>
      <c r="S828" s="116"/>
      <c r="T828" s="116"/>
      <c r="U828" s="103"/>
      <c r="V828" s="103"/>
      <c r="W828" s="103"/>
      <c r="X828" s="103"/>
      <c r="Y828" s="103"/>
      <c r="Z828" s="103"/>
      <c r="AA828" s="103"/>
    </row>
    <row r="829" spans="1:27">
      <c r="A829" s="155"/>
      <c r="B829" s="116"/>
      <c r="C829" s="116"/>
      <c r="D829" s="116"/>
      <c r="E829" s="116"/>
      <c r="F829" s="116"/>
      <c r="G829" s="116"/>
      <c r="H829" s="116"/>
      <c r="I829" s="116"/>
      <c r="J829" s="116"/>
      <c r="K829" s="116"/>
      <c r="L829" s="116"/>
      <c r="M829" s="116"/>
      <c r="N829" s="116"/>
      <c r="O829" s="116"/>
      <c r="P829" s="116"/>
      <c r="Q829" s="116"/>
      <c r="R829" s="116"/>
      <c r="S829" s="116"/>
      <c r="T829" s="116"/>
      <c r="U829" s="103"/>
      <c r="V829" s="103"/>
      <c r="W829" s="103"/>
      <c r="X829" s="103"/>
      <c r="Y829" s="103"/>
      <c r="Z829" s="103"/>
      <c r="AA829" s="103"/>
    </row>
    <row r="830" spans="1:27">
      <c r="A830" s="155"/>
      <c r="B830" s="116"/>
      <c r="C830" s="116"/>
      <c r="D830" s="116"/>
      <c r="E830" s="116"/>
      <c r="F830" s="116"/>
      <c r="G830" s="116"/>
      <c r="H830" s="116"/>
      <c r="I830" s="116"/>
      <c r="J830" s="116"/>
      <c r="K830" s="116"/>
      <c r="L830" s="116"/>
      <c r="M830" s="116"/>
      <c r="N830" s="116"/>
      <c r="O830" s="116"/>
      <c r="P830" s="116"/>
      <c r="Q830" s="116"/>
      <c r="R830" s="116"/>
      <c r="S830" s="116"/>
      <c r="T830" s="116"/>
      <c r="U830" s="103"/>
      <c r="V830" s="103"/>
      <c r="W830" s="103"/>
      <c r="X830" s="103"/>
      <c r="Y830" s="103"/>
      <c r="Z830" s="103"/>
      <c r="AA830" s="103"/>
    </row>
    <row r="831" spans="1:27">
      <c r="A831" s="155"/>
      <c r="B831" s="116"/>
      <c r="C831" s="116"/>
      <c r="D831" s="116"/>
      <c r="E831" s="116"/>
      <c r="F831" s="116"/>
      <c r="G831" s="116"/>
      <c r="H831" s="116"/>
      <c r="I831" s="116"/>
      <c r="J831" s="116"/>
      <c r="K831" s="116"/>
      <c r="L831" s="116"/>
      <c r="M831" s="116"/>
      <c r="N831" s="116"/>
      <c r="O831" s="116"/>
      <c r="P831" s="116"/>
      <c r="Q831" s="116"/>
      <c r="R831" s="116"/>
      <c r="S831" s="116"/>
      <c r="T831" s="116"/>
      <c r="U831" s="103"/>
      <c r="V831" s="103"/>
      <c r="W831" s="103"/>
      <c r="X831" s="103"/>
      <c r="Y831" s="103"/>
      <c r="Z831" s="103"/>
      <c r="AA831" s="103"/>
    </row>
    <row r="832" spans="1:27">
      <c r="A832" s="155"/>
      <c r="B832" s="116"/>
      <c r="C832" s="116"/>
      <c r="D832" s="116"/>
      <c r="E832" s="116"/>
      <c r="F832" s="116"/>
      <c r="G832" s="116"/>
      <c r="H832" s="116"/>
      <c r="I832" s="116"/>
      <c r="J832" s="116"/>
      <c r="K832" s="116"/>
      <c r="L832" s="116"/>
      <c r="M832" s="116"/>
      <c r="N832" s="116"/>
      <c r="O832" s="116"/>
      <c r="P832" s="116"/>
      <c r="Q832" s="116"/>
      <c r="R832" s="116"/>
      <c r="S832" s="116"/>
      <c r="T832" s="116"/>
      <c r="U832" s="103"/>
      <c r="V832" s="103"/>
      <c r="W832" s="103"/>
      <c r="X832" s="103"/>
      <c r="Y832" s="103"/>
      <c r="Z832" s="103"/>
      <c r="AA832" s="103"/>
    </row>
    <row r="833" spans="1:27">
      <c r="A833" s="155"/>
      <c r="B833" s="116"/>
      <c r="C833" s="116"/>
      <c r="D833" s="116"/>
      <c r="E833" s="116"/>
      <c r="F833" s="116"/>
      <c r="G833" s="116"/>
      <c r="H833" s="116"/>
      <c r="I833" s="116"/>
      <c r="J833" s="116"/>
      <c r="K833" s="116"/>
      <c r="L833" s="116"/>
      <c r="M833" s="116"/>
      <c r="N833" s="116"/>
      <c r="O833" s="116"/>
      <c r="P833" s="116"/>
      <c r="Q833" s="116"/>
      <c r="R833" s="116"/>
      <c r="S833" s="116"/>
      <c r="T833" s="116"/>
      <c r="U833" s="103"/>
      <c r="V833" s="103"/>
      <c r="W833" s="103"/>
      <c r="X833" s="103"/>
      <c r="Y833" s="103"/>
      <c r="Z833" s="103"/>
      <c r="AA833" s="103"/>
    </row>
    <row r="834" spans="1:27">
      <c r="A834" s="155"/>
      <c r="B834" s="116"/>
      <c r="C834" s="116"/>
      <c r="D834" s="116"/>
      <c r="E834" s="116"/>
      <c r="F834" s="116"/>
      <c r="G834" s="116"/>
      <c r="H834" s="116"/>
      <c r="I834" s="116"/>
      <c r="J834" s="116"/>
      <c r="K834" s="116"/>
      <c r="L834" s="116"/>
      <c r="M834" s="116"/>
      <c r="N834" s="116"/>
      <c r="O834" s="116"/>
      <c r="P834" s="116"/>
      <c r="Q834" s="116"/>
      <c r="R834" s="116"/>
      <c r="S834" s="116"/>
      <c r="T834" s="116"/>
      <c r="U834" s="103"/>
      <c r="V834" s="103"/>
      <c r="W834" s="103"/>
      <c r="X834" s="103"/>
      <c r="Y834" s="103"/>
      <c r="Z834" s="103"/>
      <c r="AA834" s="103"/>
    </row>
    <row r="835" spans="1:27">
      <c r="A835" s="155"/>
      <c r="B835" s="116"/>
      <c r="C835" s="116"/>
      <c r="D835" s="116"/>
      <c r="E835" s="116"/>
      <c r="F835" s="116"/>
      <c r="G835" s="116"/>
      <c r="H835" s="116"/>
      <c r="I835" s="116"/>
      <c r="J835" s="116"/>
      <c r="K835" s="116"/>
      <c r="L835" s="116"/>
      <c r="M835" s="116"/>
      <c r="N835" s="116"/>
      <c r="O835" s="116"/>
      <c r="P835" s="116"/>
      <c r="Q835" s="116"/>
      <c r="R835" s="116"/>
      <c r="S835" s="116"/>
      <c r="T835" s="116"/>
      <c r="U835" s="103"/>
      <c r="V835" s="103"/>
      <c r="W835" s="103"/>
      <c r="X835" s="103"/>
      <c r="Y835" s="103"/>
      <c r="Z835" s="103"/>
      <c r="AA835" s="103"/>
    </row>
    <row r="836" spans="1:27">
      <c r="A836" s="155"/>
      <c r="B836" s="116"/>
      <c r="C836" s="116"/>
      <c r="D836" s="116"/>
      <c r="E836" s="116"/>
      <c r="F836" s="116"/>
      <c r="G836" s="116"/>
      <c r="H836" s="116"/>
      <c r="I836" s="116"/>
      <c r="J836" s="116"/>
      <c r="K836" s="116"/>
      <c r="L836" s="116"/>
      <c r="M836" s="116"/>
      <c r="N836" s="116"/>
      <c r="O836" s="116"/>
      <c r="P836" s="116"/>
      <c r="Q836" s="116"/>
      <c r="R836" s="116"/>
      <c r="S836" s="116"/>
      <c r="T836" s="116"/>
      <c r="U836" s="103"/>
      <c r="V836" s="103"/>
      <c r="W836" s="103"/>
      <c r="X836" s="103"/>
      <c r="Y836" s="103"/>
      <c r="Z836" s="103"/>
      <c r="AA836" s="103"/>
    </row>
    <row r="837" spans="1:27">
      <c r="A837" s="155"/>
      <c r="B837" s="116"/>
      <c r="C837" s="116"/>
      <c r="D837" s="116"/>
      <c r="E837" s="116"/>
      <c r="F837" s="116"/>
      <c r="G837" s="116"/>
      <c r="H837" s="116"/>
      <c r="I837" s="116"/>
      <c r="J837" s="116"/>
      <c r="K837" s="116"/>
      <c r="L837" s="116"/>
      <c r="M837" s="116"/>
      <c r="N837" s="116"/>
      <c r="O837" s="116"/>
      <c r="P837" s="116"/>
      <c r="Q837" s="116"/>
      <c r="R837" s="116"/>
      <c r="S837" s="116"/>
      <c r="T837" s="116"/>
      <c r="U837" s="103"/>
      <c r="V837" s="103"/>
      <c r="W837" s="103"/>
      <c r="X837" s="103"/>
      <c r="Y837" s="103"/>
      <c r="Z837" s="103"/>
      <c r="AA837" s="103"/>
    </row>
    <row r="838" spans="1:27">
      <c r="A838" s="155"/>
      <c r="B838" s="116"/>
      <c r="C838" s="116"/>
      <c r="D838" s="116"/>
      <c r="E838" s="116"/>
      <c r="F838" s="116"/>
      <c r="G838" s="116"/>
      <c r="H838" s="116"/>
      <c r="I838" s="116"/>
      <c r="J838" s="116"/>
      <c r="K838" s="116"/>
      <c r="L838" s="116"/>
      <c r="M838" s="116"/>
      <c r="N838" s="116"/>
      <c r="O838" s="116"/>
      <c r="P838" s="116"/>
      <c r="Q838" s="116"/>
      <c r="R838" s="116"/>
      <c r="S838" s="116"/>
      <c r="T838" s="116"/>
      <c r="U838" s="103"/>
      <c r="V838" s="103"/>
      <c r="W838" s="103"/>
      <c r="X838" s="103"/>
      <c r="Y838" s="103"/>
      <c r="Z838" s="103"/>
      <c r="AA838" s="103"/>
    </row>
    <row r="839" spans="1:27">
      <c r="A839" s="155"/>
      <c r="B839" s="116"/>
      <c r="C839" s="116"/>
      <c r="D839" s="116"/>
      <c r="E839" s="116"/>
      <c r="F839" s="116"/>
      <c r="G839" s="116"/>
      <c r="H839" s="116"/>
      <c r="I839" s="116"/>
      <c r="J839" s="116"/>
      <c r="K839" s="116"/>
      <c r="L839" s="116"/>
      <c r="M839" s="116"/>
      <c r="N839" s="116"/>
      <c r="O839" s="116"/>
      <c r="P839" s="116"/>
      <c r="Q839" s="116"/>
      <c r="R839" s="116"/>
      <c r="S839" s="116"/>
      <c r="T839" s="116"/>
      <c r="U839" s="103"/>
      <c r="V839" s="103"/>
      <c r="W839" s="103"/>
      <c r="X839" s="103"/>
      <c r="Y839" s="103"/>
      <c r="Z839" s="103"/>
      <c r="AA839" s="103"/>
    </row>
    <row r="840" spans="1:27">
      <c r="A840" s="155"/>
      <c r="B840" s="116"/>
      <c r="C840" s="116"/>
      <c r="D840" s="116"/>
      <c r="E840" s="116"/>
      <c r="F840" s="116"/>
      <c r="G840" s="116"/>
      <c r="H840" s="116"/>
      <c r="I840" s="116"/>
      <c r="J840" s="116"/>
      <c r="K840" s="116"/>
      <c r="L840" s="116"/>
      <c r="M840" s="116"/>
      <c r="N840" s="116"/>
      <c r="O840" s="116"/>
      <c r="P840" s="116"/>
      <c r="Q840" s="116"/>
      <c r="R840" s="116"/>
      <c r="S840" s="116"/>
      <c r="T840" s="116"/>
      <c r="U840" s="103"/>
      <c r="V840" s="103"/>
      <c r="W840" s="103"/>
      <c r="X840" s="103"/>
      <c r="Y840" s="103"/>
      <c r="Z840" s="103"/>
      <c r="AA840" s="103"/>
    </row>
    <row r="841" spans="1:27">
      <c r="A841" s="155"/>
      <c r="B841" s="116"/>
      <c r="C841" s="116"/>
      <c r="D841" s="116"/>
      <c r="E841" s="116"/>
      <c r="F841" s="116"/>
      <c r="G841" s="116"/>
      <c r="H841" s="116"/>
      <c r="I841" s="116"/>
      <c r="J841" s="116"/>
      <c r="K841" s="116"/>
      <c r="L841" s="116"/>
      <c r="M841" s="116"/>
      <c r="N841" s="116"/>
      <c r="O841" s="116"/>
      <c r="P841" s="116"/>
      <c r="Q841" s="116"/>
      <c r="R841" s="116"/>
      <c r="S841" s="116"/>
      <c r="T841" s="116"/>
      <c r="U841" s="103"/>
      <c r="V841" s="103"/>
      <c r="W841" s="103"/>
      <c r="X841" s="103"/>
      <c r="Y841" s="103"/>
      <c r="Z841" s="103"/>
      <c r="AA841" s="103"/>
    </row>
    <row r="842" spans="1:27">
      <c r="A842" s="155"/>
      <c r="B842" s="116"/>
      <c r="C842" s="116"/>
      <c r="D842" s="116"/>
      <c r="E842" s="116"/>
      <c r="F842" s="116"/>
      <c r="G842" s="116"/>
      <c r="H842" s="116"/>
      <c r="I842" s="116"/>
      <c r="J842" s="116"/>
      <c r="K842" s="116"/>
      <c r="L842" s="116"/>
      <c r="M842" s="116"/>
      <c r="N842" s="116"/>
      <c r="O842" s="116"/>
      <c r="P842" s="116"/>
      <c r="Q842" s="116"/>
      <c r="R842" s="116"/>
      <c r="S842" s="116"/>
      <c r="T842" s="116"/>
      <c r="U842" s="103"/>
      <c r="V842" s="103"/>
      <c r="W842" s="103"/>
      <c r="X842" s="103"/>
      <c r="Y842" s="103"/>
      <c r="Z842" s="103"/>
      <c r="AA842" s="103"/>
    </row>
    <row r="843" spans="1:27">
      <c r="A843" s="155"/>
      <c r="B843" s="116"/>
      <c r="C843" s="116"/>
      <c r="D843" s="116"/>
      <c r="E843" s="116"/>
      <c r="F843" s="116"/>
      <c r="G843" s="116"/>
      <c r="H843" s="116"/>
      <c r="I843" s="116"/>
      <c r="J843" s="116"/>
      <c r="K843" s="116"/>
      <c r="L843" s="116"/>
      <c r="M843" s="116"/>
      <c r="N843" s="116"/>
      <c r="O843" s="116"/>
      <c r="P843" s="116"/>
      <c r="Q843" s="116"/>
      <c r="R843" s="116"/>
      <c r="S843" s="116"/>
      <c r="T843" s="116"/>
      <c r="U843" s="103"/>
      <c r="V843" s="103"/>
      <c r="W843" s="103"/>
      <c r="X843" s="103"/>
      <c r="Y843" s="103"/>
      <c r="Z843" s="103"/>
      <c r="AA843" s="103"/>
    </row>
    <row r="844" spans="1:27">
      <c r="A844" s="155"/>
      <c r="B844" s="116"/>
      <c r="C844" s="116"/>
      <c r="D844" s="116"/>
      <c r="E844" s="116"/>
      <c r="F844" s="116"/>
      <c r="G844" s="116"/>
      <c r="H844" s="116"/>
      <c r="I844" s="116"/>
      <c r="J844" s="116"/>
      <c r="K844" s="116"/>
      <c r="L844" s="116"/>
      <c r="M844" s="116"/>
      <c r="N844" s="116"/>
      <c r="O844" s="116"/>
      <c r="P844" s="116"/>
      <c r="Q844" s="116"/>
      <c r="R844" s="116"/>
      <c r="S844" s="116"/>
      <c r="T844" s="116"/>
      <c r="U844" s="103"/>
      <c r="V844" s="103"/>
      <c r="W844" s="103"/>
      <c r="X844" s="103"/>
      <c r="Y844" s="103"/>
      <c r="Z844" s="103"/>
      <c r="AA844" s="103"/>
    </row>
    <row r="845" spans="1:27">
      <c r="A845" s="155"/>
      <c r="B845" s="116"/>
      <c r="C845" s="116"/>
      <c r="D845" s="116"/>
      <c r="E845" s="116"/>
      <c r="F845" s="116"/>
      <c r="G845" s="116"/>
      <c r="H845" s="116"/>
      <c r="I845" s="116"/>
      <c r="J845" s="116"/>
      <c r="K845" s="116"/>
      <c r="L845" s="116"/>
      <c r="M845" s="116"/>
      <c r="N845" s="116"/>
      <c r="O845" s="116"/>
      <c r="P845" s="116"/>
      <c r="Q845" s="116"/>
      <c r="R845" s="116"/>
      <c r="S845" s="116"/>
      <c r="T845" s="116"/>
      <c r="U845" s="103"/>
      <c r="V845" s="103"/>
      <c r="W845" s="103"/>
      <c r="X845" s="103"/>
      <c r="Y845" s="103"/>
      <c r="Z845" s="103"/>
      <c r="AA845" s="103"/>
    </row>
    <row r="846" spans="1:27">
      <c r="A846" s="155"/>
      <c r="B846" s="116"/>
      <c r="C846" s="116"/>
      <c r="D846" s="116"/>
      <c r="E846" s="116"/>
      <c r="F846" s="116"/>
      <c r="G846" s="116"/>
      <c r="H846" s="116"/>
      <c r="I846" s="116"/>
      <c r="J846" s="116"/>
      <c r="K846" s="116"/>
      <c r="L846" s="116"/>
      <c r="M846" s="116"/>
      <c r="N846" s="116"/>
      <c r="O846" s="116"/>
      <c r="P846" s="116"/>
      <c r="Q846" s="116"/>
      <c r="R846" s="116"/>
      <c r="S846" s="116"/>
      <c r="T846" s="116"/>
      <c r="U846" s="103"/>
      <c r="V846" s="103"/>
      <c r="W846" s="103"/>
      <c r="X846" s="103"/>
      <c r="Y846" s="103"/>
      <c r="Z846" s="103"/>
      <c r="AA846" s="103"/>
    </row>
    <row r="847" spans="1:27">
      <c r="A847" s="155"/>
      <c r="B847" s="116"/>
      <c r="C847" s="116"/>
      <c r="D847" s="116"/>
      <c r="E847" s="116"/>
      <c r="F847" s="116"/>
      <c r="G847" s="116"/>
      <c r="H847" s="116"/>
      <c r="I847" s="116"/>
      <c r="J847" s="116"/>
      <c r="K847" s="116"/>
      <c r="L847" s="116"/>
      <c r="M847" s="116"/>
      <c r="N847" s="116"/>
      <c r="O847" s="116"/>
      <c r="P847" s="116"/>
      <c r="Q847" s="116"/>
      <c r="R847" s="116"/>
      <c r="S847" s="116"/>
      <c r="T847" s="116"/>
      <c r="U847" s="103"/>
      <c r="V847" s="103"/>
      <c r="W847" s="103"/>
      <c r="X847" s="103"/>
      <c r="Y847" s="103"/>
      <c r="Z847" s="103"/>
      <c r="AA847" s="103"/>
    </row>
    <row r="848" spans="1:27">
      <c r="A848" s="155"/>
      <c r="B848" s="116"/>
      <c r="C848" s="116"/>
      <c r="D848" s="116"/>
      <c r="E848" s="116"/>
      <c r="F848" s="116"/>
      <c r="G848" s="116"/>
      <c r="H848" s="116"/>
      <c r="I848" s="116"/>
      <c r="J848" s="116"/>
      <c r="K848" s="116"/>
      <c r="L848" s="116"/>
      <c r="M848" s="116"/>
      <c r="N848" s="116"/>
      <c r="O848" s="116"/>
      <c r="P848" s="116"/>
      <c r="Q848" s="116"/>
      <c r="R848" s="116"/>
      <c r="S848" s="116"/>
      <c r="T848" s="116"/>
      <c r="U848" s="103"/>
      <c r="V848" s="103"/>
      <c r="W848" s="103"/>
      <c r="X848" s="103"/>
      <c r="Y848" s="103"/>
      <c r="Z848" s="103"/>
      <c r="AA848" s="103"/>
    </row>
    <row r="849" spans="1:27">
      <c r="A849" s="155"/>
      <c r="B849" s="116"/>
      <c r="C849" s="116"/>
      <c r="D849" s="116"/>
      <c r="E849" s="116"/>
      <c r="F849" s="116"/>
      <c r="G849" s="116"/>
      <c r="H849" s="116"/>
      <c r="I849" s="116"/>
      <c r="J849" s="116"/>
      <c r="K849" s="116"/>
      <c r="L849" s="116"/>
      <c r="M849" s="116"/>
      <c r="N849" s="116"/>
      <c r="O849" s="116"/>
      <c r="P849" s="116"/>
      <c r="Q849" s="116"/>
      <c r="R849" s="116"/>
      <c r="S849" s="116"/>
      <c r="T849" s="116"/>
      <c r="U849" s="103"/>
      <c r="V849" s="103"/>
      <c r="W849" s="103"/>
      <c r="X849" s="103"/>
      <c r="Y849" s="103"/>
      <c r="Z849" s="103"/>
      <c r="AA849" s="103"/>
    </row>
    <row r="850" spans="1:27">
      <c r="A850" s="155"/>
      <c r="B850" s="116"/>
      <c r="C850" s="116"/>
      <c r="D850" s="116"/>
      <c r="E850" s="116"/>
      <c r="F850" s="116"/>
      <c r="G850" s="116"/>
      <c r="H850" s="116"/>
      <c r="I850" s="116"/>
      <c r="J850" s="116"/>
      <c r="K850" s="116"/>
      <c r="L850" s="116"/>
      <c r="M850" s="116"/>
      <c r="N850" s="116"/>
      <c r="O850" s="116"/>
      <c r="P850" s="116"/>
      <c r="Q850" s="116"/>
      <c r="R850" s="116"/>
      <c r="S850" s="116"/>
      <c r="T850" s="116"/>
      <c r="U850" s="103"/>
      <c r="V850" s="103"/>
      <c r="W850" s="103"/>
      <c r="X850" s="103"/>
      <c r="Y850" s="103"/>
      <c r="Z850" s="103"/>
      <c r="AA850" s="103"/>
    </row>
    <row r="851" spans="1:27">
      <c r="A851" s="155"/>
      <c r="B851" s="116"/>
      <c r="C851" s="116"/>
      <c r="D851" s="116"/>
      <c r="E851" s="116"/>
      <c r="F851" s="116"/>
      <c r="G851" s="116"/>
      <c r="H851" s="116"/>
      <c r="I851" s="116"/>
      <c r="J851" s="116"/>
      <c r="K851" s="116"/>
      <c r="L851" s="116"/>
      <c r="M851" s="116"/>
      <c r="N851" s="116"/>
      <c r="O851" s="116"/>
      <c r="P851" s="116"/>
      <c r="Q851" s="116"/>
      <c r="R851" s="116"/>
      <c r="S851" s="116"/>
      <c r="T851" s="116"/>
      <c r="U851" s="103"/>
      <c r="V851" s="103"/>
      <c r="W851" s="103"/>
      <c r="X851" s="103"/>
      <c r="Y851" s="103"/>
      <c r="Z851" s="103"/>
      <c r="AA851" s="103"/>
    </row>
    <row r="852" spans="1:27">
      <c r="A852" s="155"/>
      <c r="B852" s="116"/>
      <c r="C852" s="116"/>
      <c r="D852" s="116"/>
      <c r="E852" s="116"/>
      <c r="F852" s="116"/>
      <c r="G852" s="116"/>
      <c r="H852" s="116"/>
      <c r="I852" s="116"/>
      <c r="J852" s="116"/>
      <c r="K852" s="116"/>
      <c r="L852" s="116"/>
      <c r="M852" s="116"/>
      <c r="N852" s="116"/>
      <c r="O852" s="116"/>
      <c r="P852" s="116"/>
      <c r="Q852" s="116"/>
      <c r="R852" s="116"/>
      <c r="S852" s="116"/>
      <c r="T852" s="116"/>
      <c r="U852" s="103"/>
      <c r="V852" s="103"/>
      <c r="W852" s="103"/>
      <c r="X852" s="103"/>
      <c r="Y852" s="103"/>
      <c r="Z852" s="103"/>
      <c r="AA852" s="103"/>
    </row>
    <row r="853" spans="1:27">
      <c r="A853" s="155"/>
      <c r="B853" s="116"/>
      <c r="C853" s="116"/>
      <c r="D853" s="116"/>
      <c r="E853" s="116"/>
      <c r="F853" s="116"/>
      <c r="G853" s="116"/>
      <c r="H853" s="116"/>
      <c r="I853" s="116"/>
      <c r="J853" s="116"/>
      <c r="K853" s="116"/>
      <c r="L853" s="116"/>
      <c r="M853" s="116"/>
      <c r="N853" s="116"/>
      <c r="O853" s="116"/>
      <c r="P853" s="116"/>
      <c r="Q853" s="116"/>
      <c r="R853" s="116"/>
      <c r="S853" s="116"/>
      <c r="T853" s="116"/>
      <c r="U853" s="103"/>
      <c r="V853" s="103"/>
      <c r="W853" s="103"/>
      <c r="X853" s="103"/>
      <c r="Y853" s="103"/>
      <c r="Z853" s="103"/>
      <c r="AA853" s="103"/>
    </row>
    <row r="854" spans="1:27">
      <c r="A854" s="155"/>
      <c r="B854" s="116"/>
      <c r="C854" s="116"/>
      <c r="D854" s="116"/>
      <c r="E854" s="116"/>
      <c r="F854" s="116"/>
      <c r="G854" s="116"/>
      <c r="H854" s="116"/>
      <c r="I854" s="116"/>
      <c r="J854" s="116"/>
      <c r="K854" s="116"/>
      <c r="L854" s="116"/>
      <c r="M854" s="116"/>
      <c r="N854" s="116"/>
      <c r="O854" s="116"/>
      <c r="P854" s="116"/>
      <c r="Q854" s="116"/>
      <c r="R854" s="116"/>
      <c r="S854" s="116"/>
      <c r="T854" s="116"/>
      <c r="U854" s="103"/>
      <c r="V854" s="103"/>
      <c r="W854" s="103"/>
      <c r="X854" s="103"/>
      <c r="Y854" s="103"/>
      <c r="Z854" s="103"/>
      <c r="AA854" s="103"/>
    </row>
    <row r="855" spans="1:27">
      <c r="A855" s="155"/>
      <c r="B855" s="116"/>
      <c r="C855" s="116"/>
      <c r="D855" s="116"/>
      <c r="E855" s="116"/>
      <c r="F855" s="116"/>
      <c r="G855" s="116"/>
      <c r="H855" s="116"/>
      <c r="I855" s="116"/>
      <c r="J855" s="116"/>
      <c r="K855" s="116"/>
      <c r="L855" s="116"/>
      <c r="M855" s="116"/>
      <c r="N855" s="116"/>
      <c r="O855" s="116"/>
      <c r="P855" s="116"/>
      <c r="Q855" s="116"/>
      <c r="R855" s="116"/>
      <c r="S855" s="116"/>
      <c r="T855" s="116"/>
      <c r="U855" s="103"/>
      <c r="V855" s="103"/>
      <c r="W855" s="103"/>
      <c r="X855" s="103"/>
      <c r="Y855" s="103"/>
      <c r="Z855" s="103"/>
      <c r="AA855" s="103"/>
    </row>
    <row r="856" spans="1:27">
      <c r="A856" s="155"/>
      <c r="B856" s="116"/>
      <c r="C856" s="116"/>
      <c r="D856" s="116"/>
      <c r="E856" s="116"/>
      <c r="F856" s="116"/>
      <c r="G856" s="116"/>
      <c r="H856" s="116"/>
      <c r="I856" s="116"/>
      <c r="J856" s="116"/>
      <c r="K856" s="116"/>
      <c r="L856" s="116"/>
      <c r="M856" s="116"/>
      <c r="N856" s="116"/>
      <c r="O856" s="116"/>
      <c r="P856" s="116"/>
      <c r="Q856" s="116"/>
      <c r="R856" s="116"/>
      <c r="S856" s="116"/>
      <c r="T856" s="116"/>
      <c r="U856" s="103"/>
      <c r="V856" s="103"/>
      <c r="W856" s="103"/>
      <c r="X856" s="103"/>
      <c r="Y856" s="103"/>
      <c r="Z856" s="103"/>
      <c r="AA856" s="103"/>
    </row>
    <row r="857" spans="1:27">
      <c r="A857" s="155"/>
      <c r="B857" s="116"/>
      <c r="C857" s="116"/>
      <c r="D857" s="116"/>
      <c r="E857" s="116"/>
      <c r="F857" s="116"/>
      <c r="G857" s="116"/>
      <c r="H857" s="116"/>
      <c r="I857" s="116"/>
      <c r="J857" s="116"/>
      <c r="K857" s="116"/>
      <c r="L857" s="116"/>
      <c r="M857" s="116"/>
      <c r="N857" s="116"/>
      <c r="O857" s="116"/>
      <c r="P857" s="116"/>
      <c r="Q857" s="116"/>
      <c r="R857" s="116"/>
      <c r="S857" s="116"/>
      <c r="T857" s="116"/>
      <c r="U857" s="103"/>
      <c r="V857" s="103"/>
      <c r="W857" s="103"/>
      <c r="X857" s="103"/>
      <c r="Y857" s="103"/>
      <c r="Z857" s="103"/>
      <c r="AA857" s="103"/>
    </row>
    <row r="858" spans="1:27">
      <c r="A858" s="155"/>
      <c r="B858" s="116"/>
      <c r="C858" s="116"/>
      <c r="D858" s="116"/>
      <c r="E858" s="116"/>
      <c r="F858" s="116"/>
      <c r="G858" s="116"/>
      <c r="H858" s="116"/>
      <c r="I858" s="116"/>
      <c r="J858" s="116"/>
      <c r="K858" s="116"/>
      <c r="L858" s="116"/>
      <c r="M858" s="116"/>
      <c r="N858" s="116"/>
      <c r="O858" s="116"/>
      <c r="P858" s="116"/>
      <c r="Q858" s="116"/>
      <c r="R858" s="116"/>
      <c r="S858" s="116"/>
      <c r="T858" s="116"/>
      <c r="U858" s="103"/>
      <c r="V858" s="103"/>
      <c r="W858" s="103"/>
      <c r="X858" s="103"/>
      <c r="Y858" s="103"/>
      <c r="Z858" s="103"/>
      <c r="AA858" s="103"/>
    </row>
    <row r="859" spans="1:27">
      <c r="A859" s="155"/>
      <c r="B859" s="116"/>
      <c r="C859" s="116"/>
      <c r="D859" s="116"/>
      <c r="E859" s="116"/>
      <c r="F859" s="116"/>
      <c r="G859" s="116"/>
      <c r="H859" s="116"/>
      <c r="I859" s="116"/>
      <c r="J859" s="116"/>
      <c r="K859" s="116"/>
      <c r="L859" s="116"/>
      <c r="M859" s="116"/>
      <c r="N859" s="116"/>
      <c r="O859" s="116"/>
      <c r="P859" s="116"/>
      <c r="Q859" s="116"/>
      <c r="R859" s="116"/>
      <c r="S859" s="116"/>
      <c r="T859" s="116"/>
      <c r="U859" s="103"/>
      <c r="V859" s="103"/>
      <c r="W859" s="103"/>
      <c r="X859" s="103"/>
      <c r="Y859" s="103"/>
      <c r="Z859" s="103"/>
      <c r="AA859" s="103"/>
    </row>
    <row r="860" spans="1:27">
      <c r="A860" s="155"/>
      <c r="B860" s="116"/>
      <c r="C860" s="116"/>
      <c r="D860" s="116"/>
      <c r="E860" s="116"/>
      <c r="F860" s="116"/>
      <c r="G860" s="116"/>
      <c r="H860" s="116"/>
      <c r="I860" s="116"/>
      <c r="J860" s="116"/>
      <c r="K860" s="116"/>
      <c r="L860" s="116"/>
      <c r="M860" s="116"/>
      <c r="N860" s="116"/>
      <c r="O860" s="116"/>
      <c r="P860" s="116"/>
      <c r="Q860" s="116"/>
      <c r="R860" s="116"/>
      <c r="S860" s="116"/>
      <c r="T860" s="116"/>
      <c r="U860" s="103"/>
      <c r="V860" s="103"/>
      <c r="W860" s="103"/>
      <c r="X860" s="103"/>
      <c r="Y860" s="103"/>
      <c r="Z860" s="103"/>
      <c r="AA860" s="103"/>
    </row>
    <row r="861" spans="1:27">
      <c r="A861" s="155"/>
      <c r="B861" s="116"/>
      <c r="C861" s="116"/>
      <c r="D861" s="116"/>
      <c r="E861" s="116"/>
      <c r="F861" s="116"/>
      <c r="G861" s="116"/>
      <c r="H861" s="116"/>
      <c r="I861" s="116"/>
      <c r="J861" s="116"/>
      <c r="K861" s="116"/>
      <c r="L861" s="116"/>
      <c r="M861" s="116"/>
      <c r="N861" s="116"/>
      <c r="O861" s="116"/>
      <c r="P861" s="116"/>
      <c r="Q861" s="116"/>
      <c r="R861" s="116"/>
      <c r="S861" s="116"/>
      <c r="T861" s="116"/>
      <c r="U861" s="103"/>
      <c r="V861" s="103"/>
      <c r="W861" s="103"/>
      <c r="X861" s="103"/>
      <c r="Y861" s="103"/>
      <c r="Z861" s="103"/>
      <c r="AA861" s="103"/>
    </row>
    <row r="862" spans="1:27">
      <c r="A862" s="155"/>
      <c r="B862" s="116"/>
      <c r="C862" s="116"/>
      <c r="D862" s="116"/>
      <c r="E862" s="116"/>
      <c r="F862" s="116"/>
      <c r="G862" s="116"/>
      <c r="H862" s="116"/>
      <c r="I862" s="116"/>
      <c r="J862" s="116"/>
      <c r="K862" s="116"/>
      <c r="L862" s="116"/>
      <c r="M862" s="116"/>
      <c r="N862" s="116"/>
      <c r="O862" s="116"/>
      <c r="P862" s="116"/>
      <c r="Q862" s="116"/>
      <c r="R862" s="116"/>
      <c r="S862" s="116"/>
      <c r="T862" s="116"/>
      <c r="U862" s="103"/>
      <c r="V862" s="103"/>
      <c r="W862" s="103"/>
      <c r="X862" s="103"/>
      <c r="Y862" s="103"/>
      <c r="Z862" s="103"/>
      <c r="AA862" s="103"/>
    </row>
    <row r="863" spans="1:27">
      <c r="A863" s="155"/>
      <c r="B863" s="116"/>
      <c r="C863" s="116"/>
      <c r="D863" s="116"/>
      <c r="E863" s="116"/>
      <c r="F863" s="116"/>
      <c r="G863" s="116"/>
      <c r="H863" s="116"/>
      <c r="I863" s="116"/>
      <c r="J863" s="116"/>
      <c r="K863" s="116"/>
      <c r="L863" s="116"/>
      <c r="M863" s="116"/>
      <c r="N863" s="116"/>
      <c r="O863" s="116"/>
      <c r="P863" s="116"/>
      <c r="Q863" s="116"/>
      <c r="R863" s="116"/>
      <c r="S863" s="116"/>
      <c r="T863" s="116"/>
      <c r="U863" s="103"/>
      <c r="V863" s="103"/>
      <c r="W863" s="103"/>
      <c r="X863" s="103"/>
      <c r="Y863" s="103"/>
      <c r="Z863" s="103"/>
      <c r="AA863" s="103"/>
    </row>
    <row r="864" spans="1:27">
      <c r="A864" s="155"/>
      <c r="B864" s="116"/>
      <c r="C864" s="116"/>
      <c r="D864" s="116"/>
      <c r="E864" s="116"/>
      <c r="F864" s="116"/>
      <c r="G864" s="116"/>
      <c r="H864" s="116"/>
      <c r="I864" s="116"/>
      <c r="J864" s="116"/>
      <c r="K864" s="116"/>
      <c r="L864" s="116"/>
      <c r="M864" s="116"/>
      <c r="N864" s="116"/>
      <c r="O864" s="116"/>
      <c r="P864" s="116"/>
      <c r="Q864" s="116"/>
      <c r="R864" s="116"/>
      <c r="S864" s="116"/>
      <c r="T864" s="116"/>
      <c r="U864" s="103"/>
      <c r="V864" s="103"/>
      <c r="W864" s="103"/>
      <c r="X864" s="103"/>
      <c r="Y864" s="103"/>
      <c r="Z864" s="103"/>
      <c r="AA864" s="103"/>
    </row>
    <row r="865" spans="1:27">
      <c r="A865" s="155"/>
      <c r="B865" s="116"/>
      <c r="C865" s="116"/>
      <c r="D865" s="116"/>
      <c r="E865" s="116"/>
      <c r="F865" s="116"/>
      <c r="G865" s="116"/>
      <c r="H865" s="116"/>
      <c r="I865" s="116"/>
      <c r="J865" s="116"/>
      <c r="K865" s="116"/>
      <c r="L865" s="116"/>
      <c r="M865" s="116"/>
      <c r="N865" s="116"/>
      <c r="O865" s="116"/>
      <c r="P865" s="116"/>
      <c r="Q865" s="116"/>
      <c r="R865" s="116"/>
      <c r="S865" s="116"/>
      <c r="T865" s="116"/>
      <c r="U865" s="103"/>
      <c r="V865" s="103"/>
      <c r="W865" s="103"/>
      <c r="X865" s="103"/>
      <c r="Y865" s="103"/>
      <c r="Z865" s="103"/>
      <c r="AA865" s="103"/>
    </row>
    <row r="866" spans="1:27">
      <c r="A866" s="155"/>
      <c r="B866" s="116"/>
      <c r="C866" s="116"/>
      <c r="D866" s="116"/>
      <c r="E866" s="116"/>
      <c r="F866" s="116"/>
      <c r="G866" s="116"/>
      <c r="H866" s="116"/>
      <c r="I866" s="116"/>
      <c r="J866" s="116"/>
      <c r="K866" s="116"/>
      <c r="L866" s="116"/>
      <c r="M866" s="116"/>
      <c r="N866" s="116"/>
      <c r="O866" s="116"/>
      <c r="P866" s="116"/>
      <c r="Q866" s="116"/>
      <c r="R866" s="116"/>
      <c r="S866" s="116"/>
      <c r="T866" s="116"/>
      <c r="U866" s="103"/>
      <c r="V866" s="103"/>
      <c r="W866" s="103"/>
      <c r="X866" s="103"/>
      <c r="Y866" s="103"/>
      <c r="Z866" s="103"/>
      <c r="AA866" s="103"/>
    </row>
    <row r="867" spans="1:27">
      <c r="A867" s="155"/>
      <c r="B867" s="116"/>
      <c r="C867" s="116"/>
      <c r="D867" s="116"/>
      <c r="E867" s="116"/>
      <c r="F867" s="116"/>
      <c r="G867" s="116"/>
      <c r="H867" s="116"/>
      <c r="I867" s="116"/>
      <c r="J867" s="116"/>
      <c r="K867" s="116"/>
      <c r="L867" s="116"/>
      <c r="M867" s="116"/>
      <c r="N867" s="116"/>
      <c r="O867" s="116"/>
      <c r="P867" s="116"/>
      <c r="Q867" s="116"/>
      <c r="R867" s="116"/>
      <c r="S867" s="116"/>
      <c r="T867" s="116"/>
      <c r="U867" s="103"/>
      <c r="V867" s="103"/>
      <c r="W867" s="103"/>
      <c r="X867" s="103"/>
      <c r="Y867" s="103"/>
      <c r="Z867" s="103"/>
      <c r="AA867" s="103"/>
    </row>
    <row r="868" spans="1:27">
      <c r="A868" s="155"/>
      <c r="B868" s="116"/>
      <c r="C868" s="116"/>
      <c r="D868" s="116"/>
      <c r="E868" s="116"/>
      <c r="F868" s="116"/>
      <c r="G868" s="116"/>
      <c r="H868" s="116"/>
      <c r="I868" s="116"/>
      <c r="J868" s="116"/>
      <c r="K868" s="116"/>
      <c r="L868" s="116"/>
      <c r="M868" s="116"/>
      <c r="N868" s="116"/>
      <c r="O868" s="116"/>
      <c r="P868" s="116"/>
      <c r="Q868" s="116"/>
      <c r="R868" s="116"/>
      <c r="S868" s="116"/>
      <c r="T868" s="116"/>
      <c r="U868" s="103"/>
      <c r="V868" s="103"/>
      <c r="W868" s="103"/>
      <c r="X868" s="103"/>
      <c r="Y868" s="103"/>
      <c r="Z868" s="103"/>
      <c r="AA868" s="103"/>
    </row>
    <row r="869" spans="1:27">
      <c r="A869" s="155"/>
      <c r="B869" s="116"/>
      <c r="C869" s="116"/>
      <c r="D869" s="116"/>
      <c r="E869" s="116"/>
      <c r="F869" s="116"/>
      <c r="G869" s="116"/>
      <c r="H869" s="116"/>
      <c r="I869" s="116"/>
      <c r="J869" s="116"/>
      <c r="K869" s="116"/>
      <c r="L869" s="116"/>
      <c r="M869" s="116"/>
      <c r="N869" s="116"/>
      <c r="O869" s="116"/>
      <c r="P869" s="116"/>
      <c r="Q869" s="116"/>
      <c r="R869" s="116"/>
      <c r="S869" s="116"/>
      <c r="T869" s="116"/>
      <c r="U869" s="103"/>
      <c r="V869" s="103"/>
      <c r="W869" s="103"/>
      <c r="X869" s="103"/>
      <c r="Y869" s="103"/>
      <c r="Z869" s="103"/>
      <c r="AA869" s="103"/>
    </row>
    <row r="870" spans="1:27">
      <c r="A870" s="155"/>
      <c r="B870" s="116"/>
      <c r="C870" s="116"/>
      <c r="D870" s="116"/>
      <c r="E870" s="116"/>
      <c r="F870" s="116"/>
      <c r="G870" s="116"/>
      <c r="H870" s="116"/>
      <c r="I870" s="116"/>
      <c r="J870" s="116"/>
      <c r="K870" s="116"/>
      <c r="L870" s="116"/>
      <c r="M870" s="116"/>
      <c r="N870" s="116"/>
      <c r="O870" s="116"/>
      <c r="P870" s="116"/>
      <c r="Q870" s="116"/>
      <c r="R870" s="116"/>
      <c r="S870" s="116"/>
      <c r="T870" s="116"/>
      <c r="U870" s="103"/>
      <c r="V870" s="103"/>
      <c r="W870" s="103"/>
      <c r="X870" s="103"/>
      <c r="Y870" s="103"/>
      <c r="Z870" s="103"/>
      <c r="AA870" s="103"/>
    </row>
    <row r="871" spans="1:27">
      <c r="A871" s="155"/>
      <c r="B871" s="116"/>
      <c r="C871" s="116"/>
      <c r="D871" s="116"/>
      <c r="E871" s="116"/>
      <c r="F871" s="116"/>
      <c r="G871" s="116"/>
      <c r="H871" s="116"/>
      <c r="I871" s="116"/>
      <c r="J871" s="116"/>
      <c r="K871" s="116"/>
      <c r="L871" s="116"/>
      <c r="M871" s="116"/>
      <c r="N871" s="116"/>
      <c r="O871" s="116"/>
      <c r="P871" s="116"/>
      <c r="Q871" s="116"/>
      <c r="R871" s="116"/>
      <c r="S871" s="116"/>
      <c r="T871" s="116"/>
      <c r="U871" s="103"/>
      <c r="V871" s="103"/>
      <c r="W871" s="103"/>
      <c r="X871" s="103"/>
      <c r="Y871" s="103"/>
      <c r="Z871" s="103"/>
      <c r="AA871" s="103"/>
    </row>
    <row r="872" spans="1:27">
      <c r="A872" s="155"/>
      <c r="B872" s="116"/>
      <c r="C872" s="116"/>
      <c r="D872" s="116"/>
      <c r="E872" s="116"/>
      <c r="F872" s="116"/>
      <c r="G872" s="116"/>
      <c r="H872" s="116"/>
      <c r="I872" s="116"/>
      <c r="J872" s="116"/>
      <c r="K872" s="116"/>
      <c r="L872" s="116"/>
      <c r="M872" s="116"/>
      <c r="N872" s="116"/>
      <c r="O872" s="116"/>
      <c r="P872" s="116"/>
      <c r="Q872" s="116"/>
      <c r="R872" s="116"/>
      <c r="S872" s="116"/>
      <c r="T872" s="116"/>
      <c r="U872" s="103"/>
      <c r="V872" s="103"/>
      <c r="W872" s="103"/>
      <c r="X872" s="103"/>
      <c r="Y872" s="103"/>
      <c r="Z872" s="103"/>
      <c r="AA872" s="103"/>
    </row>
    <row r="873" spans="1:27">
      <c r="A873" s="155"/>
      <c r="B873" s="116"/>
      <c r="C873" s="116"/>
      <c r="D873" s="116"/>
      <c r="E873" s="116"/>
      <c r="F873" s="116"/>
      <c r="G873" s="116"/>
      <c r="H873" s="116"/>
      <c r="I873" s="116"/>
      <c r="J873" s="116"/>
      <c r="K873" s="116"/>
      <c r="L873" s="116"/>
      <c r="M873" s="116"/>
      <c r="N873" s="116"/>
      <c r="O873" s="116"/>
      <c r="P873" s="116"/>
      <c r="Q873" s="116"/>
      <c r="R873" s="116"/>
      <c r="S873" s="116"/>
      <c r="T873" s="116"/>
      <c r="U873" s="103"/>
      <c r="V873" s="103"/>
      <c r="W873" s="103"/>
      <c r="X873" s="103"/>
      <c r="Y873" s="103"/>
      <c r="Z873" s="103"/>
      <c r="AA873" s="103"/>
    </row>
    <row r="874" spans="1:27">
      <c r="A874" s="155"/>
      <c r="B874" s="116"/>
      <c r="C874" s="116"/>
      <c r="D874" s="116"/>
      <c r="E874" s="116"/>
      <c r="F874" s="116"/>
      <c r="G874" s="116"/>
      <c r="H874" s="116"/>
      <c r="I874" s="116"/>
      <c r="J874" s="116"/>
      <c r="K874" s="116"/>
      <c r="L874" s="116"/>
      <c r="M874" s="116"/>
      <c r="N874" s="116"/>
      <c r="O874" s="116"/>
      <c r="P874" s="116"/>
      <c r="Q874" s="116"/>
      <c r="R874" s="116"/>
      <c r="S874" s="116"/>
      <c r="T874" s="116"/>
      <c r="U874" s="103"/>
      <c r="V874" s="103"/>
      <c r="W874" s="103"/>
      <c r="X874" s="103"/>
      <c r="Y874" s="103"/>
      <c r="Z874" s="103"/>
      <c r="AA874" s="103"/>
    </row>
    <row r="875" spans="1:27">
      <c r="A875" s="155"/>
      <c r="B875" s="116"/>
      <c r="C875" s="116"/>
      <c r="D875" s="116"/>
      <c r="E875" s="116"/>
      <c r="F875" s="116"/>
      <c r="G875" s="116"/>
      <c r="H875" s="116"/>
      <c r="I875" s="116"/>
      <c r="J875" s="116"/>
      <c r="K875" s="116"/>
      <c r="L875" s="116"/>
      <c r="M875" s="116"/>
      <c r="N875" s="116"/>
      <c r="O875" s="116"/>
      <c r="P875" s="116"/>
      <c r="Q875" s="116"/>
      <c r="R875" s="116"/>
      <c r="S875" s="116"/>
      <c r="T875" s="116"/>
      <c r="U875" s="103"/>
      <c r="V875" s="103"/>
      <c r="W875" s="103"/>
      <c r="X875" s="103"/>
      <c r="Y875" s="103"/>
      <c r="Z875" s="103"/>
      <c r="AA875" s="103"/>
    </row>
    <row r="876" spans="1:27">
      <c r="A876" s="155"/>
      <c r="B876" s="116"/>
      <c r="C876" s="116"/>
      <c r="D876" s="116"/>
      <c r="E876" s="116"/>
      <c r="F876" s="116"/>
      <c r="G876" s="116"/>
      <c r="H876" s="116"/>
      <c r="I876" s="116"/>
      <c r="J876" s="116"/>
      <c r="K876" s="116"/>
      <c r="L876" s="116"/>
      <c r="M876" s="116"/>
      <c r="N876" s="116"/>
      <c r="O876" s="116"/>
      <c r="P876" s="116"/>
      <c r="Q876" s="116"/>
      <c r="R876" s="116"/>
      <c r="S876" s="116"/>
      <c r="T876" s="116"/>
      <c r="U876" s="103"/>
      <c r="V876" s="103"/>
      <c r="W876" s="103"/>
      <c r="X876" s="103"/>
      <c r="Y876" s="103"/>
      <c r="Z876" s="103"/>
      <c r="AA876" s="103"/>
    </row>
    <row r="877" spans="1:27">
      <c r="A877" s="155"/>
      <c r="B877" s="116"/>
      <c r="C877" s="116"/>
      <c r="D877" s="116"/>
      <c r="E877" s="116"/>
      <c r="F877" s="116"/>
      <c r="G877" s="116"/>
      <c r="H877" s="116"/>
      <c r="I877" s="116"/>
      <c r="J877" s="116"/>
      <c r="K877" s="116"/>
      <c r="L877" s="116"/>
      <c r="M877" s="116"/>
      <c r="N877" s="116"/>
      <c r="O877" s="116"/>
      <c r="P877" s="116"/>
      <c r="Q877" s="116"/>
      <c r="R877" s="116"/>
      <c r="S877" s="116"/>
      <c r="T877" s="116"/>
      <c r="U877" s="103"/>
      <c r="V877" s="103"/>
      <c r="W877" s="103"/>
      <c r="X877" s="103"/>
      <c r="Y877" s="103"/>
      <c r="Z877" s="103"/>
      <c r="AA877" s="103"/>
    </row>
    <row r="878" spans="1:27">
      <c r="A878" s="155"/>
      <c r="B878" s="116"/>
      <c r="C878" s="116"/>
      <c r="D878" s="116"/>
      <c r="E878" s="116"/>
      <c r="F878" s="116"/>
      <c r="G878" s="116"/>
      <c r="H878" s="116"/>
      <c r="I878" s="116"/>
      <c r="J878" s="116"/>
      <c r="K878" s="116"/>
      <c r="L878" s="116"/>
      <c r="M878" s="116"/>
      <c r="N878" s="116"/>
      <c r="O878" s="116"/>
      <c r="P878" s="116"/>
      <c r="Q878" s="116"/>
      <c r="R878" s="116"/>
      <c r="S878" s="116"/>
      <c r="T878" s="116"/>
      <c r="U878" s="103"/>
      <c r="V878" s="103"/>
      <c r="W878" s="103"/>
      <c r="X878" s="103"/>
      <c r="Y878" s="103"/>
      <c r="Z878" s="103"/>
      <c r="AA878" s="103"/>
    </row>
    <row r="879" spans="1:27">
      <c r="A879" s="155"/>
      <c r="B879" s="116"/>
      <c r="C879" s="116"/>
      <c r="D879" s="116"/>
      <c r="E879" s="116"/>
      <c r="F879" s="116"/>
      <c r="G879" s="116"/>
      <c r="H879" s="116"/>
      <c r="I879" s="116"/>
      <c r="J879" s="116"/>
      <c r="K879" s="116"/>
      <c r="L879" s="116"/>
      <c r="M879" s="116"/>
      <c r="N879" s="116"/>
      <c r="O879" s="116"/>
      <c r="P879" s="116"/>
      <c r="Q879" s="116"/>
      <c r="R879" s="116"/>
      <c r="S879" s="116"/>
      <c r="T879" s="116"/>
      <c r="U879" s="103"/>
      <c r="V879" s="103"/>
      <c r="W879" s="103"/>
      <c r="X879" s="103"/>
      <c r="Y879" s="103"/>
      <c r="Z879" s="103"/>
      <c r="AA879" s="103"/>
    </row>
    <row r="880" spans="1:27">
      <c r="A880" s="155"/>
      <c r="B880" s="116"/>
      <c r="C880" s="116"/>
      <c r="D880" s="116"/>
      <c r="E880" s="116"/>
      <c r="F880" s="116"/>
      <c r="G880" s="116"/>
      <c r="H880" s="116"/>
      <c r="I880" s="116"/>
      <c r="J880" s="116"/>
      <c r="K880" s="116"/>
      <c r="L880" s="116"/>
      <c r="M880" s="116"/>
      <c r="N880" s="116"/>
      <c r="O880" s="116"/>
      <c r="P880" s="116"/>
      <c r="Q880" s="116"/>
      <c r="R880" s="116"/>
      <c r="S880" s="116"/>
      <c r="T880" s="116"/>
      <c r="U880" s="103"/>
      <c r="V880" s="103"/>
      <c r="W880" s="103"/>
      <c r="X880" s="103"/>
      <c r="Y880" s="103"/>
      <c r="Z880" s="103"/>
      <c r="AA880" s="103"/>
    </row>
    <row r="881" spans="1:27">
      <c r="A881" s="155"/>
      <c r="B881" s="116"/>
      <c r="C881" s="116"/>
      <c r="D881" s="116"/>
      <c r="E881" s="116"/>
      <c r="F881" s="116"/>
      <c r="G881" s="116"/>
      <c r="H881" s="116"/>
      <c r="I881" s="116"/>
      <c r="J881" s="116"/>
      <c r="K881" s="116"/>
      <c r="L881" s="116"/>
      <c r="M881" s="116"/>
      <c r="N881" s="116"/>
      <c r="O881" s="116"/>
      <c r="P881" s="116"/>
      <c r="Q881" s="116"/>
      <c r="R881" s="116"/>
      <c r="S881" s="116"/>
      <c r="T881" s="116"/>
      <c r="U881" s="103"/>
      <c r="V881" s="103"/>
      <c r="W881" s="103"/>
      <c r="X881" s="103"/>
      <c r="Y881" s="103"/>
      <c r="Z881" s="103"/>
      <c r="AA881" s="103"/>
    </row>
    <row r="882" spans="1:27">
      <c r="A882" s="155"/>
      <c r="B882" s="116"/>
      <c r="C882" s="116"/>
      <c r="D882" s="116"/>
      <c r="E882" s="116"/>
      <c r="F882" s="116"/>
      <c r="G882" s="116"/>
      <c r="H882" s="116"/>
      <c r="I882" s="116"/>
      <c r="J882" s="116"/>
      <c r="K882" s="116"/>
      <c r="L882" s="116"/>
      <c r="M882" s="116"/>
      <c r="N882" s="116"/>
      <c r="O882" s="116"/>
      <c r="P882" s="116"/>
      <c r="Q882" s="116"/>
      <c r="R882" s="116"/>
      <c r="S882" s="116"/>
      <c r="T882" s="116"/>
      <c r="U882" s="103"/>
      <c r="V882" s="103"/>
      <c r="W882" s="103"/>
      <c r="X882" s="103"/>
      <c r="Y882" s="103"/>
      <c r="Z882" s="103"/>
      <c r="AA882" s="103"/>
    </row>
    <row r="883" spans="1:27">
      <c r="A883" s="155"/>
      <c r="B883" s="116"/>
      <c r="C883" s="116"/>
      <c r="D883" s="116"/>
      <c r="E883" s="116"/>
      <c r="F883" s="116"/>
      <c r="G883" s="116"/>
      <c r="H883" s="116"/>
      <c r="I883" s="116"/>
      <c r="J883" s="116"/>
      <c r="K883" s="116"/>
      <c r="L883" s="116"/>
      <c r="M883" s="116"/>
      <c r="N883" s="116"/>
      <c r="O883" s="116"/>
      <c r="P883" s="116"/>
      <c r="Q883" s="116"/>
      <c r="R883" s="116"/>
      <c r="S883" s="116"/>
      <c r="T883" s="116"/>
      <c r="U883" s="103"/>
      <c r="V883" s="103"/>
      <c r="W883" s="103"/>
      <c r="X883" s="103"/>
      <c r="Y883" s="103"/>
      <c r="Z883" s="103"/>
      <c r="AA883" s="103"/>
    </row>
    <row r="884" spans="1:27">
      <c r="A884" s="155"/>
      <c r="B884" s="116"/>
      <c r="C884" s="116"/>
      <c r="D884" s="116"/>
      <c r="E884" s="116"/>
      <c r="F884" s="116"/>
      <c r="G884" s="116"/>
      <c r="H884" s="116"/>
      <c r="I884" s="116"/>
      <c r="J884" s="116"/>
      <c r="K884" s="116"/>
      <c r="L884" s="116"/>
      <c r="M884" s="116"/>
      <c r="N884" s="116"/>
      <c r="O884" s="116"/>
      <c r="P884" s="116"/>
      <c r="Q884" s="116"/>
      <c r="R884" s="116"/>
      <c r="S884" s="116"/>
      <c r="T884" s="116"/>
      <c r="U884" s="103"/>
      <c r="V884" s="103"/>
      <c r="W884" s="103"/>
      <c r="X884" s="103"/>
      <c r="Y884" s="103"/>
      <c r="Z884" s="103"/>
      <c r="AA884" s="103"/>
    </row>
    <row r="885" spans="1:27">
      <c r="A885" s="155"/>
      <c r="B885" s="116"/>
      <c r="C885" s="116"/>
      <c r="D885" s="116"/>
      <c r="E885" s="116"/>
      <c r="F885" s="116"/>
      <c r="G885" s="116"/>
      <c r="H885" s="116"/>
      <c r="I885" s="116"/>
      <c r="J885" s="116"/>
      <c r="K885" s="116"/>
      <c r="L885" s="116"/>
      <c r="M885" s="116"/>
      <c r="N885" s="116"/>
      <c r="O885" s="116"/>
      <c r="P885" s="116"/>
      <c r="Q885" s="116"/>
      <c r="R885" s="116"/>
      <c r="S885" s="116"/>
      <c r="T885" s="116"/>
      <c r="U885" s="103"/>
      <c r="V885" s="103"/>
      <c r="W885" s="103"/>
      <c r="X885" s="103"/>
      <c r="Y885" s="103"/>
      <c r="Z885" s="103"/>
      <c r="AA885" s="103"/>
    </row>
    <row r="886" spans="1:27">
      <c r="A886" s="155"/>
      <c r="B886" s="116"/>
      <c r="C886" s="116"/>
      <c r="D886" s="116"/>
      <c r="E886" s="116"/>
      <c r="F886" s="116"/>
      <c r="G886" s="116"/>
      <c r="H886" s="116"/>
      <c r="I886" s="116"/>
      <c r="J886" s="116"/>
      <c r="K886" s="116"/>
      <c r="L886" s="116"/>
      <c r="M886" s="116"/>
      <c r="N886" s="116"/>
      <c r="O886" s="116"/>
      <c r="P886" s="116"/>
      <c r="Q886" s="116"/>
      <c r="R886" s="116"/>
      <c r="S886" s="116"/>
      <c r="T886" s="116"/>
      <c r="U886" s="103"/>
      <c r="V886" s="103"/>
      <c r="W886" s="103"/>
      <c r="X886" s="103"/>
      <c r="Y886" s="103"/>
      <c r="Z886" s="103"/>
      <c r="AA886" s="103"/>
    </row>
    <row r="887" spans="1:27">
      <c r="A887" s="155"/>
      <c r="B887" s="116"/>
      <c r="C887" s="116"/>
      <c r="D887" s="116"/>
      <c r="E887" s="116"/>
      <c r="F887" s="116"/>
      <c r="G887" s="116"/>
      <c r="H887" s="116"/>
      <c r="I887" s="116"/>
      <c r="J887" s="116"/>
      <c r="K887" s="116"/>
      <c r="L887" s="116"/>
      <c r="M887" s="116"/>
      <c r="N887" s="116"/>
      <c r="O887" s="116"/>
      <c r="P887" s="116"/>
      <c r="Q887" s="116"/>
      <c r="R887" s="116"/>
      <c r="S887" s="116"/>
      <c r="T887" s="116"/>
      <c r="U887" s="103"/>
      <c r="V887" s="103"/>
      <c r="W887" s="103"/>
      <c r="X887" s="103"/>
      <c r="Y887" s="103"/>
      <c r="Z887" s="103"/>
      <c r="AA887" s="103"/>
    </row>
    <row r="888" spans="1:27">
      <c r="A888" s="155"/>
      <c r="B888" s="116"/>
      <c r="C888" s="116"/>
      <c r="D888" s="116"/>
      <c r="E888" s="116"/>
      <c r="F888" s="116"/>
      <c r="G888" s="116"/>
      <c r="H888" s="116"/>
      <c r="I888" s="116"/>
      <c r="J888" s="116"/>
      <c r="K888" s="116"/>
      <c r="L888" s="116"/>
      <c r="M888" s="116"/>
      <c r="N888" s="116"/>
      <c r="O888" s="116"/>
      <c r="P888" s="116"/>
      <c r="Q888" s="116"/>
      <c r="R888" s="116"/>
      <c r="S888" s="116"/>
      <c r="T888" s="116"/>
      <c r="U888" s="103"/>
      <c r="V888" s="103"/>
      <c r="W888" s="103"/>
      <c r="X888" s="103"/>
      <c r="Y888" s="103"/>
      <c r="Z888" s="103"/>
      <c r="AA888" s="103"/>
    </row>
    <row r="889" spans="1:27">
      <c r="A889" s="155"/>
      <c r="B889" s="116"/>
      <c r="C889" s="116"/>
      <c r="D889" s="116"/>
      <c r="E889" s="116"/>
      <c r="F889" s="116"/>
      <c r="G889" s="116"/>
      <c r="H889" s="116"/>
      <c r="I889" s="116"/>
      <c r="J889" s="116"/>
      <c r="K889" s="116"/>
      <c r="L889" s="116"/>
      <c r="M889" s="116"/>
      <c r="N889" s="116"/>
      <c r="O889" s="116"/>
      <c r="P889" s="116"/>
      <c r="Q889" s="116"/>
      <c r="R889" s="116"/>
      <c r="S889" s="116"/>
      <c r="T889" s="116"/>
      <c r="U889" s="103"/>
      <c r="V889" s="103"/>
      <c r="W889" s="103"/>
      <c r="X889" s="103"/>
      <c r="Y889" s="103"/>
      <c r="Z889" s="103"/>
      <c r="AA889" s="103"/>
    </row>
    <row r="890" spans="1:27">
      <c r="A890" s="155"/>
      <c r="B890" s="116"/>
      <c r="C890" s="116"/>
      <c r="D890" s="116"/>
      <c r="E890" s="116"/>
      <c r="F890" s="116"/>
      <c r="G890" s="116"/>
      <c r="H890" s="116"/>
      <c r="I890" s="116"/>
      <c r="J890" s="116"/>
      <c r="K890" s="116"/>
      <c r="L890" s="116"/>
      <c r="M890" s="116"/>
      <c r="N890" s="116"/>
      <c r="O890" s="116"/>
      <c r="P890" s="116"/>
      <c r="Q890" s="116"/>
      <c r="R890" s="116"/>
      <c r="S890" s="116"/>
      <c r="T890" s="116"/>
      <c r="U890" s="103"/>
      <c r="V890" s="103"/>
      <c r="W890" s="103"/>
      <c r="X890" s="103"/>
      <c r="Y890" s="103"/>
      <c r="Z890" s="103"/>
      <c r="AA890" s="103"/>
    </row>
    <row r="891" spans="1:27">
      <c r="A891" s="155"/>
      <c r="B891" s="116"/>
      <c r="C891" s="116"/>
      <c r="D891" s="116"/>
      <c r="E891" s="116"/>
      <c r="F891" s="116"/>
      <c r="G891" s="116"/>
      <c r="H891" s="116"/>
      <c r="I891" s="116"/>
      <c r="J891" s="116"/>
      <c r="K891" s="116"/>
      <c r="L891" s="116"/>
      <c r="M891" s="116"/>
      <c r="N891" s="116"/>
      <c r="O891" s="116"/>
      <c r="P891" s="116"/>
      <c r="Q891" s="116"/>
      <c r="R891" s="116"/>
      <c r="S891" s="116"/>
      <c r="T891" s="116"/>
      <c r="U891" s="103"/>
      <c r="V891" s="103"/>
      <c r="W891" s="103"/>
      <c r="X891" s="103"/>
      <c r="Y891" s="103"/>
      <c r="Z891" s="103"/>
      <c r="AA891" s="103"/>
    </row>
    <row r="892" spans="1:27">
      <c r="A892" s="155"/>
      <c r="B892" s="116"/>
      <c r="C892" s="116"/>
      <c r="D892" s="116"/>
      <c r="E892" s="116"/>
      <c r="F892" s="116"/>
      <c r="G892" s="116"/>
      <c r="H892" s="116"/>
      <c r="I892" s="116"/>
      <c r="J892" s="116"/>
      <c r="K892" s="116"/>
      <c r="L892" s="116"/>
      <c r="M892" s="116"/>
      <c r="N892" s="116"/>
      <c r="O892" s="116"/>
      <c r="P892" s="116"/>
      <c r="Q892" s="116"/>
      <c r="R892" s="116"/>
      <c r="S892" s="116"/>
      <c r="T892" s="116"/>
      <c r="U892" s="103"/>
      <c r="V892" s="103"/>
      <c r="W892" s="103"/>
      <c r="X892" s="103"/>
      <c r="Y892" s="103"/>
      <c r="Z892" s="103"/>
      <c r="AA892" s="103"/>
    </row>
    <row r="893" spans="1:27">
      <c r="A893" s="155"/>
      <c r="B893" s="116"/>
      <c r="C893" s="116"/>
      <c r="D893" s="116"/>
      <c r="E893" s="116"/>
      <c r="F893" s="116"/>
      <c r="G893" s="116"/>
      <c r="H893" s="116"/>
      <c r="I893" s="116"/>
      <c r="J893" s="116"/>
      <c r="K893" s="116"/>
      <c r="L893" s="116"/>
      <c r="M893" s="116"/>
      <c r="N893" s="116"/>
      <c r="O893" s="116"/>
      <c r="P893" s="116"/>
      <c r="Q893" s="116"/>
      <c r="R893" s="116"/>
      <c r="S893" s="116"/>
      <c r="T893" s="116"/>
      <c r="U893" s="103"/>
      <c r="V893" s="103"/>
      <c r="W893" s="103"/>
      <c r="X893" s="103"/>
      <c r="Y893" s="103"/>
      <c r="Z893" s="103"/>
      <c r="AA893" s="103"/>
    </row>
    <row r="894" spans="1:27">
      <c r="A894" s="155"/>
      <c r="B894" s="116"/>
      <c r="C894" s="116"/>
      <c r="D894" s="116"/>
      <c r="E894" s="116"/>
      <c r="F894" s="116"/>
      <c r="G894" s="116"/>
      <c r="H894" s="116"/>
      <c r="I894" s="116"/>
      <c r="J894" s="116"/>
      <c r="K894" s="116"/>
      <c r="L894" s="116"/>
      <c r="M894" s="116"/>
      <c r="N894" s="116"/>
      <c r="O894" s="116"/>
      <c r="P894" s="116"/>
      <c r="Q894" s="116"/>
      <c r="R894" s="116"/>
      <c r="S894" s="116"/>
      <c r="T894" s="116"/>
      <c r="U894" s="103"/>
      <c r="V894" s="103"/>
      <c r="W894" s="103"/>
      <c r="X894" s="103"/>
      <c r="Y894" s="103"/>
      <c r="Z894" s="103"/>
      <c r="AA894" s="103"/>
    </row>
    <row r="895" spans="1:27">
      <c r="A895" s="155"/>
      <c r="B895" s="116"/>
      <c r="C895" s="116"/>
      <c r="D895" s="116"/>
      <c r="E895" s="116"/>
      <c r="F895" s="116"/>
      <c r="G895" s="116"/>
      <c r="H895" s="116"/>
      <c r="I895" s="116"/>
      <c r="J895" s="116"/>
      <c r="K895" s="116"/>
      <c r="L895" s="116"/>
      <c r="M895" s="116"/>
      <c r="N895" s="116"/>
      <c r="O895" s="116"/>
      <c r="P895" s="116"/>
      <c r="Q895" s="116"/>
      <c r="R895" s="116"/>
      <c r="S895" s="116"/>
      <c r="T895" s="116"/>
      <c r="U895" s="103"/>
      <c r="V895" s="103"/>
      <c r="W895" s="103"/>
      <c r="X895" s="103"/>
      <c r="Y895" s="103"/>
      <c r="Z895" s="103"/>
      <c r="AA895" s="103"/>
    </row>
    <row r="896" spans="1:27">
      <c r="A896" s="155"/>
      <c r="B896" s="116"/>
      <c r="C896" s="116"/>
      <c r="D896" s="116"/>
      <c r="E896" s="116"/>
      <c r="F896" s="116"/>
      <c r="G896" s="116"/>
      <c r="H896" s="116"/>
      <c r="I896" s="116"/>
      <c r="J896" s="116"/>
      <c r="K896" s="116"/>
      <c r="L896" s="116"/>
      <c r="M896" s="116"/>
      <c r="N896" s="116"/>
      <c r="O896" s="116"/>
      <c r="P896" s="116"/>
      <c r="Q896" s="116"/>
      <c r="R896" s="116"/>
      <c r="S896" s="116"/>
      <c r="T896" s="116"/>
      <c r="U896" s="103"/>
      <c r="V896" s="103"/>
      <c r="W896" s="103"/>
      <c r="X896" s="103"/>
      <c r="Y896" s="103"/>
      <c r="Z896" s="103"/>
      <c r="AA896" s="103"/>
    </row>
    <row r="897" spans="1:27">
      <c r="A897" s="155"/>
      <c r="B897" s="116"/>
      <c r="C897" s="116"/>
      <c r="D897" s="116"/>
      <c r="E897" s="116"/>
      <c r="F897" s="116"/>
      <c r="G897" s="116"/>
      <c r="H897" s="116"/>
      <c r="I897" s="116"/>
      <c r="J897" s="116"/>
      <c r="K897" s="116"/>
      <c r="L897" s="116"/>
      <c r="M897" s="116"/>
      <c r="N897" s="116"/>
      <c r="O897" s="116"/>
      <c r="P897" s="116"/>
      <c r="Q897" s="116"/>
      <c r="R897" s="116"/>
      <c r="S897" s="116"/>
      <c r="T897" s="116"/>
      <c r="U897" s="103"/>
      <c r="V897" s="103"/>
      <c r="W897" s="103"/>
      <c r="X897" s="103"/>
      <c r="Y897" s="103"/>
      <c r="Z897" s="103"/>
      <c r="AA897" s="103"/>
    </row>
    <row r="898" spans="1:27">
      <c r="A898" s="155"/>
      <c r="B898" s="116"/>
      <c r="C898" s="116"/>
      <c r="D898" s="116"/>
      <c r="E898" s="116"/>
      <c r="F898" s="116"/>
      <c r="G898" s="116"/>
      <c r="H898" s="116"/>
      <c r="I898" s="116"/>
      <c r="J898" s="116"/>
      <c r="K898" s="116"/>
      <c r="L898" s="116"/>
      <c r="M898" s="116"/>
      <c r="N898" s="116"/>
      <c r="O898" s="116"/>
      <c r="P898" s="116"/>
      <c r="Q898" s="116"/>
      <c r="R898" s="116"/>
      <c r="S898" s="116"/>
      <c r="T898" s="116"/>
      <c r="U898" s="103"/>
      <c r="V898" s="103"/>
      <c r="W898" s="103"/>
      <c r="X898" s="103"/>
      <c r="Y898" s="103"/>
      <c r="Z898" s="103"/>
      <c r="AA898" s="103"/>
    </row>
    <row r="899" spans="1:27">
      <c r="A899" s="155"/>
      <c r="B899" s="116"/>
      <c r="C899" s="116"/>
      <c r="D899" s="116"/>
      <c r="E899" s="116"/>
      <c r="F899" s="116"/>
      <c r="G899" s="116"/>
      <c r="H899" s="116"/>
      <c r="I899" s="116"/>
      <c r="J899" s="116"/>
      <c r="K899" s="116"/>
      <c r="L899" s="116"/>
      <c r="M899" s="116"/>
      <c r="N899" s="116"/>
      <c r="O899" s="116"/>
      <c r="P899" s="116"/>
      <c r="Q899" s="116"/>
      <c r="R899" s="116"/>
      <c r="S899" s="116"/>
      <c r="T899" s="116"/>
      <c r="U899" s="103"/>
      <c r="V899" s="103"/>
      <c r="W899" s="103"/>
      <c r="X899" s="103"/>
      <c r="Y899" s="103"/>
      <c r="Z899" s="103"/>
      <c r="AA899" s="103"/>
    </row>
    <row r="900" spans="1:27">
      <c r="A900" s="155"/>
      <c r="B900" s="116"/>
      <c r="C900" s="116"/>
      <c r="D900" s="116"/>
      <c r="E900" s="116"/>
      <c r="F900" s="116"/>
      <c r="G900" s="116"/>
      <c r="H900" s="116"/>
      <c r="I900" s="116"/>
      <c r="J900" s="116"/>
      <c r="K900" s="116"/>
      <c r="L900" s="116"/>
      <c r="M900" s="116"/>
      <c r="N900" s="116"/>
      <c r="O900" s="116"/>
      <c r="P900" s="116"/>
      <c r="Q900" s="116"/>
      <c r="R900" s="116"/>
      <c r="S900" s="116"/>
      <c r="T900" s="116"/>
      <c r="U900" s="103"/>
      <c r="V900" s="103"/>
      <c r="W900" s="103"/>
      <c r="X900" s="103"/>
      <c r="Y900" s="103"/>
      <c r="Z900" s="103"/>
      <c r="AA900" s="103"/>
    </row>
    <row r="901" spans="1:27">
      <c r="A901" s="155"/>
      <c r="B901" s="116"/>
      <c r="C901" s="116"/>
      <c r="D901" s="116"/>
      <c r="E901" s="116"/>
      <c r="F901" s="116"/>
      <c r="G901" s="116"/>
      <c r="H901" s="116"/>
      <c r="I901" s="116"/>
      <c r="J901" s="116"/>
      <c r="K901" s="116"/>
      <c r="L901" s="116"/>
      <c r="M901" s="116"/>
      <c r="N901" s="116"/>
      <c r="O901" s="116"/>
      <c r="P901" s="116"/>
      <c r="Q901" s="116"/>
      <c r="R901" s="116"/>
      <c r="S901" s="116"/>
      <c r="T901" s="116"/>
      <c r="U901" s="103"/>
      <c r="V901" s="103"/>
      <c r="W901" s="103"/>
      <c r="X901" s="103"/>
      <c r="Y901" s="103"/>
      <c r="Z901" s="103"/>
      <c r="AA901" s="103"/>
    </row>
    <row r="902" spans="1:27">
      <c r="A902" s="155"/>
      <c r="B902" s="116"/>
      <c r="C902" s="116"/>
      <c r="D902" s="116"/>
      <c r="E902" s="116"/>
      <c r="F902" s="116"/>
      <c r="G902" s="116"/>
      <c r="H902" s="116"/>
      <c r="I902" s="116"/>
      <c r="J902" s="116"/>
      <c r="K902" s="116"/>
      <c r="L902" s="116"/>
      <c r="M902" s="116"/>
      <c r="N902" s="116"/>
      <c r="O902" s="116"/>
      <c r="P902" s="116"/>
      <c r="Q902" s="116"/>
      <c r="R902" s="116"/>
      <c r="S902" s="116"/>
      <c r="T902" s="116"/>
      <c r="U902" s="103"/>
      <c r="V902" s="103"/>
      <c r="W902" s="103"/>
      <c r="X902" s="103"/>
      <c r="Y902" s="103"/>
      <c r="Z902" s="103"/>
      <c r="AA902" s="103"/>
    </row>
    <row r="903" spans="1:27">
      <c r="A903" s="155"/>
      <c r="B903" s="116"/>
      <c r="C903" s="116"/>
      <c r="D903" s="116"/>
      <c r="E903" s="116"/>
      <c r="F903" s="116"/>
      <c r="G903" s="116"/>
      <c r="H903" s="116"/>
      <c r="I903" s="116"/>
      <c r="J903" s="116"/>
      <c r="K903" s="116"/>
      <c r="L903" s="116"/>
      <c r="M903" s="116"/>
      <c r="N903" s="116"/>
      <c r="O903" s="116"/>
      <c r="P903" s="116"/>
      <c r="Q903" s="116"/>
      <c r="R903" s="116"/>
      <c r="S903" s="116"/>
      <c r="T903" s="116"/>
      <c r="U903" s="103"/>
      <c r="V903" s="103"/>
      <c r="W903" s="103"/>
      <c r="X903" s="103"/>
      <c r="Y903" s="103"/>
      <c r="Z903" s="103"/>
      <c r="AA903" s="103"/>
    </row>
    <row r="904" spans="1:27">
      <c r="A904" s="155"/>
      <c r="B904" s="116"/>
      <c r="C904" s="116"/>
      <c r="D904" s="116"/>
      <c r="E904" s="116"/>
      <c r="F904" s="116"/>
      <c r="G904" s="116"/>
      <c r="H904" s="116"/>
      <c r="I904" s="116"/>
      <c r="J904" s="116"/>
      <c r="K904" s="116"/>
      <c r="L904" s="116"/>
      <c r="M904" s="116"/>
      <c r="N904" s="116"/>
      <c r="O904" s="116"/>
      <c r="P904" s="116"/>
      <c r="Q904" s="116"/>
      <c r="R904" s="116"/>
      <c r="S904" s="116"/>
      <c r="T904" s="116"/>
      <c r="U904" s="103"/>
      <c r="V904" s="103"/>
      <c r="W904" s="103"/>
      <c r="X904" s="103"/>
      <c r="Y904" s="103"/>
      <c r="Z904" s="103"/>
      <c r="AA904" s="103"/>
    </row>
    <row r="905" spans="1:27">
      <c r="A905" s="155"/>
      <c r="B905" s="116"/>
      <c r="C905" s="116"/>
      <c r="D905" s="116"/>
      <c r="E905" s="116"/>
      <c r="F905" s="116"/>
      <c r="G905" s="116"/>
      <c r="H905" s="116"/>
      <c r="I905" s="116"/>
      <c r="J905" s="116"/>
      <c r="K905" s="116"/>
      <c r="L905" s="116"/>
      <c r="M905" s="116"/>
      <c r="N905" s="116"/>
      <c r="O905" s="116"/>
      <c r="P905" s="116"/>
      <c r="Q905" s="116"/>
      <c r="R905" s="116"/>
      <c r="S905" s="116"/>
      <c r="T905" s="116"/>
      <c r="U905" s="103"/>
      <c r="V905" s="103"/>
      <c r="W905" s="103"/>
      <c r="X905" s="103"/>
      <c r="Y905" s="103"/>
      <c r="Z905" s="103"/>
      <c r="AA905" s="103"/>
    </row>
    <row r="906" spans="1:27">
      <c r="A906" s="155"/>
      <c r="B906" s="116"/>
      <c r="C906" s="116"/>
      <c r="D906" s="116"/>
      <c r="E906" s="116"/>
      <c r="F906" s="116"/>
      <c r="G906" s="116"/>
      <c r="H906" s="116"/>
      <c r="I906" s="116"/>
      <c r="J906" s="116"/>
      <c r="K906" s="116"/>
      <c r="L906" s="116"/>
      <c r="M906" s="116"/>
      <c r="N906" s="116"/>
      <c r="O906" s="116"/>
      <c r="P906" s="116"/>
      <c r="Q906" s="116"/>
      <c r="R906" s="116"/>
      <c r="S906" s="116"/>
      <c r="T906" s="116"/>
      <c r="U906" s="103"/>
      <c r="V906" s="103"/>
      <c r="W906" s="103"/>
      <c r="X906" s="103"/>
      <c r="Y906" s="103"/>
      <c r="Z906" s="103"/>
      <c r="AA906" s="103"/>
    </row>
    <row r="907" spans="1:27">
      <c r="A907" s="155"/>
      <c r="B907" s="116"/>
      <c r="C907" s="116"/>
      <c r="D907" s="116"/>
      <c r="E907" s="116"/>
      <c r="F907" s="116"/>
      <c r="G907" s="116"/>
      <c r="H907" s="116"/>
      <c r="I907" s="116"/>
      <c r="J907" s="116"/>
      <c r="K907" s="116"/>
      <c r="L907" s="116"/>
      <c r="M907" s="116"/>
      <c r="N907" s="116"/>
      <c r="O907" s="116"/>
      <c r="P907" s="116"/>
      <c r="Q907" s="116"/>
      <c r="R907" s="116"/>
      <c r="S907" s="116"/>
      <c r="T907" s="116"/>
      <c r="U907" s="103"/>
      <c r="V907" s="103"/>
      <c r="W907" s="103"/>
      <c r="X907" s="103"/>
      <c r="Y907" s="103"/>
      <c r="Z907" s="103"/>
      <c r="AA907" s="103"/>
    </row>
    <row r="908" spans="1:27">
      <c r="A908" s="155"/>
      <c r="B908" s="116"/>
      <c r="C908" s="116"/>
      <c r="D908" s="116"/>
      <c r="E908" s="116"/>
      <c r="F908" s="116"/>
      <c r="G908" s="116"/>
      <c r="H908" s="116"/>
      <c r="I908" s="116"/>
      <c r="J908" s="116"/>
      <c r="K908" s="116"/>
      <c r="L908" s="116"/>
      <c r="M908" s="116"/>
      <c r="N908" s="116"/>
      <c r="O908" s="116"/>
      <c r="P908" s="116"/>
      <c r="Q908" s="116"/>
      <c r="R908" s="116"/>
      <c r="S908" s="116"/>
      <c r="T908" s="116"/>
      <c r="U908" s="103"/>
      <c r="V908" s="103"/>
      <c r="W908" s="103"/>
      <c r="X908" s="103"/>
      <c r="Y908" s="103"/>
      <c r="Z908" s="103"/>
      <c r="AA908" s="103"/>
    </row>
    <row r="909" spans="1:27">
      <c r="A909" s="155"/>
      <c r="B909" s="116"/>
      <c r="C909" s="116"/>
      <c r="D909" s="116"/>
      <c r="E909" s="116"/>
      <c r="F909" s="116"/>
      <c r="G909" s="116"/>
      <c r="H909" s="116"/>
      <c r="I909" s="116"/>
      <c r="J909" s="116"/>
      <c r="K909" s="116"/>
      <c r="L909" s="116"/>
      <c r="M909" s="116"/>
      <c r="N909" s="116"/>
      <c r="O909" s="116"/>
      <c r="P909" s="116"/>
      <c r="Q909" s="116"/>
      <c r="R909" s="116"/>
      <c r="S909" s="116"/>
      <c r="T909" s="116"/>
      <c r="U909" s="103"/>
      <c r="V909" s="103"/>
      <c r="W909" s="103"/>
      <c r="X909" s="103"/>
      <c r="Y909" s="103"/>
      <c r="Z909" s="103"/>
      <c r="AA909" s="103"/>
    </row>
    <row r="910" spans="1:27">
      <c r="A910" s="155"/>
      <c r="B910" s="116"/>
      <c r="C910" s="116"/>
      <c r="D910" s="116"/>
      <c r="E910" s="116"/>
      <c r="F910" s="116"/>
      <c r="G910" s="116"/>
      <c r="H910" s="116"/>
      <c r="I910" s="116"/>
      <c r="J910" s="116"/>
      <c r="K910" s="116"/>
      <c r="L910" s="116"/>
      <c r="M910" s="116"/>
      <c r="N910" s="116"/>
      <c r="O910" s="116"/>
      <c r="P910" s="116"/>
      <c r="Q910" s="116"/>
      <c r="R910" s="116"/>
      <c r="S910" s="116"/>
      <c r="T910" s="116"/>
      <c r="U910" s="103"/>
      <c r="V910" s="103"/>
      <c r="W910" s="103"/>
      <c r="X910" s="103"/>
      <c r="Y910" s="103"/>
      <c r="Z910" s="103"/>
      <c r="AA910" s="103"/>
    </row>
    <row r="911" spans="1:27">
      <c r="A911" s="155"/>
      <c r="B911" s="116"/>
      <c r="C911" s="116"/>
      <c r="D911" s="116"/>
      <c r="E911" s="116"/>
      <c r="F911" s="116"/>
      <c r="G911" s="116"/>
      <c r="H911" s="116"/>
      <c r="I911" s="116"/>
      <c r="J911" s="116"/>
      <c r="K911" s="116"/>
      <c r="L911" s="116"/>
      <c r="M911" s="116"/>
      <c r="N911" s="116"/>
      <c r="O911" s="116"/>
      <c r="P911" s="116"/>
      <c r="Q911" s="116"/>
      <c r="R911" s="116"/>
      <c r="S911" s="116"/>
      <c r="T911" s="116"/>
      <c r="U911" s="103"/>
      <c r="V911" s="103"/>
      <c r="W911" s="103"/>
      <c r="X911" s="103"/>
      <c r="Y911" s="103"/>
      <c r="Z911" s="103"/>
      <c r="AA911" s="103"/>
    </row>
    <row r="912" spans="1:27">
      <c r="A912" s="155"/>
      <c r="B912" s="116"/>
      <c r="C912" s="116"/>
      <c r="D912" s="116"/>
      <c r="E912" s="116"/>
      <c r="F912" s="116"/>
      <c r="G912" s="116"/>
      <c r="H912" s="116"/>
      <c r="I912" s="116"/>
      <c r="J912" s="116"/>
      <c r="K912" s="116"/>
      <c r="L912" s="116"/>
      <c r="M912" s="116"/>
      <c r="N912" s="116"/>
      <c r="O912" s="116"/>
      <c r="P912" s="116"/>
      <c r="Q912" s="116"/>
      <c r="R912" s="116"/>
      <c r="S912" s="116"/>
      <c r="T912" s="116"/>
      <c r="U912" s="103"/>
      <c r="V912" s="103"/>
      <c r="W912" s="103"/>
      <c r="X912" s="103"/>
      <c r="Y912" s="103"/>
      <c r="Z912" s="103"/>
      <c r="AA912" s="103"/>
    </row>
    <row r="913" spans="1:27">
      <c r="A913" s="155"/>
      <c r="B913" s="116"/>
      <c r="C913" s="116"/>
      <c r="D913" s="116"/>
      <c r="E913" s="116"/>
      <c r="F913" s="116"/>
      <c r="G913" s="116"/>
      <c r="H913" s="116"/>
      <c r="I913" s="116"/>
      <c r="J913" s="116"/>
      <c r="K913" s="116"/>
      <c r="L913" s="116"/>
      <c r="M913" s="116"/>
      <c r="N913" s="116"/>
      <c r="O913" s="116"/>
      <c r="P913" s="116"/>
      <c r="Q913" s="116"/>
      <c r="R913" s="116"/>
      <c r="S913" s="116"/>
      <c r="T913" s="116"/>
      <c r="U913" s="103"/>
      <c r="V913" s="103"/>
      <c r="W913" s="103"/>
      <c r="X913" s="103"/>
      <c r="Y913" s="103"/>
      <c r="Z913" s="103"/>
      <c r="AA913" s="103"/>
    </row>
    <row r="914" spans="1:27">
      <c r="A914" s="155"/>
      <c r="B914" s="116"/>
      <c r="C914" s="116"/>
      <c r="D914" s="116"/>
      <c r="E914" s="116"/>
      <c r="F914" s="116"/>
      <c r="G914" s="116"/>
      <c r="H914" s="116"/>
      <c r="I914" s="116"/>
      <c r="J914" s="116"/>
      <c r="K914" s="116"/>
      <c r="L914" s="116"/>
      <c r="M914" s="116"/>
      <c r="N914" s="116"/>
      <c r="O914" s="116"/>
      <c r="P914" s="116"/>
      <c r="Q914" s="116"/>
      <c r="R914" s="116"/>
      <c r="S914" s="116"/>
      <c r="T914" s="116"/>
      <c r="U914" s="103"/>
      <c r="V914" s="103"/>
      <c r="W914" s="103"/>
      <c r="X914" s="103"/>
      <c r="Y914" s="103"/>
      <c r="Z914" s="103"/>
      <c r="AA914" s="103"/>
    </row>
    <row r="915" spans="1:27">
      <c r="A915" s="155"/>
      <c r="B915" s="116"/>
      <c r="C915" s="116"/>
      <c r="D915" s="116"/>
      <c r="E915" s="116"/>
      <c r="F915" s="116"/>
      <c r="G915" s="116"/>
      <c r="H915" s="116"/>
      <c r="I915" s="116"/>
      <c r="J915" s="116"/>
      <c r="K915" s="116"/>
      <c r="L915" s="116"/>
      <c r="M915" s="116"/>
      <c r="N915" s="116"/>
      <c r="O915" s="116"/>
      <c r="P915" s="116"/>
      <c r="Q915" s="116"/>
      <c r="R915" s="116"/>
      <c r="S915" s="116"/>
      <c r="T915" s="116"/>
      <c r="U915" s="103"/>
      <c r="V915" s="103"/>
      <c r="W915" s="103"/>
      <c r="X915" s="103"/>
      <c r="Y915" s="103"/>
      <c r="Z915" s="103"/>
      <c r="AA915" s="103"/>
    </row>
    <row r="916" spans="1:27">
      <c r="A916" s="155"/>
      <c r="B916" s="116"/>
      <c r="C916" s="116"/>
      <c r="D916" s="116"/>
      <c r="E916" s="116"/>
      <c r="F916" s="116"/>
      <c r="G916" s="116"/>
      <c r="H916" s="116"/>
      <c r="I916" s="116"/>
      <c r="J916" s="116"/>
      <c r="K916" s="116"/>
      <c r="L916" s="116"/>
      <c r="M916" s="116"/>
      <c r="N916" s="116"/>
      <c r="O916" s="116"/>
      <c r="P916" s="116"/>
      <c r="Q916" s="116"/>
      <c r="R916" s="116"/>
      <c r="S916" s="116"/>
      <c r="T916" s="116"/>
      <c r="U916" s="103"/>
      <c r="V916" s="103"/>
      <c r="W916" s="103"/>
      <c r="X916" s="103"/>
      <c r="Y916" s="103"/>
      <c r="Z916" s="103"/>
      <c r="AA916" s="103"/>
    </row>
    <row r="917" spans="1:27">
      <c r="A917" s="155"/>
      <c r="B917" s="116"/>
      <c r="C917" s="116"/>
      <c r="D917" s="116"/>
      <c r="E917" s="116"/>
      <c r="F917" s="116"/>
      <c r="G917" s="116"/>
      <c r="H917" s="116"/>
      <c r="I917" s="116"/>
      <c r="J917" s="116"/>
      <c r="K917" s="116"/>
      <c r="L917" s="116"/>
      <c r="M917" s="116"/>
      <c r="N917" s="116"/>
      <c r="O917" s="116"/>
      <c r="P917" s="116"/>
      <c r="Q917" s="116"/>
      <c r="R917" s="116"/>
      <c r="S917" s="116"/>
      <c r="T917" s="116"/>
      <c r="U917" s="103"/>
      <c r="V917" s="103"/>
      <c r="W917" s="103"/>
      <c r="X917" s="103"/>
      <c r="Y917" s="103"/>
      <c r="Z917" s="103"/>
      <c r="AA917" s="103"/>
    </row>
    <row r="918" spans="1:27">
      <c r="A918" s="155"/>
      <c r="B918" s="116"/>
      <c r="C918" s="116"/>
      <c r="D918" s="116"/>
      <c r="E918" s="116"/>
      <c r="F918" s="116"/>
      <c r="G918" s="116"/>
      <c r="H918" s="116"/>
      <c r="I918" s="116"/>
      <c r="J918" s="116"/>
      <c r="K918" s="116"/>
      <c r="L918" s="116"/>
      <c r="M918" s="116"/>
      <c r="N918" s="116"/>
      <c r="O918" s="116"/>
      <c r="P918" s="116"/>
      <c r="Q918" s="116"/>
      <c r="R918" s="116"/>
      <c r="S918" s="116"/>
      <c r="T918" s="116"/>
      <c r="U918" s="103"/>
      <c r="V918" s="103"/>
      <c r="W918" s="103"/>
      <c r="X918" s="103"/>
      <c r="Y918" s="103"/>
      <c r="Z918" s="103"/>
      <c r="AA918" s="103"/>
    </row>
    <row r="919" spans="1:27">
      <c r="A919" s="155"/>
      <c r="B919" s="116"/>
      <c r="C919" s="116"/>
      <c r="D919" s="116"/>
      <c r="E919" s="116"/>
      <c r="F919" s="116"/>
      <c r="G919" s="116"/>
      <c r="H919" s="116"/>
      <c r="I919" s="116"/>
      <c r="J919" s="116"/>
      <c r="K919" s="116"/>
      <c r="L919" s="116"/>
      <c r="M919" s="116"/>
      <c r="N919" s="116"/>
      <c r="O919" s="116"/>
      <c r="P919" s="116"/>
      <c r="Q919" s="116"/>
      <c r="R919" s="116"/>
      <c r="S919" s="116"/>
      <c r="T919" s="116"/>
      <c r="U919" s="103"/>
      <c r="V919" s="103"/>
      <c r="W919" s="103"/>
      <c r="X919" s="103"/>
      <c r="Y919" s="103"/>
      <c r="Z919" s="103"/>
      <c r="AA919" s="103"/>
    </row>
    <row r="920" spans="1:27">
      <c r="A920" s="155"/>
      <c r="B920" s="116"/>
      <c r="C920" s="116"/>
      <c r="D920" s="116"/>
      <c r="E920" s="116"/>
      <c r="F920" s="116"/>
      <c r="G920" s="116"/>
      <c r="H920" s="116"/>
      <c r="I920" s="116"/>
      <c r="J920" s="116"/>
      <c r="K920" s="116"/>
      <c r="L920" s="116"/>
      <c r="M920" s="116"/>
      <c r="N920" s="116"/>
      <c r="O920" s="116"/>
      <c r="P920" s="116"/>
      <c r="Q920" s="116"/>
      <c r="R920" s="116"/>
      <c r="S920" s="116"/>
      <c r="T920" s="116"/>
      <c r="U920" s="103"/>
      <c r="V920" s="103"/>
      <c r="W920" s="103"/>
      <c r="X920" s="103"/>
      <c r="Y920" s="103"/>
      <c r="Z920" s="103"/>
      <c r="AA920" s="103"/>
    </row>
    <row r="921" spans="1:27">
      <c r="A921" s="155"/>
      <c r="B921" s="116"/>
      <c r="C921" s="116"/>
      <c r="D921" s="116"/>
      <c r="E921" s="116"/>
      <c r="F921" s="116"/>
      <c r="G921" s="116"/>
      <c r="H921" s="116"/>
      <c r="I921" s="116"/>
      <c r="J921" s="116"/>
      <c r="K921" s="116"/>
      <c r="L921" s="116"/>
      <c r="M921" s="116"/>
      <c r="N921" s="116"/>
      <c r="O921" s="116"/>
      <c r="P921" s="116"/>
      <c r="Q921" s="116"/>
      <c r="R921" s="116"/>
      <c r="S921" s="116"/>
      <c r="T921" s="116"/>
      <c r="U921" s="103"/>
      <c r="V921" s="103"/>
      <c r="W921" s="103"/>
      <c r="X921" s="103"/>
      <c r="Y921" s="103"/>
      <c r="Z921" s="103"/>
      <c r="AA921" s="103"/>
    </row>
    <row r="922" spans="1:27">
      <c r="A922" s="155"/>
      <c r="B922" s="116"/>
      <c r="C922" s="116"/>
      <c r="D922" s="116"/>
      <c r="E922" s="116"/>
      <c r="F922" s="116"/>
      <c r="G922" s="116"/>
      <c r="H922" s="116"/>
      <c r="I922" s="116"/>
      <c r="J922" s="116"/>
      <c r="K922" s="116"/>
      <c r="L922" s="116"/>
      <c r="M922" s="116"/>
      <c r="N922" s="116"/>
      <c r="O922" s="116"/>
      <c r="P922" s="116"/>
      <c r="Q922" s="116"/>
      <c r="R922" s="116"/>
      <c r="S922" s="116"/>
      <c r="T922" s="116"/>
      <c r="U922" s="103"/>
      <c r="V922" s="103"/>
      <c r="W922" s="103"/>
      <c r="X922" s="103"/>
      <c r="Y922" s="103"/>
      <c r="Z922" s="103"/>
      <c r="AA922" s="103"/>
    </row>
    <row r="923" spans="1:27">
      <c r="A923" s="155"/>
      <c r="B923" s="116"/>
      <c r="C923" s="116"/>
      <c r="D923" s="116"/>
      <c r="E923" s="116"/>
      <c r="F923" s="116"/>
      <c r="G923" s="116"/>
      <c r="H923" s="116"/>
      <c r="I923" s="116"/>
      <c r="J923" s="116"/>
      <c r="K923" s="116"/>
      <c r="L923" s="116"/>
      <c r="M923" s="116"/>
      <c r="N923" s="116"/>
      <c r="O923" s="116"/>
      <c r="P923" s="116"/>
      <c r="Q923" s="116"/>
      <c r="R923" s="116"/>
      <c r="S923" s="116"/>
      <c r="T923" s="116"/>
      <c r="U923" s="103"/>
      <c r="V923" s="103"/>
      <c r="W923" s="103"/>
      <c r="X923" s="103"/>
      <c r="Y923" s="103"/>
      <c r="Z923" s="103"/>
      <c r="AA923" s="103"/>
    </row>
    <row r="924" spans="1:27">
      <c r="A924" s="155"/>
      <c r="B924" s="116"/>
      <c r="C924" s="116"/>
      <c r="D924" s="116"/>
      <c r="E924" s="116"/>
      <c r="F924" s="116"/>
      <c r="G924" s="116"/>
      <c r="H924" s="116"/>
      <c r="I924" s="116"/>
      <c r="J924" s="116"/>
      <c r="K924" s="116"/>
      <c r="L924" s="116"/>
      <c r="M924" s="116"/>
      <c r="N924" s="116"/>
      <c r="O924" s="116"/>
      <c r="P924" s="116"/>
      <c r="Q924" s="116"/>
      <c r="R924" s="116"/>
      <c r="S924" s="116"/>
      <c r="T924" s="116"/>
      <c r="U924" s="103"/>
      <c r="V924" s="103"/>
      <c r="W924" s="103"/>
      <c r="X924" s="103"/>
      <c r="Y924" s="103"/>
      <c r="Z924" s="103"/>
      <c r="AA924" s="103"/>
    </row>
    <row r="925" spans="1:27">
      <c r="A925" s="155"/>
      <c r="B925" s="116"/>
      <c r="C925" s="116"/>
      <c r="D925" s="116"/>
      <c r="E925" s="116"/>
      <c r="F925" s="116"/>
      <c r="G925" s="116"/>
      <c r="H925" s="116"/>
      <c r="I925" s="116"/>
      <c r="J925" s="116"/>
      <c r="K925" s="116"/>
      <c r="L925" s="116"/>
      <c r="M925" s="116"/>
      <c r="N925" s="116"/>
      <c r="O925" s="116"/>
      <c r="P925" s="116"/>
      <c r="Q925" s="116"/>
      <c r="R925" s="116"/>
      <c r="S925" s="116"/>
      <c r="T925" s="116"/>
      <c r="U925" s="103"/>
      <c r="V925" s="103"/>
      <c r="W925" s="103"/>
      <c r="X925" s="103"/>
      <c r="Y925" s="103"/>
      <c r="Z925" s="103"/>
      <c r="AA925" s="103"/>
    </row>
    <row r="926" spans="1:27">
      <c r="A926" s="155"/>
      <c r="B926" s="116"/>
      <c r="C926" s="116"/>
      <c r="D926" s="116"/>
      <c r="E926" s="116"/>
      <c r="F926" s="116"/>
      <c r="G926" s="116"/>
      <c r="H926" s="116"/>
      <c r="I926" s="116"/>
      <c r="J926" s="116"/>
      <c r="K926" s="116"/>
      <c r="L926" s="116"/>
      <c r="M926" s="116"/>
      <c r="N926" s="116"/>
      <c r="O926" s="116"/>
      <c r="P926" s="116"/>
      <c r="Q926" s="116"/>
      <c r="R926" s="116"/>
      <c r="S926" s="116"/>
      <c r="T926" s="116"/>
      <c r="U926" s="103"/>
      <c r="V926" s="103"/>
      <c r="W926" s="103"/>
      <c r="X926" s="103"/>
      <c r="Y926" s="103"/>
      <c r="Z926" s="103"/>
      <c r="AA926" s="103"/>
    </row>
    <row r="927" spans="1:27">
      <c r="A927" s="155"/>
      <c r="B927" s="116"/>
      <c r="C927" s="116"/>
      <c r="D927" s="116"/>
      <c r="E927" s="116"/>
      <c r="F927" s="116"/>
      <c r="G927" s="116"/>
      <c r="H927" s="116"/>
      <c r="I927" s="116"/>
      <c r="J927" s="116"/>
      <c r="K927" s="116"/>
      <c r="L927" s="116"/>
      <c r="M927" s="116"/>
      <c r="N927" s="116"/>
      <c r="O927" s="116"/>
      <c r="P927" s="116"/>
      <c r="Q927" s="116"/>
      <c r="R927" s="116"/>
      <c r="S927" s="116"/>
      <c r="T927" s="116"/>
      <c r="U927" s="103"/>
      <c r="V927" s="103"/>
      <c r="W927" s="103"/>
      <c r="X927" s="103"/>
      <c r="Y927" s="103"/>
      <c r="Z927" s="103"/>
      <c r="AA927" s="103"/>
    </row>
    <row r="928" spans="1:27">
      <c r="A928" s="155"/>
      <c r="B928" s="116"/>
      <c r="C928" s="116"/>
      <c r="D928" s="116"/>
      <c r="E928" s="116"/>
      <c r="F928" s="116"/>
      <c r="G928" s="116"/>
      <c r="H928" s="116"/>
      <c r="I928" s="116"/>
      <c r="J928" s="116"/>
      <c r="K928" s="116"/>
      <c r="L928" s="116"/>
      <c r="M928" s="116"/>
      <c r="N928" s="116"/>
      <c r="O928" s="116"/>
      <c r="P928" s="116"/>
      <c r="Q928" s="116"/>
      <c r="R928" s="116"/>
      <c r="S928" s="116"/>
      <c r="T928" s="116"/>
      <c r="U928" s="103"/>
      <c r="V928" s="103"/>
      <c r="W928" s="103"/>
      <c r="X928" s="103"/>
      <c r="Y928" s="103"/>
      <c r="Z928" s="103"/>
      <c r="AA928" s="103"/>
    </row>
    <row r="929" spans="1:27">
      <c r="A929" s="155"/>
      <c r="B929" s="116"/>
      <c r="C929" s="116"/>
      <c r="D929" s="116"/>
      <c r="E929" s="116"/>
      <c r="F929" s="116"/>
      <c r="G929" s="116"/>
      <c r="H929" s="116"/>
      <c r="I929" s="116"/>
      <c r="J929" s="116"/>
      <c r="K929" s="116"/>
      <c r="L929" s="116"/>
      <c r="M929" s="116"/>
      <c r="N929" s="116"/>
      <c r="O929" s="116"/>
      <c r="P929" s="116"/>
      <c r="Q929" s="116"/>
      <c r="R929" s="116"/>
      <c r="S929" s="116"/>
      <c r="T929" s="116"/>
      <c r="U929" s="103"/>
      <c r="V929" s="103"/>
      <c r="W929" s="103"/>
      <c r="X929" s="103"/>
      <c r="Y929" s="103"/>
      <c r="Z929" s="103"/>
      <c r="AA929" s="103"/>
    </row>
    <row r="930" spans="1:27">
      <c r="A930" s="155"/>
      <c r="B930" s="116"/>
      <c r="C930" s="116"/>
      <c r="D930" s="116"/>
      <c r="E930" s="116"/>
      <c r="F930" s="116"/>
      <c r="G930" s="116"/>
      <c r="H930" s="116"/>
      <c r="I930" s="116"/>
      <c r="J930" s="116"/>
      <c r="K930" s="116"/>
      <c r="L930" s="116"/>
      <c r="M930" s="116"/>
      <c r="N930" s="116"/>
      <c r="O930" s="116"/>
      <c r="P930" s="116"/>
      <c r="Q930" s="116"/>
      <c r="R930" s="116"/>
      <c r="S930" s="116"/>
      <c r="T930" s="116"/>
      <c r="U930" s="103"/>
      <c r="V930" s="103"/>
      <c r="W930" s="103"/>
      <c r="X930" s="103"/>
      <c r="Y930" s="103"/>
      <c r="Z930" s="103"/>
      <c r="AA930" s="103"/>
    </row>
    <row r="931" spans="1:27">
      <c r="A931" s="155"/>
      <c r="B931" s="116"/>
      <c r="C931" s="116"/>
      <c r="D931" s="116"/>
      <c r="E931" s="116"/>
      <c r="F931" s="116"/>
      <c r="G931" s="116"/>
      <c r="H931" s="116"/>
      <c r="I931" s="116"/>
      <c r="J931" s="116"/>
      <c r="K931" s="116"/>
      <c r="L931" s="116"/>
      <c r="M931" s="116"/>
      <c r="N931" s="116"/>
      <c r="O931" s="116"/>
      <c r="P931" s="116"/>
      <c r="Q931" s="116"/>
      <c r="R931" s="116"/>
      <c r="S931" s="116"/>
      <c r="T931" s="116"/>
      <c r="U931" s="103"/>
      <c r="V931" s="103"/>
      <c r="W931" s="103"/>
      <c r="X931" s="103"/>
      <c r="Y931" s="103"/>
      <c r="Z931" s="103"/>
      <c r="AA931" s="103"/>
    </row>
    <row r="932" spans="1:27">
      <c r="A932" s="155"/>
      <c r="B932" s="116"/>
      <c r="C932" s="116"/>
      <c r="D932" s="116"/>
      <c r="E932" s="116"/>
      <c r="F932" s="116"/>
      <c r="G932" s="116"/>
      <c r="H932" s="116"/>
      <c r="I932" s="116"/>
      <c r="J932" s="116"/>
      <c r="K932" s="116"/>
      <c r="L932" s="116"/>
      <c r="M932" s="116"/>
      <c r="N932" s="116"/>
      <c r="O932" s="116"/>
      <c r="P932" s="116"/>
      <c r="Q932" s="116"/>
      <c r="R932" s="116"/>
      <c r="S932" s="116"/>
      <c r="T932" s="116"/>
      <c r="U932" s="103"/>
      <c r="V932" s="103"/>
      <c r="W932" s="103"/>
      <c r="X932" s="103"/>
      <c r="Y932" s="103"/>
      <c r="Z932" s="103"/>
      <c r="AA932" s="103"/>
    </row>
    <row r="933" spans="1:27">
      <c r="A933" s="155"/>
      <c r="B933" s="116"/>
      <c r="C933" s="116"/>
      <c r="D933" s="116"/>
      <c r="E933" s="116"/>
      <c r="F933" s="116"/>
      <c r="G933" s="116"/>
      <c r="H933" s="116"/>
      <c r="I933" s="116"/>
      <c r="J933" s="116"/>
      <c r="K933" s="116"/>
      <c r="L933" s="116"/>
      <c r="M933" s="116"/>
      <c r="N933" s="116"/>
      <c r="O933" s="116"/>
      <c r="P933" s="116"/>
      <c r="Q933" s="116"/>
      <c r="R933" s="116"/>
      <c r="S933" s="116"/>
      <c r="T933" s="116"/>
      <c r="U933" s="103"/>
      <c r="V933" s="103"/>
      <c r="W933" s="103"/>
      <c r="X933" s="103"/>
      <c r="Y933" s="103"/>
      <c r="Z933" s="103"/>
      <c r="AA933" s="103"/>
    </row>
    <row r="934" spans="1:27">
      <c r="A934" s="155"/>
      <c r="B934" s="116"/>
      <c r="C934" s="116"/>
      <c r="D934" s="116"/>
      <c r="E934" s="116"/>
      <c r="F934" s="116"/>
      <c r="G934" s="116"/>
      <c r="H934" s="116"/>
      <c r="I934" s="116"/>
      <c r="J934" s="116"/>
      <c r="K934" s="116"/>
      <c r="L934" s="116"/>
      <c r="M934" s="116"/>
      <c r="N934" s="116"/>
      <c r="O934" s="116"/>
      <c r="P934" s="116"/>
      <c r="Q934" s="116"/>
      <c r="R934" s="116"/>
      <c r="S934" s="116"/>
      <c r="T934" s="116"/>
      <c r="U934" s="103"/>
      <c r="V934" s="103"/>
      <c r="W934" s="103"/>
      <c r="X934" s="103"/>
      <c r="Y934" s="103"/>
      <c r="Z934" s="103"/>
      <c r="AA934" s="103"/>
    </row>
    <row r="935" spans="1:27">
      <c r="A935" s="155"/>
      <c r="B935" s="116"/>
      <c r="C935" s="116"/>
      <c r="D935" s="116"/>
      <c r="E935" s="116"/>
      <c r="F935" s="116"/>
      <c r="G935" s="116"/>
      <c r="H935" s="116"/>
      <c r="I935" s="116"/>
      <c r="J935" s="116"/>
      <c r="K935" s="116"/>
      <c r="L935" s="116"/>
      <c r="M935" s="116"/>
      <c r="N935" s="116"/>
      <c r="O935" s="116"/>
      <c r="P935" s="116"/>
      <c r="Q935" s="116"/>
      <c r="R935" s="116"/>
      <c r="S935" s="116"/>
      <c r="T935" s="116"/>
      <c r="U935" s="103"/>
      <c r="V935" s="103"/>
      <c r="W935" s="103"/>
      <c r="X935" s="103"/>
      <c r="Y935" s="103"/>
      <c r="Z935" s="103"/>
      <c r="AA935" s="103"/>
    </row>
    <row r="936" spans="1:27">
      <c r="A936" s="155"/>
      <c r="B936" s="116"/>
      <c r="C936" s="116"/>
      <c r="D936" s="116"/>
      <c r="E936" s="116"/>
      <c r="F936" s="116"/>
      <c r="G936" s="116"/>
      <c r="H936" s="116"/>
      <c r="I936" s="116"/>
      <c r="J936" s="116"/>
      <c r="K936" s="116"/>
      <c r="L936" s="116"/>
      <c r="M936" s="116"/>
      <c r="N936" s="116"/>
      <c r="O936" s="116"/>
      <c r="P936" s="116"/>
      <c r="Q936" s="116"/>
      <c r="R936" s="116"/>
      <c r="S936" s="116"/>
      <c r="T936" s="116"/>
      <c r="U936" s="103"/>
      <c r="V936" s="103"/>
      <c r="W936" s="103"/>
      <c r="X936" s="103"/>
      <c r="Y936" s="103"/>
      <c r="Z936" s="103"/>
      <c r="AA936" s="103"/>
    </row>
    <row r="937" spans="1:27">
      <c r="A937" s="155"/>
      <c r="B937" s="116"/>
      <c r="C937" s="116"/>
      <c r="D937" s="116"/>
      <c r="E937" s="116"/>
      <c r="F937" s="116"/>
      <c r="G937" s="116"/>
      <c r="H937" s="116"/>
      <c r="I937" s="116"/>
      <c r="J937" s="116"/>
      <c r="K937" s="116"/>
      <c r="L937" s="116"/>
      <c r="M937" s="116"/>
      <c r="N937" s="116"/>
      <c r="O937" s="116"/>
      <c r="P937" s="116"/>
      <c r="Q937" s="116"/>
      <c r="R937" s="116"/>
      <c r="S937" s="116"/>
      <c r="T937" s="116"/>
      <c r="U937" s="103"/>
      <c r="V937" s="103"/>
      <c r="W937" s="103"/>
      <c r="X937" s="103"/>
      <c r="Y937" s="103"/>
      <c r="Z937" s="103"/>
      <c r="AA937" s="103"/>
    </row>
    <row r="938" spans="1:27">
      <c r="A938" s="155"/>
      <c r="B938" s="116"/>
      <c r="C938" s="116"/>
      <c r="D938" s="116"/>
      <c r="E938" s="116"/>
      <c r="F938" s="116"/>
      <c r="G938" s="116"/>
      <c r="H938" s="116"/>
      <c r="I938" s="116"/>
      <c r="J938" s="116"/>
      <c r="K938" s="116"/>
      <c r="L938" s="116"/>
      <c r="M938" s="116"/>
      <c r="N938" s="116"/>
      <c r="O938" s="116"/>
      <c r="P938" s="116"/>
      <c r="Q938" s="116"/>
      <c r="R938" s="116"/>
      <c r="S938" s="116"/>
      <c r="T938" s="116"/>
      <c r="U938" s="103"/>
      <c r="V938" s="103"/>
      <c r="W938" s="103"/>
      <c r="X938" s="103"/>
      <c r="Y938" s="103"/>
      <c r="Z938" s="103"/>
      <c r="AA938" s="103"/>
    </row>
    <row r="939" spans="1:27">
      <c r="A939" s="155"/>
      <c r="B939" s="116"/>
      <c r="C939" s="116"/>
      <c r="D939" s="116"/>
      <c r="E939" s="116"/>
      <c r="F939" s="116"/>
      <c r="G939" s="116"/>
      <c r="H939" s="116"/>
      <c r="I939" s="116"/>
      <c r="J939" s="116"/>
      <c r="K939" s="116"/>
      <c r="L939" s="116"/>
      <c r="M939" s="116"/>
      <c r="N939" s="116"/>
      <c r="O939" s="116"/>
      <c r="P939" s="116"/>
      <c r="Q939" s="116"/>
      <c r="R939" s="116"/>
      <c r="S939" s="116"/>
      <c r="T939" s="116"/>
      <c r="U939" s="103"/>
      <c r="V939" s="103"/>
      <c r="W939" s="103"/>
      <c r="X939" s="103"/>
      <c r="Y939" s="103"/>
      <c r="Z939" s="103"/>
      <c r="AA939" s="103"/>
    </row>
    <row r="940" spans="1:27">
      <c r="A940" s="155"/>
      <c r="B940" s="116"/>
      <c r="C940" s="116"/>
      <c r="D940" s="116"/>
      <c r="E940" s="116"/>
      <c r="F940" s="116"/>
      <c r="G940" s="116"/>
      <c r="H940" s="116"/>
      <c r="I940" s="116"/>
      <c r="J940" s="116"/>
      <c r="K940" s="116"/>
      <c r="L940" s="116"/>
      <c r="M940" s="116"/>
      <c r="N940" s="116"/>
      <c r="O940" s="116"/>
      <c r="P940" s="116"/>
      <c r="Q940" s="116"/>
      <c r="R940" s="116"/>
      <c r="S940" s="116"/>
      <c r="T940" s="116"/>
      <c r="U940" s="103"/>
      <c r="V940" s="103"/>
      <c r="W940" s="103"/>
      <c r="X940" s="103"/>
      <c r="Y940" s="103"/>
      <c r="Z940" s="103"/>
      <c r="AA940" s="103"/>
    </row>
    <row r="941" spans="1:27">
      <c r="A941" s="155"/>
      <c r="B941" s="116"/>
      <c r="C941" s="116"/>
      <c r="D941" s="116"/>
      <c r="E941" s="116"/>
      <c r="F941" s="116"/>
      <c r="G941" s="116"/>
      <c r="H941" s="116"/>
      <c r="I941" s="116"/>
      <c r="J941" s="116"/>
      <c r="K941" s="116"/>
      <c r="L941" s="116"/>
      <c r="M941" s="116"/>
      <c r="N941" s="116"/>
      <c r="O941" s="116"/>
      <c r="P941" s="116"/>
      <c r="Q941" s="116"/>
      <c r="R941" s="116"/>
      <c r="S941" s="116"/>
      <c r="T941" s="116"/>
      <c r="U941" s="103"/>
      <c r="V941" s="103"/>
      <c r="W941" s="103"/>
      <c r="X941" s="103"/>
      <c r="Y941" s="103"/>
      <c r="Z941" s="103"/>
      <c r="AA941" s="103"/>
    </row>
    <row r="942" spans="1:27">
      <c r="A942" s="155"/>
      <c r="B942" s="116"/>
      <c r="C942" s="116"/>
      <c r="D942" s="116"/>
      <c r="E942" s="116"/>
      <c r="F942" s="116"/>
      <c r="G942" s="116"/>
      <c r="H942" s="116"/>
      <c r="I942" s="116"/>
      <c r="J942" s="116"/>
      <c r="K942" s="116"/>
      <c r="L942" s="116"/>
      <c r="M942" s="116"/>
      <c r="N942" s="116"/>
      <c r="O942" s="116"/>
      <c r="P942" s="116"/>
      <c r="Q942" s="116"/>
      <c r="R942" s="116"/>
      <c r="S942" s="116"/>
      <c r="T942" s="116"/>
      <c r="U942" s="103"/>
      <c r="V942" s="103"/>
      <c r="W942" s="103"/>
      <c r="X942" s="103"/>
      <c r="Y942" s="103"/>
      <c r="Z942" s="103"/>
      <c r="AA942" s="103"/>
    </row>
    <row r="943" spans="1:27">
      <c r="A943" s="155"/>
      <c r="B943" s="116"/>
      <c r="C943" s="116"/>
      <c r="D943" s="116"/>
      <c r="E943" s="116"/>
      <c r="F943" s="116"/>
      <c r="G943" s="116"/>
      <c r="H943" s="116"/>
      <c r="I943" s="116"/>
      <c r="J943" s="116"/>
      <c r="K943" s="116"/>
      <c r="L943" s="116"/>
      <c r="M943" s="116"/>
      <c r="N943" s="116"/>
      <c r="O943" s="116"/>
      <c r="P943" s="116"/>
      <c r="Q943" s="116"/>
      <c r="R943" s="116"/>
      <c r="S943" s="116"/>
      <c r="T943" s="116"/>
      <c r="U943" s="103"/>
      <c r="V943" s="103"/>
      <c r="W943" s="103"/>
      <c r="X943" s="103"/>
      <c r="Y943" s="103"/>
      <c r="Z943" s="103"/>
      <c r="AA943" s="103"/>
    </row>
    <row r="944" spans="1:27">
      <c r="A944" s="155"/>
      <c r="B944" s="116"/>
      <c r="C944" s="116"/>
      <c r="D944" s="116"/>
      <c r="E944" s="116"/>
      <c r="F944" s="116"/>
      <c r="G944" s="116"/>
      <c r="H944" s="116"/>
      <c r="I944" s="116"/>
      <c r="J944" s="116"/>
      <c r="K944" s="116"/>
      <c r="L944" s="116"/>
      <c r="M944" s="116"/>
      <c r="N944" s="116"/>
      <c r="O944" s="116"/>
      <c r="P944" s="116"/>
      <c r="Q944" s="116"/>
      <c r="R944" s="116"/>
      <c r="S944" s="116"/>
      <c r="T944" s="116"/>
      <c r="U944" s="103"/>
      <c r="V944" s="103"/>
      <c r="W944" s="103"/>
      <c r="X944" s="103"/>
      <c r="Y944" s="103"/>
      <c r="Z944" s="103"/>
      <c r="AA944" s="103"/>
    </row>
    <row r="945" spans="1:27">
      <c r="A945" s="155"/>
      <c r="B945" s="116"/>
      <c r="C945" s="116"/>
      <c r="D945" s="116"/>
      <c r="E945" s="116"/>
      <c r="F945" s="116"/>
      <c r="G945" s="116"/>
      <c r="H945" s="116"/>
      <c r="I945" s="116"/>
      <c r="J945" s="116"/>
      <c r="K945" s="116"/>
      <c r="L945" s="116"/>
      <c r="M945" s="116"/>
      <c r="N945" s="116"/>
      <c r="O945" s="116"/>
      <c r="P945" s="116"/>
      <c r="Q945" s="116"/>
      <c r="R945" s="116"/>
      <c r="S945" s="116"/>
      <c r="T945" s="116"/>
      <c r="U945" s="103"/>
      <c r="V945" s="103"/>
      <c r="W945" s="103"/>
      <c r="X945" s="103"/>
      <c r="Y945" s="103"/>
      <c r="Z945" s="103"/>
      <c r="AA945" s="103"/>
    </row>
    <row r="946" spans="1:27">
      <c r="A946" s="155"/>
      <c r="B946" s="116"/>
      <c r="C946" s="116"/>
      <c r="D946" s="116"/>
      <c r="E946" s="116"/>
      <c r="F946" s="116"/>
      <c r="G946" s="116"/>
      <c r="H946" s="116"/>
      <c r="I946" s="116"/>
      <c r="J946" s="116"/>
      <c r="K946" s="116"/>
      <c r="L946" s="116"/>
      <c r="M946" s="116"/>
      <c r="N946" s="116"/>
      <c r="O946" s="116"/>
      <c r="P946" s="116"/>
      <c r="Q946" s="116"/>
      <c r="R946" s="116"/>
      <c r="S946" s="116"/>
      <c r="T946" s="116"/>
      <c r="U946" s="103"/>
      <c r="V946" s="103"/>
      <c r="W946" s="103"/>
      <c r="X946" s="103"/>
      <c r="Y946" s="103"/>
      <c r="Z946" s="103"/>
      <c r="AA946" s="103"/>
    </row>
    <row r="947" spans="1:27">
      <c r="A947" s="155"/>
      <c r="B947" s="116"/>
      <c r="C947" s="116"/>
      <c r="D947" s="116"/>
      <c r="E947" s="116"/>
      <c r="F947" s="116"/>
      <c r="G947" s="116"/>
      <c r="H947" s="116"/>
      <c r="I947" s="116"/>
      <c r="J947" s="116"/>
      <c r="K947" s="116"/>
      <c r="L947" s="116"/>
      <c r="M947" s="116"/>
      <c r="N947" s="116"/>
      <c r="O947" s="116"/>
      <c r="P947" s="116"/>
      <c r="Q947" s="116"/>
      <c r="R947" s="116"/>
      <c r="S947" s="116"/>
      <c r="T947" s="116"/>
      <c r="U947" s="103"/>
      <c r="V947" s="103"/>
      <c r="W947" s="103"/>
      <c r="X947" s="103"/>
      <c r="Y947" s="103"/>
      <c r="Z947" s="103"/>
      <c r="AA947" s="103"/>
    </row>
    <row r="948" spans="1:27">
      <c r="A948" s="155"/>
      <c r="B948" s="116"/>
      <c r="C948" s="116"/>
      <c r="D948" s="116"/>
      <c r="E948" s="116"/>
      <c r="F948" s="116"/>
      <c r="G948" s="116"/>
      <c r="H948" s="116"/>
      <c r="I948" s="116"/>
      <c r="J948" s="116"/>
      <c r="K948" s="116"/>
      <c r="L948" s="116"/>
      <c r="M948" s="116"/>
      <c r="N948" s="116"/>
      <c r="O948" s="116"/>
      <c r="P948" s="116"/>
      <c r="Q948" s="116"/>
      <c r="R948" s="116"/>
      <c r="S948" s="116"/>
      <c r="T948" s="116"/>
      <c r="U948" s="103"/>
      <c r="V948" s="103"/>
      <c r="W948" s="103"/>
      <c r="X948" s="103"/>
      <c r="Y948" s="103"/>
      <c r="Z948" s="103"/>
      <c r="AA948" s="103"/>
    </row>
    <row r="949" spans="1:27">
      <c r="A949" s="155"/>
      <c r="B949" s="116"/>
      <c r="C949" s="116"/>
      <c r="D949" s="116"/>
      <c r="E949" s="116"/>
      <c r="F949" s="116"/>
      <c r="G949" s="116"/>
      <c r="H949" s="116"/>
      <c r="I949" s="116"/>
      <c r="J949" s="116"/>
      <c r="K949" s="116"/>
      <c r="L949" s="116"/>
      <c r="M949" s="116"/>
      <c r="N949" s="116"/>
      <c r="O949" s="116"/>
      <c r="P949" s="116"/>
      <c r="Q949" s="116"/>
      <c r="R949" s="116"/>
      <c r="S949" s="116"/>
      <c r="T949" s="116"/>
      <c r="U949" s="103"/>
      <c r="V949" s="103"/>
      <c r="W949" s="103"/>
      <c r="X949" s="103"/>
      <c r="Y949" s="103"/>
      <c r="Z949" s="103"/>
      <c r="AA949" s="103"/>
    </row>
    <row r="950" spans="1:27">
      <c r="A950" s="155"/>
      <c r="B950" s="116"/>
      <c r="C950" s="116"/>
      <c r="D950" s="116"/>
      <c r="E950" s="116"/>
      <c r="F950" s="116"/>
      <c r="G950" s="116"/>
      <c r="H950" s="116"/>
      <c r="I950" s="116"/>
      <c r="J950" s="116"/>
      <c r="K950" s="116"/>
      <c r="L950" s="116"/>
      <c r="M950" s="116"/>
      <c r="N950" s="116"/>
      <c r="O950" s="116"/>
      <c r="P950" s="116"/>
      <c r="Q950" s="116"/>
      <c r="R950" s="116"/>
      <c r="S950" s="116"/>
      <c r="T950" s="116"/>
      <c r="U950" s="103"/>
      <c r="V950" s="103"/>
      <c r="W950" s="103"/>
      <c r="X950" s="103"/>
      <c r="Y950" s="103"/>
      <c r="Z950" s="103"/>
      <c r="AA950" s="103"/>
    </row>
    <row r="951" spans="1:27">
      <c r="A951" s="155"/>
      <c r="B951" s="116"/>
      <c r="C951" s="116"/>
      <c r="D951" s="116"/>
      <c r="E951" s="116"/>
      <c r="F951" s="116"/>
      <c r="G951" s="116"/>
      <c r="H951" s="116"/>
      <c r="I951" s="116"/>
      <c r="J951" s="116"/>
      <c r="K951" s="116"/>
      <c r="L951" s="116"/>
      <c r="M951" s="116"/>
      <c r="N951" s="116"/>
      <c r="O951" s="116"/>
      <c r="P951" s="116"/>
      <c r="Q951" s="116"/>
      <c r="R951" s="116"/>
      <c r="S951" s="116"/>
      <c r="T951" s="116"/>
      <c r="U951" s="103"/>
      <c r="V951" s="103"/>
      <c r="W951" s="103"/>
      <c r="X951" s="103"/>
      <c r="Y951" s="103"/>
      <c r="Z951" s="103"/>
      <c r="AA951" s="103"/>
    </row>
    <row r="952" spans="1:27">
      <c r="A952" s="155"/>
      <c r="B952" s="116"/>
      <c r="C952" s="116"/>
      <c r="D952" s="116"/>
      <c r="E952" s="116"/>
      <c r="F952" s="116"/>
      <c r="G952" s="116"/>
      <c r="H952" s="116"/>
      <c r="I952" s="116"/>
      <c r="J952" s="116"/>
      <c r="K952" s="116"/>
      <c r="L952" s="116"/>
      <c r="M952" s="116"/>
      <c r="N952" s="116"/>
      <c r="O952" s="116"/>
      <c r="P952" s="116"/>
      <c r="Q952" s="116"/>
      <c r="R952" s="116"/>
      <c r="S952" s="116"/>
      <c r="T952" s="116"/>
      <c r="U952" s="103"/>
      <c r="V952" s="103"/>
      <c r="W952" s="103"/>
      <c r="X952" s="103"/>
      <c r="Y952" s="103"/>
      <c r="Z952" s="103"/>
      <c r="AA952" s="103"/>
    </row>
    <row r="953" spans="1:27">
      <c r="A953" s="155"/>
      <c r="B953" s="116"/>
      <c r="C953" s="116"/>
      <c r="D953" s="116"/>
      <c r="E953" s="116"/>
      <c r="F953" s="116"/>
      <c r="G953" s="116"/>
      <c r="H953" s="116"/>
      <c r="I953" s="116"/>
      <c r="J953" s="116"/>
      <c r="K953" s="116"/>
      <c r="L953" s="116"/>
      <c r="M953" s="116"/>
      <c r="N953" s="116"/>
      <c r="O953" s="116"/>
      <c r="P953" s="116"/>
      <c r="Q953" s="116"/>
      <c r="R953" s="116"/>
      <c r="S953" s="116"/>
      <c r="T953" s="116"/>
      <c r="U953" s="103"/>
      <c r="V953" s="103"/>
      <c r="W953" s="103"/>
      <c r="X953" s="103"/>
      <c r="Y953" s="103"/>
      <c r="Z953" s="103"/>
      <c r="AA953" s="103"/>
    </row>
    <row r="954" spans="1:27">
      <c r="A954" s="155"/>
      <c r="B954" s="116"/>
      <c r="C954" s="116"/>
      <c r="D954" s="116"/>
      <c r="E954" s="116"/>
      <c r="F954" s="116"/>
      <c r="G954" s="116"/>
      <c r="H954" s="116"/>
      <c r="I954" s="116"/>
      <c r="J954" s="116"/>
      <c r="K954" s="116"/>
      <c r="L954" s="116"/>
      <c r="M954" s="116"/>
      <c r="N954" s="116"/>
      <c r="O954" s="116"/>
      <c r="P954" s="116"/>
      <c r="Q954" s="116"/>
      <c r="R954" s="116"/>
      <c r="S954" s="116"/>
      <c r="T954" s="116"/>
      <c r="U954" s="103"/>
      <c r="V954" s="103"/>
      <c r="W954" s="103"/>
      <c r="X954" s="103"/>
      <c r="Y954" s="103"/>
      <c r="Z954" s="103"/>
      <c r="AA954" s="103"/>
    </row>
    <row r="955" spans="1:27">
      <c r="A955" s="155"/>
      <c r="B955" s="116"/>
      <c r="C955" s="116"/>
      <c r="D955" s="116"/>
      <c r="E955" s="116"/>
      <c r="F955" s="116"/>
      <c r="G955" s="116"/>
      <c r="H955" s="116"/>
      <c r="I955" s="116"/>
      <c r="J955" s="116"/>
      <c r="K955" s="116"/>
      <c r="L955" s="116"/>
      <c r="M955" s="116"/>
      <c r="N955" s="116"/>
      <c r="O955" s="116"/>
      <c r="P955" s="116"/>
      <c r="Q955" s="116"/>
      <c r="R955" s="116"/>
      <c r="S955" s="116"/>
      <c r="T955" s="116"/>
      <c r="U955" s="103"/>
      <c r="V955" s="103"/>
      <c r="W955" s="103"/>
      <c r="X955" s="103"/>
      <c r="Y955" s="103"/>
      <c r="Z955" s="103"/>
      <c r="AA955" s="103"/>
    </row>
    <row r="956" spans="1:27">
      <c r="A956" s="155"/>
      <c r="B956" s="116"/>
      <c r="C956" s="116"/>
      <c r="D956" s="116"/>
      <c r="E956" s="116"/>
      <c r="F956" s="116"/>
      <c r="G956" s="116"/>
      <c r="H956" s="116"/>
      <c r="I956" s="116"/>
      <c r="J956" s="116"/>
      <c r="K956" s="116"/>
      <c r="L956" s="116"/>
      <c r="M956" s="116"/>
      <c r="N956" s="116"/>
      <c r="O956" s="116"/>
      <c r="P956" s="116"/>
      <c r="Q956" s="116"/>
      <c r="R956" s="116"/>
      <c r="S956" s="116"/>
      <c r="T956" s="116"/>
      <c r="U956" s="103"/>
      <c r="V956" s="103"/>
      <c r="W956" s="103"/>
      <c r="X956" s="103"/>
      <c r="Y956" s="103"/>
      <c r="Z956" s="103"/>
      <c r="AA956" s="103"/>
    </row>
    <row r="957" spans="1:27">
      <c r="A957" s="155"/>
      <c r="B957" s="116"/>
      <c r="C957" s="116"/>
      <c r="D957" s="116"/>
      <c r="E957" s="116"/>
      <c r="F957" s="116"/>
      <c r="G957" s="116"/>
      <c r="H957" s="116"/>
      <c r="I957" s="116"/>
      <c r="J957" s="116"/>
      <c r="K957" s="116"/>
      <c r="L957" s="116"/>
      <c r="M957" s="116"/>
      <c r="N957" s="116"/>
      <c r="O957" s="116"/>
      <c r="P957" s="116"/>
      <c r="Q957" s="116"/>
      <c r="R957" s="116"/>
      <c r="S957" s="116"/>
      <c r="T957" s="116"/>
      <c r="U957" s="103"/>
      <c r="V957" s="103"/>
      <c r="W957" s="103"/>
      <c r="X957" s="103"/>
      <c r="Y957" s="103"/>
      <c r="Z957" s="103"/>
      <c r="AA957" s="103"/>
    </row>
    <row r="958" spans="1:27">
      <c r="A958" s="155"/>
      <c r="B958" s="116"/>
      <c r="C958" s="116"/>
      <c r="D958" s="116"/>
      <c r="E958" s="116"/>
      <c r="F958" s="116"/>
      <c r="G958" s="116"/>
      <c r="H958" s="116"/>
      <c r="I958" s="116"/>
      <c r="J958" s="116"/>
      <c r="K958" s="116"/>
      <c r="L958" s="116"/>
      <c r="M958" s="116"/>
      <c r="N958" s="116"/>
      <c r="O958" s="116"/>
      <c r="P958" s="116"/>
      <c r="Q958" s="116"/>
      <c r="R958" s="116"/>
      <c r="S958" s="116"/>
      <c r="T958" s="116"/>
      <c r="U958" s="103"/>
      <c r="V958" s="103"/>
      <c r="W958" s="103"/>
      <c r="X958" s="103"/>
      <c r="Y958" s="103"/>
      <c r="Z958" s="103"/>
      <c r="AA958" s="103"/>
    </row>
    <row r="959" spans="1:27">
      <c r="A959" s="155"/>
      <c r="B959" s="116"/>
      <c r="C959" s="116"/>
      <c r="D959" s="116"/>
      <c r="E959" s="116"/>
      <c r="F959" s="116"/>
      <c r="G959" s="116"/>
      <c r="H959" s="116"/>
      <c r="I959" s="116"/>
      <c r="J959" s="116"/>
      <c r="K959" s="116"/>
      <c r="L959" s="116"/>
      <c r="M959" s="116"/>
      <c r="N959" s="116"/>
      <c r="O959" s="116"/>
      <c r="P959" s="116"/>
      <c r="Q959" s="116"/>
      <c r="R959" s="116"/>
      <c r="S959" s="116"/>
      <c r="T959" s="116"/>
      <c r="U959" s="103"/>
      <c r="V959" s="103"/>
      <c r="W959" s="103"/>
      <c r="X959" s="103"/>
      <c r="Y959" s="103"/>
      <c r="Z959" s="103"/>
      <c r="AA959" s="103"/>
    </row>
    <row r="960" spans="1:27">
      <c r="A960" s="155"/>
      <c r="B960" s="116"/>
      <c r="C960" s="116"/>
      <c r="D960" s="116"/>
      <c r="E960" s="116"/>
      <c r="F960" s="116"/>
      <c r="G960" s="116"/>
      <c r="H960" s="116"/>
      <c r="I960" s="116"/>
      <c r="J960" s="116"/>
      <c r="K960" s="116"/>
      <c r="L960" s="116"/>
      <c r="M960" s="116"/>
      <c r="N960" s="116"/>
      <c r="O960" s="116"/>
      <c r="P960" s="116"/>
      <c r="Q960" s="116"/>
      <c r="R960" s="116"/>
      <c r="S960" s="116"/>
      <c r="T960" s="116"/>
      <c r="U960" s="103"/>
      <c r="V960" s="103"/>
      <c r="W960" s="103"/>
      <c r="X960" s="103"/>
      <c r="Y960" s="103"/>
      <c r="Z960" s="103"/>
      <c r="AA960" s="103"/>
    </row>
    <row r="961" spans="1:27">
      <c r="A961" s="155"/>
      <c r="B961" s="116"/>
      <c r="C961" s="116"/>
      <c r="D961" s="116"/>
      <c r="E961" s="116"/>
      <c r="F961" s="116"/>
      <c r="G961" s="116"/>
      <c r="H961" s="116"/>
      <c r="I961" s="116"/>
      <c r="J961" s="116"/>
      <c r="K961" s="116"/>
      <c r="L961" s="116"/>
      <c r="M961" s="116"/>
      <c r="N961" s="116"/>
      <c r="O961" s="116"/>
      <c r="P961" s="116"/>
      <c r="Q961" s="116"/>
      <c r="R961" s="116"/>
      <c r="S961" s="116"/>
      <c r="T961" s="116"/>
      <c r="U961" s="103"/>
      <c r="V961" s="103"/>
      <c r="W961" s="103"/>
      <c r="X961" s="103"/>
      <c r="Y961" s="103"/>
      <c r="Z961" s="103"/>
      <c r="AA961" s="103"/>
    </row>
    <row r="962" spans="1:27">
      <c r="A962" s="155"/>
      <c r="B962" s="116"/>
      <c r="C962" s="116"/>
      <c r="D962" s="116"/>
      <c r="E962" s="116"/>
      <c r="F962" s="116"/>
      <c r="G962" s="116"/>
      <c r="H962" s="116"/>
      <c r="I962" s="116"/>
      <c r="J962" s="116"/>
      <c r="K962" s="116"/>
      <c r="L962" s="116"/>
      <c r="M962" s="116"/>
      <c r="N962" s="116"/>
      <c r="O962" s="116"/>
      <c r="P962" s="116"/>
      <c r="Q962" s="116"/>
      <c r="R962" s="116"/>
      <c r="S962" s="116"/>
      <c r="T962" s="116"/>
      <c r="U962" s="103"/>
      <c r="V962" s="103"/>
      <c r="W962" s="103"/>
      <c r="X962" s="103"/>
      <c r="Y962" s="103"/>
      <c r="Z962" s="103"/>
      <c r="AA962" s="103"/>
    </row>
    <row r="963" spans="1:27">
      <c r="A963" s="155"/>
      <c r="B963" s="116"/>
      <c r="C963" s="116"/>
      <c r="D963" s="116"/>
      <c r="E963" s="116"/>
      <c r="F963" s="116"/>
      <c r="G963" s="116"/>
      <c r="H963" s="116"/>
      <c r="I963" s="116"/>
      <c r="J963" s="116"/>
      <c r="K963" s="116"/>
      <c r="L963" s="116"/>
      <c r="M963" s="116"/>
      <c r="N963" s="116"/>
      <c r="O963" s="116"/>
      <c r="P963" s="116"/>
      <c r="Q963" s="116"/>
      <c r="R963" s="116"/>
      <c r="S963" s="116"/>
      <c r="T963" s="116"/>
      <c r="U963" s="103"/>
      <c r="V963" s="103"/>
      <c r="W963" s="103"/>
      <c r="X963" s="103"/>
      <c r="Y963" s="103"/>
      <c r="Z963" s="103"/>
      <c r="AA963" s="103"/>
    </row>
    <row r="964" spans="1:27">
      <c r="A964" s="155"/>
      <c r="B964" s="116"/>
      <c r="C964" s="116"/>
      <c r="D964" s="116"/>
      <c r="E964" s="116"/>
      <c r="F964" s="116"/>
      <c r="G964" s="116"/>
      <c r="H964" s="116"/>
      <c r="I964" s="116"/>
      <c r="J964" s="116"/>
      <c r="K964" s="116"/>
      <c r="L964" s="116"/>
      <c r="M964" s="116"/>
      <c r="N964" s="116"/>
      <c r="O964" s="116"/>
      <c r="P964" s="116"/>
      <c r="Q964" s="116"/>
      <c r="R964" s="116"/>
      <c r="S964" s="116"/>
      <c r="T964" s="116"/>
      <c r="U964" s="103"/>
      <c r="V964" s="103"/>
      <c r="W964" s="103"/>
      <c r="X964" s="103"/>
      <c r="Y964" s="103"/>
      <c r="Z964" s="103"/>
      <c r="AA964" s="103"/>
    </row>
    <row r="965" spans="1:27">
      <c r="A965" s="155"/>
      <c r="B965" s="116"/>
      <c r="C965" s="116"/>
      <c r="D965" s="116"/>
      <c r="E965" s="116"/>
      <c r="F965" s="116"/>
      <c r="G965" s="116"/>
      <c r="H965" s="116"/>
      <c r="I965" s="116"/>
      <c r="J965" s="116"/>
      <c r="K965" s="116"/>
      <c r="L965" s="116"/>
      <c r="M965" s="116"/>
      <c r="N965" s="116"/>
      <c r="O965" s="116"/>
      <c r="P965" s="116"/>
      <c r="Q965" s="116"/>
      <c r="R965" s="116"/>
      <c r="S965" s="116"/>
      <c r="T965" s="116"/>
      <c r="U965" s="103"/>
      <c r="V965" s="103"/>
      <c r="W965" s="103"/>
      <c r="X965" s="103"/>
      <c r="Y965" s="103"/>
      <c r="Z965" s="103"/>
      <c r="AA965" s="103"/>
    </row>
    <row r="966" spans="1:27">
      <c r="A966" s="155"/>
      <c r="B966" s="116"/>
      <c r="C966" s="116"/>
      <c r="D966" s="116"/>
      <c r="E966" s="116"/>
      <c r="F966" s="116"/>
      <c r="G966" s="116"/>
      <c r="H966" s="116"/>
      <c r="I966" s="116"/>
      <c r="J966" s="116"/>
      <c r="K966" s="116"/>
      <c r="L966" s="116"/>
      <c r="M966" s="116"/>
      <c r="N966" s="116"/>
      <c r="O966" s="116"/>
      <c r="P966" s="116"/>
      <c r="Q966" s="116"/>
      <c r="R966" s="116"/>
      <c r="S966" s="116"/>
      <c r="T966" s="116"/>
      <c r="U966" s="103"/>
      <c r="V966" s="103"/>
      <c r="W966" s="103"/>
      <c r="X966" s="103"/>
      <c r="Y966" s="103"/>
      <c r="Z966" s="103"/>
      <c r="AA966" s="103"/>
    </row>
    <row r="967" spans="1:27">
      <c r="A967" s="155"/>
      <c r="B967" s="116"/>
      <c r="C967" s="116"/>
      <c r="D967" s="116"/>
      <c r="E967" s="116"/>
      <c r="F967" s="116"/>
      <c r="G967" s="116"/>
      <c r="H967" s="116"/>
      <c r="I967" s="116"/>
      <c r="J967" s="116"/>
      <c r="K967" s="116"/>
      <c r="L967" s="116"/>
      <c r="M967" s="116"/>
      <c r="N967" s="116"/>
      <c r="O967" s="116"/>
      <c r="P967" s="116"/>
      <c r="Q967" s="116"/>
      <c r="R967" s="116"/>
      <c r="S967" s="116"/>
      <c r="T967" s="116"/>
      <c r="U967" s="103"/>
      <c r="V967" s="103"/>
      <c r="W967" s="103"/>
      <c r="X967" s="103"/>
      <c r="Y967" s="103"/>
      <c r="Z967" s="103"/>
      <c r="AA967" s="103"/>
    </row>
    <row r="968" spans="1:27">
      <c r="A968" s="155"/>
      <c r="B968" s="116"/>
      <c r="C968" s="116"/>
      <c r="D968" s="116"/>
      <c r="E968" s="116"/>
      <c r="F968" s="116"/>
      <c r="G968" s="116"/>
      <c r="H968" s="116"/>
      <c r="I968" s="116"/>
      <c r="J968" s="116"/>
      <c r="K968" s="116"/>
      <c r="L968" s="116"/>
      <c r="M968" s="116"/>
      <c r="N968" s="116"/>
      <c r="O968" s="116"/>
      <c r="P968" s="116"/>
      <c r="Q968" s="116"/>
      <c r="R968" s="116"/>
      <c r="S968" s="116"/>
      <c r="T968" s="116"/>
      <c r="U968" s="103"/>
      <c r="V968" s="103"/>
      <c r="W968" s="103"/>
      <c r="X968" s="103"/>
      <c r="Y968" s="103"/>
      <c r="Z968" s="103"/>
      <c r="AA968" s="103"/>
    </row>
    <row r="969" spans="1:27">
      <c r="A969" s="155"/>
      <c r="B969" s="116"/>
      <c r="C969" s="116"/>
      <c r="D969" s="116"/>
      <c r="E969" s="116"/>
      <c r="F969" s="116"/>
      <c r="G969" s="116"/>
      <c r="H969" s="116"/>
      <c r="I969" s="116"/>
      <c r="J969" s="116"/>
      <c r="K969" s="116"/>
      <c r="L969" s="116"/>
      <c r="M969" s="116"/>
      <c r="N969" s="116"/>
      <c r="O969" s="116"/>
      <c r="P969" s="116"/>
      <c r="Q969" s="116"/>
      <c r="R969" s="116"/>
      <c r="S969" s="116"/>
      <c r="T969" s="116"/>
      <c r="U969" s="103"/>
      <c r="V969" s="103"/>
      <c r="W969" s="103"/>
      <c r="X969" s="103"/>
      <c r="Y969" s="103"/>
      <c r="Z969" s="103"/>
      <c r="AA969" s="103"/>
    </row>
    <row r="970" spans="1:27">
      <c r="A970" s="155"/>
      <c r="B970" s="116"/>
      <c r="C970" s="116"/>
      <c r="D970" s="116"/>
      <c r="E970" s="116"/>
      <c r="F970" s="116"/>
      <c r="G970" s="116"/>
      <c r="H970" s="116"/>
      <c r="I970" s="116"/>
      <c r="J970" s="116"/>
      <c r="K970" s="116"/>
      <c r="L970" s="116"/>
      <c r="M970" s="116"/>
      <c r="N970" s="116"/>
      <c r="O970" s="116"/>
      <c r="P970" s="116"/>
      <c r="Q970" s="116"/>
      <c r="R970" s="116"/>
      <c r="S970" s="116"/>
      <c r="T970" s="116"/>
      <c r="U970" s="103"/>
      <c r="V970" s="103"/>
      <c r="W970" s="103"/>
      <c r="X970" s="103"/>
      <c r="Y970" s="103"/>
      <c r="Z970" s="103"/>
      <c r="AA970" s="103"/>
    </row>
    <row r="971" spans="1:27">
      <c r="A971" s="155"/>
      <c r="B971" s="116"/>
      <c r="C971" s="116"/>
      <c r="D971" s="116"/>
      <c r="E971" s="116"/>
      <c r="F971" s="116"/>
      <c r="G971" s="116"/>
      <c r="H971" s="116"/>
      <c r="I971" s="116"/>
      <c r="J971" s="116"/>
      <c r="K971" s="116"/>
      <c r="L971" s="116"/>
      <c r="M971" s="116"/>
      <c r="N971" s="116"/>
      <c r="O971" s="116"/>
      <c r="P971" s="116"/>
      <c r="Q971" s="116"/>
      <c r="R971" s="116"/>
      <c r="S971" s="116"/>
      <c r="T971" s="116"/>
      <c r="U971" s="103"/>
      <c r="V971" s="103"/>
      <c r="W971" s="103"/>
      <c r="X971" s="103"/>
      <c r="Y971" s="103"/>
      <c r="Z971" s="103"/>
      <c r="AA971" s="103"/>
    </row>
    <row r="972" spans="1:27">
      <c r="A972" s="155"/>
      <c r="B972" s="116"/>
      <c r="C972" s="116"/>
      <c r="D972" s="116"/>
      <c r="E972" s="116"/>
      <c r="F972" s="116"/>
      <c r="G972" s="116"/>
      <c r="H972" s="116"/>
      <c r="I972" s="116"/>
      <c r="J972" s="116"/>
      <c r="K972" s="116"/>
      <c r="L972" s="116"/>
      <c r="M972" s="116"/>
      <c r="N972" s="116"/>
      <c r="O972" s="116"/>
      <c r="P972" s="116"/>
      <c r="Q972" s="116"/>
      <c r="R972" s="116"/>
      <c r="S972" s="116"/>
      <c r="T972" s="116"/>
      <c r="U972" s="103"/>
      <c r="V972" s="103"/>
      <c r="W972" s="103"/>
      <c r="X972" s="103"/>
      <c r="Y972" s="103"/>
      <c r="Z972" s="103"/>
      <c r="AA972" s="103"/>
    </row>
    <row r="973" spans="1:27">
      <c r="A973" s="155"/>
      <c r="B973" s="116"/>
      <c r="C973" s="116"/>
      <c r="D973" s="116"/>
      <c r="E973" s="116"/>
      <c r="F973" s="116"/>
      <c r="G973" s="116"/>
      <c r="H973" s="116"/>
      <c r="I973" s="116"/>
      <c r="J973" s="116"/>
      <c r="K973" s="116"/>
      <c r="L973" s="116"/>
      <c r="M973" s="116"/>
      <c r="N973" s="116"/>
      <c r="O973" s="116"/>
      <c r="P973" s="116"/>
      <c r="Q973" s="116"/>
      <c r="R973" s="116"/>
      <c r="S973" s="116"/>
      <c r="T973" s="116"/>
      <c r="U973" s="103"/>
      <c r="V973" s="103"/>
      <c r="W973" s="103"/>
      <c r="X973" s="103"/>
      <c r="Y973" s="103"/>
      <c r="Z973" s="103"/>
      <c r="AA973" s="103"/>
    </row>
    <row r="974" spans="1:27">
      <c r="A974" s="155"/>
      <c r="B974" s="116"/>
      <c r="C974" s="116"/>
      <c r="D974" s="116"/>
      <c r="E974" s="116"/>
      <c r="F974" s="116"/>
      <c r="G974" s="116"/>
      <c r="H974" s="116"/>
      <c r="I974" s="116"/>
      <c r="J974" s="116"/>
      <c r="K974" s="116"/>
      <c r="L974" s="116"/>
      <c r="M974" s="116"/>
      <c r="N974" s="116"/>
      <c r="O974" s="116"/>
      <c r="P974" s="116"/>
      <c r="Q974" s="116"/>
      <c r="R974" s="116"/>
      <c r="S974" s="116"/>
      <c r="T974" s="116"/>
      <c r="U974" s="103"/>
      <c r="V974" s="103"/>
      <c r="W974" s="103"/>
      <c r="X974" s="103"/>
      <c r="Y974" s="103"/>
      <c r="Z974" s="103"/>
      <c r="AA974" s="103"/>
    </row>
    <row r="975" spans="1:27">
      <c r="A975" s="155"/>
      <c r="B975" s="116"/>
      <c r="C975" s="116"/>
      <c r="D975" s="116"/>
      <c r="E975" s="116"/>
      <c r="F975" s="116"/>
      <c r="G975" s="116"/>
      <c r="H975" s="116"/>
      <c r="I975" s="116"/>
      <c r="J975" s="116"/>
      <c r="K975" s="116"/>
      <c r="L975" s="116"/>
      <c r="M975" s="116"/>
      <c r="N975" s="116"/>
      <c r="O975" s="116"/>
      <c r="P975" s="116"/>
      <c r="Q975" s="116"/>
      <c r="R975" s="116"/>
      <c r="S975" s="116"/>
      <c r="T975" s="116"/>
      <c r="U975" s="103"/>
      <c r="V975" s="103"/>
      <c r="W975" s="103"/>
      <c r="X975" s="103"/>
      <c r="Y975" s="103"/>
      <c r="Z975" s="103"/>
      <c r="AA975" s="103"/>
    </row>
    <row r="976" spans="1:27">
      <c r="A976" s="155"/>
      <c r="B976" s="116"/>
      <c r="C976" s="116"/>
      <c r="D976" s="116"/>
      <c r="E976" s="116"/>
      <c r="F976" s="116"/>
      <c r="G976" s="116"/>
      <c r="H976" s="116"/>
      <c r="I976" s="116"/>
      <c r="J976" s="116"/>
      <c r="K976" s="116"/>
      <c r="L976" s="116"/>
      <c r="M976" s="116"/>
      <c r="N976" s="116"/>
      <c r="O976" s="116"/>
      <c r="P976" s="116"/>
      <c r="Q976" s="116"/>
      <c r="R976" s="116"/>
      <c r="S976" s="116"/>
      <c r="T976" s="116"/>
      <c r="U976" s="103"/>
      <c r="V976" s="103"/>
      <c r="W976" s="103"/>
      <c r="X976" s="103"/>
      <c r="Y976" s="103"/>
      <c r="Z976" s="103"/>
      <c r="AA976" s="103"/>
    </row>
    <row r="977" spans="1:27">
      <c r="A977" s="155"/>
      <c r="B977" s="116"/>
      <c r="C977" s="116"/>
      <c r="D977" s="116"/>
      <c r="E977" s="116"/>
      <c r="F977" s="116"/>
      <c r="G977" s="116"/>
      <c r="H977" s="116"/>
      <c r="I977" s="116"/>
      <c r="J977" s="116"/>
      <c r="K977" s="116"/>
      <c r="L977" s="116"/>
      <c r="M977" s="116"/>
      <c r="N977" s="116"/>
      <c r="O977" s="116"/>
      <c r="P977" s="116"/>
      <c r="Q977" s="116"/>
      <c r="R977" s="116"/>
      <c r="S977" s="116"/>
      <c r="T977" s="116"/>
      <c r="U977" s="103"/>
      <c r="V977" s="103"/>
      <c r="W977" s="103"/>
      <c r="X977" s="103"/>
      <c r="Y977" s="103"/>
      <c r="Z977" s="103"/>
      <c r="AA977" s="103"/>
    </row>
    <row r="978" spans="1:27">
      <c r="A978" s="155"/>
      <c r="B978" s="116"/>
      <c r="C978" s="116"/>
      <c r="D978" s="116"/>
      <c r="E978" s="116"/>
      <c r="F978" s="116"/>
      <c r="G978" s="116"/>
      <c r="H978" s="116"/>
      <c r="I978" s="116"/>
      <c r="J978" s="116"/>
      <c r="K978" s="116"/>
      <c r="L978" s="116"/>
      <c r="M978" s="116"/>
      <c r="N978" s="116"/>
      <c r="O978" s="116"/>
      <c r="P978" s="116"/>
      <c r="Q978" s="116"/>
      <c r="R978" s="116"/>
      <c r="S978" s="116"/>
      <c r="T978" s="116"/>
      <c r="U978" s="103"/>
      <c r="V978" s="103"/>
      <c r="W978" s="103"/>
      <c r="X978" s="103"/>
      <c r="Y978" s="103"/>
      <c r="Z978" s="103"/>
      <c r="AA978" s="103"/>
    </row>
    <row r="979" spans="1:27">
      <c r="A979" s="155"/>
      <c r="B979" s="116"/>
      <c r="C979" s="116"/>
      <c r="D979" s="116"/>
      <c r="E979" s="116"/>
      <c r="F979" s="116"/>
      <c r="G979" s="116"/>
      <c r="H979" s="116"/>
      <c r="I979" s="116"/>
      <c r="J979" s="116"/>
      <c r="K979" s="116"/>
      <c r="L979" s="116"/>
      <c r="M979" s="116"/>
      <c r="N979" s="116"/>
      <c r="O979" s="116"/>
      <c r="P979" s="116"/>
      <c r="Q979" s="116"/>
      <c r="R979" s="116"/>
      <c r="S979" s="116"/>
      <c r="T979" s="116"/>
      <c r="U979" s="103"/>
      <c r="V979" s="103"/>
      <c r="W979" s="103"/>
      <c r="X979" s="103"/>
      <c r="Y979" s="103"/>
      <c r="Z979" s="103"/>
      <c r="AA979" s="103"/>
    </row>
    <row r="980" spans="1:27">
      <c r="A980" s="155"/>
      <c r="B980" s="116"/>
      <c r="C980" s="116"/>
      <c r="D980" s="116"/>
      <c r="E980" s="116"/>
      <c r="F980" s="116"/>
      <c r="G980" s="116"/>
      <c r="H980" s="116"/>
      <c r="I980" s="116"/>
      <c r="J980" s="116"/>
      <c r="K980" s="116"/>
      <c r="L980" s="116"/>
      <c r="M980" s="116"/>
      <c r="N980" s="116"/>
      <c r="O980" s="116"/>
      <c r="P980" s="116"/>
      <c r="Q980" s="116"/>
      <c r="R980" s="116"/>
      <c r="S980" s="116"/>
      <c r="T980" s="116"/>
      <c r="U980" s="103"/>
      <c r="V980" s="103"/>
      <c r="W980" s="103"/>
      <c r="X980" s="103"/>
      <c r="Y980" s="103"/>
      <c r="Z980" s="103"/>
      <c r="AA980" s="103"/>
    </row>
    <row r="981" spans="1:27">
      <c r="A981" s="155"/>
      <c r="B981" s="116"/>
      <c r="C981" s="116"/>
      <c r="D981" s="116"/>
      <c r="E981" s="116"/>
      <c r="F981" s="116"/>
      <c r="G981" s="116"/>
      <c r="H981" s="116"/>
      <c r="I981" s="116"/>
      <c r="J981" s="116"/>
      <c r="K981" s="116"/>
      <c r="L981" s="116"/>
      <c r="M981" s="116"/>
      <c r="N981" s="116"/>
      <c r="O981" s="116"/>
      <c r="P981" s="116"/>
      <c r="Q981" s="116"/>
      <c r="R981" s="116"/>
      <c r="S981" s="116"/>
      <c r="T981" s="116"/>
      <c r="U981" s="103"/>
      <c r="V981" s="103"/>
      <c r="W981" s="103"/>
      <c r="X981" s="103"/>
      <c r="Y981" s="103"/>
      <c r="Z981" s="103"/>
      <c r="AA981" s="103"/>
    </row>
    <row r="982" spans="1:27">
      <c r="A982" s="155"/>
      <c r="B982" s="116"/>
      <c r="C982" s="116"/>
      <c r="D982" s="116"/>
      <c r="E982" s="116"/>
      <c r="F982" s="116"/>
      <c r="G982" s="116"/>
      <c r="H982" s="116"/>
      <c r="I982" s="116"/>
      <c r="J982" s="116"/>
      <c r="K982" s="116"/>
      <c r="L982" s="116"/>
      <c r="M982" s="116"/>
      <c r="N982" s="116"/>
      <c r="O982" s="116"/>
      <c r="P982" s="116"/>
      <c r="Q982" s="116"/>
      <c r="R982" s="116"/>
      <c r="S982" s="116"/>
      <c r="T982" s="116"/>
      <c r="U982" s="103"/>
      <c r="V982" s="103"/>
      <c r="W982" s="103"/>
      <c r="X982" s="103"/>
      <c r="Y982" s="103"/>
      <c r="Z982" s="103"/>
      <c r="AA982" s="103"/>
    </row>
    <row r="983" spans="1:27">
      <c r="A983" s="155"/>
      <c r="B983" s="116"/>
      <c r="C983" s="116"/>
      <c r="D983" s="116"/>
      <c r="E983" s="116"/>
      <c r="F983" s="116"/>
      <c r="G983" s="116"/>
      <c r="H983" s="116"/>
      <c r="I983" s="116"/>
      <c r="J983" s="116"/>
      <c r="K983" s="116"/>
      <c r="L983" s="116"/>
      <c r="M983" s="116"/>
      <c r="N983" s="116"/>
      <c r="O983" s="116"/>
      <c r="P983" s="116"/>
      <c r="Q983" s="116"/>
      <c r="R983" s="116"/>
      <c r="S983" s="116"/>
      <c r="T983" s="116"/>
      <c r="U983" s="103"/>
      <c r="V983" s="103"/>
      <c r="W983" s="103"/>
      <c r="X983" s="103"/>
      <c r="Y983" s="103"/>
      <c r="Z983" s="103"/>
      <c r="AA983" s="103"/>
    </row>
    <row r="984" spans="1:27">
      <c r="A984" s="155"/>
      <c r="B984" s="116"/>
      <c r="C984" s="116"/>
      <c r="D984" s="116"/>
      <c r="E984" s="116"/>
      <c r="F984" s="116"/>
      <c r="G984" s="116"/>
      <c r="H984" s="116"/>
      <c r="I984" s="116"/>
      <c r="J984" s="116"/>
      <c r="K984" s="116"/>
      <c r="L984" s="116"/>
      <c r="M984" s="116"/>
      <c r="N984" s="116"/>
      <c r="O984" s="116"/>
      <c r="P984" s="116"/>
      <c r="Q984" s="116"/>
      <c r="R984" s="116"/>
      <c r="S984" s="116"/>
      <c r="T984" s="116"/>
      <c r="U984" s="103"/>
      <c r="V984" s="103"/>
      <c r="W984" s="103"/>
      <c r="X984" s="103"/>
      <c r="Y984" s="103"/>
      <c r="Z984" s="103"/>
      <c r="AA984" s="103"/>
    </row>
    <row r="985" spans="1:27">
      <c r="A985" s="155"/>
      <c r="B985" s="116"/>
      <c r="C985" s="116"/>
      <c r="D985" s="116"/>
      <c r="E985" s="116"/>
      <c r="F985" s="116"/>
      <c r="G985" s="116"/>
      <c r="H985" s="116"/>
      <c r="I985" s="116"/>
      <c r="J985" s="116"/>
      <c r="K985" s="116"/>
      <c r="L985" s="116"/>
      <c r="M985" s="116"/>
      <c r="N985" s="116"/>
      <c r="O985" s="116"/>
      <c r="P985" s="116"/>
      <c r="Q985" s="116"/>
      <c r="R985" s="116"/>
      <c r="S985" s="116"/>
      <c r="T985" s="116"/>
      <c r="U985" s="103"/>
      <c r="V985" s="103"/>
      <c r="W985" s="103"/>
      <c r="X985" s="103"/>
      <c r="Y985" s="103"/>
      <c r="Z985" s="103"/>
      <c r="AA985" s="103"/>
    </row>
    <row r="986" spans="1:27">
      <c r="A986" s="155"/>
      <c r="B986" s="116"/>
      <c r="C986" s="116"/>
      <c r="D986" s="116"/>
      <c r="E986" s="116"/>
      <c r="F986" s="116"/>
      <c r="G986" s="116"/>
      <c r="H986" s="116"/>
      <c r="I986" s="116"/>
      <c r="J986" s="116"/>
      <c r="K986" s="116"/>
      <c r="L986" s="116"/>
      <c r="M986" s="116"/>
      <c r="N986" s="116"/>
      <c r="O986" s="116"/>
      <c r="P986" s="116"/>
      <c r="Q986" s="116"/>
      <c r="R986" s="116"/>
      <c r="S986" s="116"/>
      <c r="T986" s="116"/>
      <c r="U986" s="103"/>
      <c r="V986" s="103"/>
      <c r="W986" s="103"/>
      <c r="X986" s="103"/>
      <c r="Y986" s="103"/>
      <c r="Z986" s="103"/>
      <c r="AA986" s="103"/>
    </row>
    <row r="987" spans="1:2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row>
    <row r="988" spans="1:27">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row>
    <row r="989" spans="1:27">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row>
    <row r="990" spans="1:27">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row>
    <row r="991" spans="1:27">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row>
    <row r="992" spans="1:27">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row>
    <row r="993" spans="1:27">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row>
    <row r="994" spans="1:27">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row>
    <row r="995" spans="1:27">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row>
    <row r="996" spans="1:27">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row>
    <row r="997" spans="1:27">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row>
    <row r="998" spans="1:27">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row>
    <row r="999" spans="1:27">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c r="AA999" s="157"/>
    </row>
    <row r="1000" spans="1:27">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c r="AA1000" s="157"/>
    </row>
  </sheetData>
  <mergeCells count="1">
    <mergeCell ref="D39:E39"/>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75" customHeight="1"/>
  <cols>
    <col min="2" max="2" width="22.42578125" customWidth="1"/>
  </cols>
  <sheetData>
    <row r="1" spans="1:26">
      <c r="A1" s="102"/>
      <c r="B1" s="102"/>
      <c r="C1" s="102"/>
      <c r="D1" s="102"/>
      <c r="E1" s="102"/>
      <c r="F1" s="102"/>
      <c r="G1" s="102"/>
      <c r="H1" s="102"/>
      <c r="I1" s="102"/>
      <c r="J1" s="102"/>
      <c r="K1" s="102"/>
      <c r="L1" s="102"/>
      <c r="M1" s="102"/>
      <c r="N1" s="102"/>
      <c r="O1" s="102"/>
      <c r="P1" s="102"/>
      <c r="Q1" s="102"/>
      <c r="R1" s="102"/>
      <c r="S1" s="102"/>
      <c r="T1" s="103"/>
      <c r="U1" s="103"/>
      <c r="V1" s="103"/>
      <c r="W1" s="103"/>
      <c r="X1" s="103"/>
      <c r="Y1" s="157"/>
      <c r="Z1" s="157"/>
    </row>
    <row r="2" spans="1:26">
      <c r="A2" s="158">
        <v>264</v>
      </c>
      <c r="B2" s="106"/>
      <c r="C2" s="102"/>
      <c r="D2" s="102"/>
      <c r="E2" s="102"/>
      <c r="F2" s="102"/>
      <c r="G2" s="159" t="s">
        <v>1437</v>
      </c>
      <c r="H2" s="160">
        <v>154</v>
      </c>
      <c r="I2" s="160">
        <v>153</v>
      </c>
      <c r="J2" s="160">
        <v>138</v>
      </c>
      <c r="K2" s="102"/>
      <c r="L2" s="102"/>
      <c r="M2" s="160">
        <v>25</v>
      </c>
      <c r="N2" s="106"/>
      <c r="O2" s="106"/>
      <c r="P2" s="106"/>
      <c r="Q2" s="106"/>
      <c r="R2" s="106"/>
      <c r="S2" s="102"/>
      <c r="T2" s="102"/>
      <c r="U2" s="103"/>
      <c r="V2" s="103"/>
      <c r="W2" s="103"/>
      <c r="X2" s="103"/>
      <c r="Y2" s="157"/>
      <c r="Z2" s="157"/>
    </row>
    <row r="3" spans="1:26">
      <c r="A3" s="109" t="s">
        <v>0</v>
      </c>
      <c r="B3" s="107" t="s">
        <v>1</v>
      </c>
      <c r="C3" s="161" t="s">
        <v>455</v>
      </c>
      <c r="D3" s="107" t="s">
        <v>456</v>
      </c>
      <c r="E3" s="107" t="s">
        <v>457</v>
      </c>
      <c r="F3" s="107" t="s">
        <v>2</v>
      </c>
      <c r="G3" s="107" t="s">
        <v>3</v>
      </c>
      <c r="H3" s="107" t="s">
        <v>8</v>
      </c>
      <c r="I3" s="107" t="s">
        <v>458</v>
      </c>
      <c r="J3" s="107" t="s">
        <v>13</v>
      </c>
      <c r="K3" s="107" t="s">
        <v>460</v>
      </c>
      <c r="L3" s="107" t="s">
        <v>5</v>
      </c>
      <c r="M3" s="107" t="s">
        <v>461</v>
      </c>
      <c r="N3" s="107" t="s">
        <v>14</v>
      </c>
      <c r="O3" s="107" t="s">
        <v>462</v>
      </c>
      <c r="P3" s="107" t="s">
        <v>463</v>
      </c>
      <c r="Q3" s="107" t="s">
        <v>464</v>
      </c>
      <c r="R3" s="107" t="s">
        <v>465</v>
      </c>
      <c r="S3" s="107" t="s">
        <v>466</v>
      </c>
      <c r="T3" s="107" t="s">
        <v>1438</v>
      </c>
      <c r="U3" s="162" t="s">
        <v>1439</v>
      </c>
      <c r="V3" s="103"/>
      <c r="W3" s="103"/>
      <c r="X3" s="103"/>
      <c r="Y3" s="157"/>
      <c r="Z3" s="157"/>
    </row>
    <row r="4" spans="1:26">
      <c r="A4" s="163" t="s">
        <v>1440</v>
      </c>
      <c r="B4" s="112" t="s">
        <v>1441</v>
      </c>
      <c r="C4" s="116"/>
      <c r="D4" s="114" t="s">
        <v>478</v>
      </c>
      <c r="E4" s="114" t="s">
        <v>1442</v>
      </c>
      <c r="F4" s="124">
        <v>44636</v>
      </c>
      <c r="G4" s="114" t="s">
        <v>1443</v>
      </c>
      <c r="H4" s="114" t="s">
        <v>820</v>
      </c>
      <c r="I4" s="124">
        <v>44650</v>
      </c>
      <c r="J4" s="124">
        <v>44679</v>
      </c>
      <c r="K4" s="114" t="s">
        <v>18</v>
      </c>
      <c r="L4" s="114" t="s">
        <v>473</v>
      </c>
      <c r="M4" s="116"/>
      <c r="N4" s="114" t="s">
        <v>20</v>
      </c>
      <c r="O4" s="114" t="s">
        <v>490</v>
      </c>
      <c r="P4" s="114" t="s">
        <v>490</v>
      </c>
      <c r="Q4" s="114" t="s">
        <v>628</v>
      </c>
      <c r="R4" s="124">
        <v>44761</v>
      </c>
      <c r="S4" s="112" t="s">
        <v>1444</v>
      </c>
      <c r="T4" s="164" t="e">
        <v>#REF!</v>
      </c>
      <c r="U4" s="164" t="e">
        <v>#REF!</v>
      </c>
      <c r="V4" s="103"/>
      <c r="W4" s="103"/>
      <c r="X4" s="103"/>
      <c r="Y4" s="157"/>
      <c r="Z4" s="157"/>
    </row>
    <row r="5" spans="1:26">
      <c r="A5" s="163" t="s">
        <v>1445</v>
      </c>
      <c r="B5" s="112" t="s">
        <v>1446</v>
      </c>
      <c r="C5" s="112" t="s">
        <v>546</v>
      </c>
      <c r="D5" s="114" t="s">
        <v>478</v>
      </c>
      <c r="E5" s="114" t="s">
        <v>1442</v>
      </c>
      <c r="F5" s="124">
        <v>44650</v>
      </c>
      <c r="G5" s="114" t="s">
        <v>1447</v>
      </c>
      <c r="H5" s="116"/>
      <c r="I5" s="116"/>
      <c r="J5" s="116"/>
      <c r="K5" s="114" t="s">
        <v>18</v>
      </c>
      <c r="L5" s="114" t="s">
        <v>481</v>
      </c>
      <c r="M5" s="116"/>
      <c r="N5" s="114" t="s">
        <v>47</v>
      </c>
      <c r="O5" s="114" t="s">
        <v>1448</v>
      </c>
      <c r="P5" s="114" t="s">
        <v>1449</v>
      </c>
      <c r="Q5" s="165" t="s">
        <v>550</v>
      </c>
      <c r="R5" s="124">
        <v>45068</v>
      </c>
      <c r="S5" s="112" t="s">
        <v>1450</v>
      </c>
      <c r="T5" s="164" t="e">
        <v>#REF!</v>
      </c>
      <c r="U5" s="164" t="e">
        <v>#REF!</v>
      </c>
      <c r="V5" s="103"/>
      <c r="W5" s="103"/>
      <c r="X5" s="103"/>
      <c r="Y5" s="157"/>
      <c r="Z5" s="157"/>
    </row>
    <row r="6" spans="1:26">
      <c r="A6" s="163" t="s">
        <v>1451</v>
      </c>
      <c r="B6" s="112" t="s">
        <v>1452</v>
      </c>
      <c r="C6" s="112" t="s">
        <v>1453</v>
      </c>
      <c r="D6" s="114" t="s">
        <v>478</v>
      </c>
      <c r="E6" s="114" t="s">
        <v>1442</v>
      </c>
      <c r="F6" s="124">
        <v>44662</v>
      </c>
      <c r="G6" s="114" t="s">
        <v>1454</v>
      </c>
      <c r="H6" s="114" t="s">
        <v>820</v>
      </c>
      <c r="I6" s="124">
        <v>45098</v>
      </c>
      <c r="J6" s="114" t="s">
        <v>556</v>
      </c>
      <c r="K6" s="114" t="s">
        <v>30</v>
      </c>
      <c r="L6" s="114" t="s">
        <v>481</v>
      </c>
      <c r="M6" s="114" t="s">
        <v>1455</v>
      </c>
      <c r="N6" s="114" t="s">
        <v>20</v>
      </c>
      <c r="O6" s="114" t="s">
        <v>1456</v>
      </c>
      <c r="P6" s="114" t="s">
        <v>1457</v>
      </c>
      <c r="Q6" s="166" t="s">
        <v>1458</v>
      </c>
      <c r="R6" s="153">
        <v>45274</v>
      </c>
      <c r="S6" s="112" t="s">
        <v>1459</v>
      </c>
      <c r="T6" s="103"/>
      <c r="U6" s="103"/>
      <c r="V6" s="103"/>
      <c r="W6" s="103"/>
      <c r="X6" s="103"/>
      <c r="Y6" s="157"/>
      <c r="Z6" s="157"/>
    </row>
    <row r="7" spans="1:26">
      <c r="A7" s="163" t="s">
        <v>1460</v>
      </c>
      <c r="B7" s="112" t="s">
        <v>1461</v>
      </c>
      <c r="C7" s="112" t="s">
        <v>1453</v>
      </c>
      <c r="D7" s="115" t="s">
        <v>823</v>
      </c>
      <c r="E7" s="114" t="s">
        <v>1462</v>
      </c>
      <c r="F7" s="124">
        <v>44664</v>
      </c>
      <c r="G7" s="114" t="s">
        <v>1463</v>
      </c>
      <c r="H7" s="116"/>
      <c r="I7" s="116"/>
      <c r="J7" s="116"/>
      <c r="K7" s="114" t="s">
        <v>30</v>
      </c>
      <c r="L7" s="114" t="s">
        <v>481</v>
      </c>
      <c r="M7" s="114" t="s">
        <v>1464</v>
      </c>
      <c r="N7" s="114" t="s">
        <v>47</v>
      </c>
      <c r="O7" s="114" t="s">
        <v>1465</v>
      </c>
      <c r="P7" s="114" t="s">
        <v>714</v>
      </c>
      <c r="Q7" s="114" t="s">
        <v>668</v>
      </c>
      <c r="R7" s="124">
        <v>45373</v>
      </c>
      <c r="S7" s="112" t="s">
        <v>1466</v>
      </c>
      <c r="T7" s="164" t="e">
        <v>#REF!</v>
      </c>
      <c r="U7" s="167">
        <v>2022</v>
      </c>
      <c r="V7" s="103"/>
      <c r="W7" s="103"/>
      <c r="X7" s="103"/>
      <c r="Y7" s="157"/>
      <c r="Z7" s="157"/>
    </row>
    <row r="8" spans="1:26">
      <c r="A8" s="163" t="s">
        <v>1467</v>
      </c>
      <c r="B8" s="112" t="s">
        <v>1468</v>
      </c>
      <c r="C8" s="112" t="s">
        <v>469</v>
      </c>
      <c r="D8" s="115" t="s">
        <v>823</v>
      </c>
      <c r="E8" s="114" t="s">
        <v>1462</v>
      </c>
      <c r="F8" s="124">
        <v>44664</v>
      </c>
      <c r="G8" s="114" t="s">
        <v>1469</v>
      </c>
      <c r="H8" s="116"/>
      <c r="I8" s="116"/>
      <c r="J8" s="116"/>
      <c r="K8" s="114" t="s">
        <v>18</v>
      </c>
      <c r="L8" s="114" t="s">
        <v>481</v>
      </c>
      <c r="M8" s="114" t="s">
        <v>1464</v>
      </c>
      <c r="N8" s="114" t="s">
        <v>47</v>
      </c>
      <c r="O8" s="114" t="s">
        <v>1465</v>
      </c>
      <c r="P8" s="114" t="s">
        <v>714</v>
      </c>
      <c r="Q8" s="114" t="s">
        <v>668</v>
      </c>
      <c r="R8" s="124">
        <v>45377</v>
      </c>
      <c r="S8" s="112" t="s">
        <v>1470</v>
      </c>
      <c r="T8" s="164" t="e">
        <v>#REF!</v>
      </c>
      <c r="U8" s="164">
        <v>2022</v>
      </c>
      <c r="V8" s="103"/>
      <c r="W8" s="103"/>
      <c r="X8" s="103"/>
      <c r="Y8" s="157"/>
      <c r="Z8" s="157"/>
    </row>
    <row r="9" spans="1:26">
      <c r="A9" s="163" t="s">
        <v>1471</v>
      </c>
      <c r="B9" s="112" t="s">
        <v>1472</v>
      </c>
      <c r="C9" s="112" t="s">
        <v>1473</v>
      </c>
      <c r="D9" s="114" t="s">
        <v>478</v>
      </c>
      <c r="E9" s="114" t="s">
        <v>1442</v>
      </c>
      <c r="F9" s="124">
        <v>44678</v>
      </c>
      <c r="G9" s="114" t="s">
        <v>1474</v>
      </c>
      <c r="H9" s="124">
        <v>45239</v>
      </c>
      <c r="I9" s="145">
        <v>45981</v>
      </c>
      <c r="J9" s="124">
        <v>45327</v>
      </c>
      <c r="K9" s="114" t="s">
        <v>30</v>
      </c>
      <c r="L9" s="114" t="s">
        <v>481</v>
      </c>
      <c r="M9" s="114" t="s">
        <v>1455</v>
      </c>
      <c r="N9" s="114" t="s">
        <v>20</v>
      </c>
      <c r="O9" s="114" t="s">
        <v>1456</v>
      </c>
      <c r="P9" s="114" t="s">
        <v>1457</v>
      </c>
      <c r="Q9" s="168" t="s">
        <v>1475</v>
      </c>
      <c r="R9" s="154">
        <v>45463</v>
      </c>
      <c r="S9" s="112" t="s">
        <v>1476</v>
      </c>
      <c r="T9" s="164" t="e">
        <v>#REF!</v>
      </c>
      <c r="U9" s="167">
        <v>2022</v>
      </c>
      <c r="V9" s="103"/>
      <c r="W9" s="103"/>
      <c r="X9" s="103"/>
      <c r="Y9" s="157"/>
      <c r="Z9" s="157"/>
    </row>
    <row r="10" spans="1:26">
      <c r="A10" s="169" t="s">
        <v>1477</v>
      </c>
      <c r="B10" s="112" t="s">
        <v>1478</v>
      </c>
      <c r="C10" s="112" t="s">
        <v>1473</v>
      </c>
      <c r="D10" s="114" t="s">
        <v>478</v>
      </c>
      <c r="E10" s="114" t="s">
        <v>1442</v>
      </c>
      <c r="F10" s="124">
        <v>44747</v>
      </c>
      <c r="G10" s="114" t="s">
        <v>1479</v>
      </c>
      <c r="H10" s="114" t="s">
        <v>820</v>
      </c>
      <c r="I10" s="124">
        <v>44769</v>
      </c>
      <c r="J10" s="124">
        <v>44824</v>
      </c>
      <c r="K10" s="114" t="s">
        <v>18</v>
      </c>
      <c r="L10" s="114" t="s">
        <v>473</v>
      </c>
      <c r="M10" s="116"/>
      <c r="N10" s="114" t="s">
        <v>20</v>
      </c>
      <c r="O10" s="114" t="s">
        <v>490</v>
      </c>
      <c r="P10" s="114" t="s">
        <v>490</v>
      </c>
      <c r="Q10" s="114" t="s">
        <v>628</v>
      </c>
      <c r="R10" s="130">
        <v>44881</v>
      </c>
      <c r="S10" s="112" t="s">
        <v>1480</v>
      </c>
      <c r="T10" s="164" t="e">
        <v>#REF!</v>
      </c>
      <c r="U10" s="164" t="e">
        <v>#REF!</v>
      </c>
      <c r="V10" s="103"/>
      <c r="W10" s="103"/>
      <c r="X10" s="103"/>
      <c r="Y10" s="157"/>
      <c r="Z10" s="157"/>
    </row>
    <row r="11" spans="1:26">
      <c r="A11" s="169" t="s">
        <v>1481</v>
      </c>
      <c r="B11" s="112" t="s">
        <v>1482</v>
      </c>
      <c r="C11" s="112" t="s">
        <v>546</v>
      </c>
      <c r="D11" s="114" t="s">
        <v>478</v>
      </c>
      <c r="E11" s="114" t="s">
        <v>1442</v>
      </c>
      <c r="F11" s="124">
        <v>44735</v>
      </c>
      <c r="G11" s="114" t="s">
        <v>1483</v>
      </c>
      <c r="H11" s="114" t="s">
        <v>820</v>
      </c>
      <c r="I11" s="124">
        <v>45034</v>
      </c>
      <c r="J11" s="124">
        <v>45054</v>
      </c>
      <c r="K11" s="114" t="s">
        <v>30</v>
      </c>
      <c r="L11" s="114" t="s">
        <v>481</v>
      </c>
      <c r="M11" s="116"/>
      <c r="N11" s="114" t="s">
        <v>20</v>
      </c>
      <c r="O11" s="114" t="s">
        <v>794</v>
      </c>
      <c r="P11" s="114" t="s">
        <v>1484</v>
      </c>
      <c r="Q11" s="114" t="s">
        <v>491</v>
      </c>
      <c r="R11" s="170">
        <v>45499</v>
      </c>
      <c r="S11" s="112" t="s">
        <v>1485</v>
      </c>
      <c r="T11" s="164" t="e">
        <v>#REF!</v>
      </c>
      <c r="U11" s="167">
        <v>2022</v>
      </c>
      <c r="V11" s="103"/>
      <c r="W11" s="103"/>
      <c r="X11" s="103"/>
      <c r="Y11" s="157"/>
      <c r="Z11" s="157"/>
    </row>
    <row r="12" spans="1:26">
      <c r="A12" s="163" t="s">
        <v>1486</v>
      </c>
      <c r="B12" s="112" t="s">
        <v>1487</v>
      </c>
      <c r="C12" s="112" t="s">
        <v>1473</v>
      </c>
      <c r="D12" s="114" t="s">
        <v>478</v>
      </c>
      <c r="E12" s="114" t="s">
        <v>1488</v>
      </c>
      <c r="F12" s="124">
        <v>44734</v>
      </c>
      <c r="G12" s="114" t="s">
        <v>1489</v>
      </c>
      <c r="H12" s="116"/>
      <c r="I12" s="116"/>
      <c r="J12" s="116"/>
      <c r="K12" s="114" t="s">
        <v>18</v>
      </c>
      <c r="L12" s="114" t="s">
        <v>1326</v>
      </c>
      <c r="M12" s="116"/>
      <c r="N12" s="114" t="s">
        <v>47</v>
      </c>
      <c r="O12" s="114" t="s">
        <v>1457</v>
      </c>
      <c r="P12" s="114" t="s">
        <v>794</v>
      </c>
      <c r="Q12" s="115" t="s">
        <v>728</v>
      </c>
      <c r="R12" s="154">
        <v>45374</v>
      </c>
      <c r="S12" s="112" t="s">
        <v>1490</v>
      </c>
      <c r="T12" s="164" t="e">
        <v>#REF!</v>
      </c>
      <c r="U12" s="164" t="e">
        <v>#REF!</v>
      </c>
      <c r="V12" s="103"/>
      <c r="W12" s="103"/>
      <c r="X12" s="103"/>
      <c r="Y12" s="157"/>
      <c r="Z12" s="157"/>
    </row>
    <row r="13" spans="1:26">
      <c r="A13" s="163" t="s">
        <v>1491</v>
      </c>
      <c r="B13" s="112" t="s">
        <v>1492</v>
      </c>
      <c r="C13" s="112" t="s">
        <v>1473</v>
      </c>
      <c r="D13" s="114" t="s">
        <v>478</v>
      </c>
      <c r="E13" s="114" t="s">
        <v>1442</v>
      </c>
      <c r="F13" s="124">
        <v>44755</v>
      </c>
      <c r="G13" s="114" t="s">
        <v>1493</v>
      </c>
      <c r="H13" s="114" t="s">
        <v>820</v>
      </c>
      <c r="I13" s="124">
        <v>44770</v>
      </c>
      <c r="J13" s="124">
        <v>44824</v>
      </c>
      <c r="K13" s="114" t="s">
        <v>18</v>
      </c>
      <c r="L13" s="114" t="s">
        <v>473</v>
      </c>
      <c r="M13" s="116"/>
      <c r="N13" s="114" t="s">
        <v>20</v>
      </c>
      <c r="O13" s="114" t="s">
        <v>490</v>
      </c>
      <c r="P13" s="114" t="s">
        <v>490</v>
      </c>
      <c r="Q13" s="114" t="s">
        <v>550</v>
      </c>
      <c r="R13" s="124">
        <v>45568</v>
      </c>
      <c r="S13" s="112" t="s">
        <v>1494</v>
      </c>
      <c r="T13" s="164" t="e">
        <v>#REF!</v>
      </c>
      <c r="U13" s="164" t="e">
        <v>#REF!</v>
      </c>
      <c r="V13" s="103"/>
      <c r="W13" s="103"/>
      <c r="X13" s="103"/>
      <c r="Y13" s="157"/>
      <c r="Z13" s="157"/>
    </row>
    <row r="14" spans="1:26">
      <c r="A14" s="169" t="s">
        <v>1495</v>
      </c>
      <c r="B14" s="112" t="s">
        <v>1496</v>
      </c>
      <c r="C14" s="112" t="s">
        <v>1473</v>
      </c>
      <c r="D14" s="114" t="s">
        <v>478</v>
      </c>
      <c r="E14" s="114" t="s">
        <v>1442</v>
      </c>
      <c r="F14" s="124">
        <v>44749</v>
      </c>
      <c r="G14" s="114" t="s">
        <v>1497</v>
      </c>
      <c r="H14" s="114" t="s">
        <v>820</v>
      </c>
      <c r="I14" s="130">
        <v>44865</v>
      </c>
      <c r="J14" s="124">
        <v>45036</v>
      </c>
      <c r="K14" s="114" t="s">
        <v>30</v>
      </c>
      <c r="L14" s="114" t="s">
        <v>481</v>
      </c>
      <c r="M14" s="116"/>
      <c r="N14" s="114" t="s">
        <v>20</v>
      </c>
      <c r="O14" s="114" t="s">
        <v>1498</v>
      </c>
      <c r="P14" s="114" t="s">
        <v>1499</v>
      </c>
      <c r="Q14" s="114" t="s">
        <v>491</v>
      </c>
      <c r="R14" s="124">
        <v>45499</v>
      </c>
      <c r="S14" s="112" t="s">
        <v>1500</v>
      </c>
      <c r="T14" s="103"/>
      <c r="U14" s="103"/>
      <c r="V14" s="103"/>
      <c r="W14" s="103"/>
      <c r="X14" s="103"/>
      <c r="Y14" s="157"/>
      <c r="Z14" s="157"/>
    </row>
    <row r="15" spans="1:26">
      <c r="A15" s="163" t="s">
        <v>1501</v>
      </c>
      <c r="B15" s="112" t="s">
        <v>1502</v>
      </c>
      <c r="C15" s="112" t="s">
        <v>1473</v>
      </c>
      <c r="D15" s="114" t="s">
        <v>478</v>
      </c>
      <c r="E15" s="114" t="s">
        <v>1442</v>
      </c>
      <c r="F15" s="124">
        <v>44743</v>
      </c>
      <c r="G15" s="114" t="s">
        <v>1503</v>
      </c>
      <c r="H15" s="112" t="s">
        <v>820</v>
      </c>
      <c r="I15" s="124">
        <v>45118</v>
      </c>
      <c r="J15" s="114" t="s">
        <v>556</v>
      </c>
      <c r="K15" s="114" t="s">
        <v>30</v>
      </c>
      <c r="L15" s="114" t="s">
        <v>481</v>
      </c>
      <c r="M15" s="116"/>
      <c r="N15" s="114" t="s">
        <v>20</v>
      </c>
      <c r="O15" s="114" t="s">
        <v>1504</v>
      </c>
      <c r="P15" s="114" t="s">
        <v>1505</v>
      </c>
      <c r="Q15" s="114" t="s">
        <v>491</v>
      </c>
      <c r="R15" s="124">
        <v>45499</v>
      </c>
      <c r="S15" s="112" t="s">
        <v>1506</v>
      </c>
      <c r="T15" s="164" t="e">
        <v>#REF!</v>
      </c>
      <c r="U15" s="164" t="e">
        <v>#REF!</v>
      </c>
      <c r="V15" s="103"/>
      <c r="W15" s="103"/>
      <c r="X15" s="103"/>
      <c r="Y15" s="157"/>
      <c r="Z15" s="157"/>
    </row>
    <row r="16" spans="1:26">
      <c r="A16" s="163" t="s">
        <v>1507</v>
      </c>
      <c r="B16" s="112" t="s">
        <v>1508</v>
      </c>
      <c r="C16" s="112" t="s">
        <v>546</v>
      </c>
      <c r="D16" s="114" t="s">
        <v>478</v>
      </c>
      <c r="E16" s="114" t="s">
        <v>1174</v>
      </c>
      <c r="F16" s="124">
        <v>44748</v>
      </c>
      <c r="G16" s="114" t="s">
        <v>1509</v>
      </c>
      <c r="H16" s="114" t="s">
        <v>820</v>
      </c>
      <c r="I16" s="114" t="s">
        <v>556</v>
      </c>
      <c r="J16" s="124">
        <v>45065</v>
      </c>
      <c r="K16" s="114" t="s">
        <v>30</v>
      </c>
      <c r="L16" s="114" t="s">
        <v>481</v>
      </c>
      <c r="M16" s="116"/>
      <c r="N16" s="114" t="s">
        <v>20</v>
      </c>
      <c r="O16" s="114" t="s">
        <v>1510</v>
      </c>
      <c r="P16" s="114" t="s">
        <v>1511</v>
      </c>
      <c r="Q16" s="165" t="s">
        <v>491</v>
      </c>
      <c r="R16" s="124">
        <v>45499</v>
      </c>
      <c r="S16" s="112" t="s">
        <v>1512</v>
      </c>
      <c r="T16" s="103"/>
      <c r="U16" s="103"/>
      <c r="V16" s="103"/>
      <c r="W16" s="103"/>
      <c r="X16" s="103"/>
      <c r="Y16" s="157"/>
      <c r="Z16" s="157"/>
    </row>
    <row r="17" spans="1:26">
      <c r="A17" s="163" t="s">
        <v>1513</v>
      </c>
      <c r="B17" s="112" t="s">
        <v>1514</v>
      </c>
      <c r="C17" s="112" t="s">
        <v>1473</v>
      </c>
      <c r="D17" s="114" t="s">
        <v>478</v>
      </c>
      <c r="E17" s="114" t="s">
        <v>1442</v>
      </c>
      <c r="F17" s="124">
        <v>44767</v>
      </c>
      <c r="G17" s="114" t="s">
        <v>1515</v>
      </c>
      <c r="H17" s="114" t="s">
        <v>820</v>
      </c>
      <c r="I17" s="124">
        <v>44783</v>
      </c>
      <c r="J17" s="114" t="s">
        <v>1516</v>
      </c>
      <c r="K17" s="114" t="s">
        <v>18</v>
      </c>
      <c r="L17" s="114" t="s">
        <v>473</v>
      </c>
      <c r="M17" s="116"/>
      <c r="N17" s="114" t="s">
        <v>20</v>
      </c>
      <c r="O17" s="114" t="s">
        <v>490</v>
      </c>
      <c r="P17" s="114" t="s">
        <v>490</v>
      </c>
      <c r="Q17" s="165" t="s">
        <v>550</v>
      </c>
      <c r="R17" s="130">
        <v>44865</v>
      </c>
      <c r="S17" s="112" t="s">
        <v>1517</v>
      </c>
      <c r="T17" s="164" t="e">
        <v>#REF!</v>
      </c>
      <c r="U17" s="164" t="e">
        <v>#REF!</v>
      </c>
      <c r="V17" s="103"/>
      <c r="W17" s="103"/>
      <c r="X17" s="103"/>
      <c r="Y17" s="157"/>
      <c r="Z17" s="157"/>
    </row>
    <row r="18" spans="1:26">
      <c r="A18" s="169" t="s">
        <v>1518</v>
      </c>
      <c r="B18" s="112" t="s">
        <v>1519</v>
      </c>
      <c r="C18" s="112" t="s">
        <v>1473</v>
      </c>
      <c r="D18" s="114" t="s">
        <v>478</v>
      </c>
      <c r="E18" s="114" t="s">
        <v>1442</v>
      </c>
      <c r="F18" s="124">
        <v>44767</v>
      </c>
      <c r="G18" s="114" t="s">
        <v>1520</v>
      </c>
      <c r="H18" s="114" t="s">
        <v>820</v>
      </c>
      <c r="I18" s="124">
        <v>44782</v>
      </c>
      <c r="J18" s="114" t="s">
        <v>1516</v>
      </c>
      <c r="K18" s="114" t="s">
        <v>18</v>
      </c>
      <c r="L18" s="114" t="s">
        <v>473</v>
      </c>
      <c r="M18" s="116"/>
      <c r="N18" s="114" t="s">
        <v>20</v>
      </c>
      <c r="O18" s="114" t="s">
        <v>490</v>
      </c>
      <c r="P18" s="114" t="s">
        <v>490</v>
      </c>
      <c r="Q18" s="165" t="s">
        <v>550</v>
      </c>
      <c r="R18" s="130">
        <v>44865</v>
      </c>
      <c r="S18" s="112" t="s">
        <v>1521</v>
      </c>
      <c r="T18" s="164" t="e">
        <v>#REF!</v>
      </c>
      <c r="U18" s="164" t="e">
        <v>#REF!</v>
      </c>
      <c r="V18" s="103"/>
      <c r="W18" s="103"/>
      <c r="X18" s="103"/>
      <c r="Y18" s="157"/>
      <c r="Z18" s="157"/>
    </row>
    <row r="19" spans="1:26">
      <c r="A19" s="163" t="s">
        <v>1522</v>
      </c>
      <c r="B19" s="112" t="s">
        <v>1523</v>
      </c>
      <c r="C19" s="112" t="s">
        <v>1473</v>
      </c>
      <c r="D19" s="114" t="s">
        <v>478</v>
      </c>
      <c r="E19" s="114" t="s">
        <v>1442</v>
      </c>
      <c r="F19" s="124">
        <v>44767</v>
      </c>
      <c r="G19" s="114" t="s">
        <v>1524</v>
      </c>
      <c r="H19" s="114" t="s">
        <v>820</v>
      </c>
      <c r="I19" s="124">
        <v>44782</v>
      </c>
      <c r="J19" s="114" t="s">
        <v>1516</v>
      </c>
      <c r="K19" s="114" t="s">
        <v>18</v>
      </c>
      <c r="L19" s="114" t="s">
        <v>473</v>
      </c>
      <c r="M19" s="116"/>
      <c r="N19" s="114" t="s">
        <v>20</v>
      </c>
      <c r="O19" s="114" t="s">
        <v>490</v>
      </c>
      <c r="P19" s="114" t="s">
        <v>490</v>
      </c>
      <c r="Q19" s="165" t="s">
        <v>550</v>
      </c>
      <c r="R19" s="130">
        <v>44865</v>
      </c>
      <c r="S19" s="112" t="s">
        <v>1525</v>
      </c>
      <c r="T19" s="164" t="e">
        <v>#REF!</v>
      </c>
      <c r="U19" s="164" t="e">
        <v>#REF!</v>
      </c>
      <c r="V19" s="103"/>
      <c r="W19" s="103"/>
      <c r="X19" s="103"/>
      <c r="Y19" s="157"/>
      <c r="Z19" s="157"/>
    </row>
    <row r="20" spans="1:26">
      <c r="A20" s="163" t="s">
        <v>1526</v>
      </c>
      <c r="B20" s="112" t="s">
        <v>1527</v>
      </c>
      <c r="C20" s="112" t="s">
        <v>1528</v>
      </c>
      <c r="D20" s="114" t="s">
        <v>478</v>
      </c>
      <c r="E20" s="114" t="s">
        <v>1529</v>
      </c>
      <c r="F20" s="124">
        <v>44459</v>
      </c>
      <c r="G20" s="114" t="s">
        <v>1530</v>
      </c>
      <c r="H20" s="116"/>
      <c r="I20" s="116"/>
      <c r="J20" s="116"/>
      <c r="K20" s="114" t="s">
        <v>30</v>
      </c>
      <c r="L20" s="114" t="s">
        <v>481</v>
      </c>
      <c r="M20" s="116"/>
      <c r="N20" s="114" t="s">
        <v>27</v>
      </c>
      <c r="O20" s="114" t="s">
        <v>1132</v>
      </c>
      <c r="P20" s="114" t="s">
        <v>803</v>
      </c>
      <c r="Q20" s="114" t="s">
        <v>521</v>
      </c>
      <c r="R20" s="124">
        <v>45470</v>
      </c>
      <c r="S20" s="112" t="s">
        <v>1531</v>
      </c>
      <c r="T20" s="103"/>
      <c r="U20" s="103"/>
      <c r="V20" s="103"/>
      <c r="W20" s="103"/>
      <c r="X20" s="103"/>
      <c r="Y20" s="157"/>
      <c r="Z20" s="157"/>
    </row>
    <row r="21" spans="1:26">
      <c r="A21" s="171" t="s">
        <v>1532</v>
      </c>
      <c r="B21" s="172" t="s">
        <v>1533</v>
      </c>
      <c r="C21" s="173"/>
      <c r="D21" s="174" t="s">
        <v>478</v>
      </c>
      <c r="E21" s="174" t="s">
        <v>1442</v>
      </c>
      <c r="F21" s="175">
        <v>44791</v>
      </c>
      <c r="G21" s="174" t="s">
        <v>1534</v>
      </c>
      <c r="H21" s="173"/>
      <c r="I21" s="173"/>
      <c r="J21" s="173"/>
      <c r="K21" s="174" t="s">
        <v>18</v>
      </c>
      <c r="L21" s="174" t="s">
        <v>473</v>
      </c>
      <c r="M21" s="173"/>
      <c r="N21" s="174" t="s">
        <v>47</v>
      </c>
      <c r="O21" s="174" t="s">
        <v>490</v>
      </c>
      <c r="P21" s="174" t="s">
        <v>490</v>
      </c>
      <c r="Q21" s="174" t="s">
        <v>550</v>
      </c>
      <c r="R21" s="175">
        <v>45054</v>
      </c>
      <c r="S21" s="172" t="s">
        <v>1535</v>
      </c>
      <c r="T21" s="103"/>
      <c r="U21" s="103"/>
      <c r="V21" s="103"/>
      <c r="W21" s="103"/>
      <c r="X21" s="103"/>
      <c r="Y21" s="157"/>
      <c r="Z21" s="157"/>
    </row>
    <row r="22" spans="1:26">
      <c r="A22" s="171" t="s">
        <v>1536</v>
      </c>
      <c r="B22" s="172" t="s">
        <v>1537</v>
      </c>
      <c r="C22" s="173"/>
      <c r="D22" s="174" t="s">
        <v>478</v>
      </c>
      <c r="E22" s="174" t="s">
        <v>1442</v>
      </c>
      <c r="F22" s="175">
        <v>44791</v>
      </c>
      <c r="G22" s="174" t="s">
        <v>1538</v>
      </c>
      <c r="H22" s="173"/>
      <c r="I22" s="173"/>
      <c r="J22" s="173"/>
      <c r="K22" s="174" t="s">
        <v>18</v>
      </c>
      <c r="L22" s="174" t="s">
        <v>473</v>
      </c>
      <c r="M22" s="173"/>
      <c r="N22" s="174" t="s">
        <v>47</v>
      </c>
      <c r="O22" s="174" t="s">
        <v>490</v>
      </c>
      <c r="P22" s="174" t="s">
        <v>490</v>
      </c>
      <c r="Q22" s="174" t="s">
        <v>550</v>
      </c>
      <c r="R22" s="175">
        <v>45061</v>
      </c>
      <c r="S22" s="172" t="s">
        <v>1535</v>
      </c>
      <c r="T22" s="164" t="e">
        <v>#REF!</v>
      </c>
      <c r="U22" s="164" t="e">
        <v>#REF!</v>
      </c>
      <c r="V22" s="103"/>
      <c r="W22" s="103"/>
      <c r="X22" s="103"/>
      <c r="Y22" s="157"/>
      <c r="Z22" s="157"/>
    </row>
    <row r="23" spans="1:26">
      <c r="A23" s="163" t="s">
        <v>1539</v>
      </c>
      <c r="B23" s="112" t="s">
        <v>1540</v>
      </c>
      <c r="C23" s="112" t="s">
        <v>1473</v>
      </c>
      <c r="D23" s="114" t="s">
        <v>478</v>
      </c>
      <c r="E23" s="114" t="s">
        <v>1541</v>
      </c>
      <c r="F23" s="124">
        <v>44760</v>
      </c>
      <c r="G23" s="114" t="s">
        <v>1542</v>
      </c>
      <c r="H23" s="116"/>
      <c r="I23" s="116"/>
      <c r="J23" s="116"/>
      <c r="K23" s="114" t="s">
        <v>30</v>
      </c>
      <c r="L23" s="114" t="s">
        <v>1543</v>
      </c>
      <c r="M23" s="116"/>
      <c r="N23" s="114" t="s">
        <v>47</v>
      </c>
      <c r="O23" s="176" t="s">
        <v>1544</v>
      </c>
      <c r="P23" s="176" t="s">
        <v>615</v>
      </c>
      <c r="Q23" s="114" t="s">
        <v>1545</v>
      </c>
      <c r="R23" s="124">
        <v>45070</v>
      </c>
      <c r="S23" s="112" t="s">
        <v>1546</v>
      </c>
      <c r="T23" s="164" t="e">
        <v>#REF!</v>
      </c>
      <c r="U23" s="164" t="e">
        <v>#REF!</v>
      </c>
      <c r="V23" s="103"/>
      <c r="W23" s="103"/>
      <c r="X23" s="103"/>
      <c r="Y23" s="157"/>
      <c r="Z23" s="157"/>
    </row>
    <row r="24" spans="1:26">
      <c r="A24" s="163" t="s">
        <v>1547</v>
      </c>
      <c r="B24" s="112" t="s">
        <v>1548</v>
      </c>
      <c r="C24" s="112" t="s">
        <v>1473</v>
      </c>
      <c r="D24" s="114" t="s">
        <v>478</v>
      </c>
      <c r="E24" s="114" t="s">
        <v>1442</v>
      </c>
      <c r="F24" s="124">
        <v>44799</v>
      </c>
      <c r="G24" s="114" t="s">
        <v>1549</v>
      </c>
      <c r="H24" s="114" t="s">
        <v>820</v>
      </c>
      <c r="I24" s="124">
        <v>44816</v>
      </c>
      <c r="J24" s="177"/>
      <c r="K24" s="114" t="s">
        <v>18</v>
      </c>
      <c r="L24" s="114" t="s">
        <v>473</v>
      </c>
      <c r="M24" s="116"/>
      <c r="N24" s="114" t="s">
        <v>20</v>
      </c>
      <c r="O24" s="114" t="s">
        <v>490</v>
      </c>
      <c r="P24" s="114" t="s">
        <v>490</v>
      </c>
      <c r="Q24" s="114" t="s">
        <v>628</v>
      </c>
      <c r="R24" s="124">
        <v>45125</v>
      </c>
      <c r="S24" s="112" t="s">
        <v>1550</v>
      </c>
      <c r="T24" s="164" t="e">
        <v>#REF!</v>
      </c>
      <c r="U24" s="164" t="e">
        <v>#REF!</v>
      </c>
      <c r="V24" s="103"/>
      <c r="W24" s="103"/>
      <c r="X24" s="103"/>
      <c r="Y24" s="157"/>
      <c r="Z24" s="157"/>
    </row>
    <row r="25" spans="1:26">
      <c r="A25" s="163" t="s">
        <v>1551</v>
      </c>
      <c r="B25" s="112" t="s">
        <v>1552</v>
      </c>
      <c r="C25" s="112" t="s">
        <v>1473</v>
      </c>
      <c r="D25" s="114" t="s">
        <v>1553</v>
      </c>
      <c r="E25" s="114" t="s">
        <v>1554</v>
      </c>
      <c r="F25" s="124">
        <v>44804</v>
      </c>
      <c r="G25" s="114" t="s">
        <v>1555</v>
      </c>
      <c r="H25" s="114" t="s">
        <v>820</v>
      </c>
      <c r="I25" s="124">
        <v>45070</v>
      </c>
      <c r="J25" s="116"/>
      <c r="K25" s="114" t="s">
        <v>30</v>
      </c>
      <c r="L25" s="114" t="s">
        <v>481</v>
      </c>
      <c r="M25" s="114" t="s">
        <v>1455</v>
      </c>
      <c r="N25" s="114" t="s">
        <v>20</v>
      </c>
      <c r="O25" s="114" t="s">
        <v>1556</v>
      </c>
      <c r="P25" s="114" t="s">
        <v>964</v>
      </c>
      <c r="Q25" s="114" t="s">
        <v>1045</v>
      </c>
      <c r="R25" s="124">
        <v>45540</v>
      </c>
      <c r="S25" s="112" t="s">
        <v>1557</v>
      </c>
      <c r="T25" s="103"/>
      <c r="U25" s="103"/>
      <c r="V25" s="103"/>
      <c r="W25" s="103"/>
      <c r="X25" s="103"/>
      <c r="Y25" s="157"/>
      <c r="Z25" s="157"/>
    </row>
    <row r="26" spans="1:26">
      <c r="A26" s="163" t="s">
        <v>1558</v>
      </c>
      <c r="B26" s="112" t="s">
        <v>1559</v>
      </c>
      <c r="C26" s="112" t="s">
        <v>1473</v>
      </c>
      <c r="D26" s="114" t="s">
        <v>478</v>
      </c>
      <c r="E26" s="114" t="s">
        <v>1560</v>
      </c>
      <c r="F26" s="124">
        <v>44804</v>
      </c>
      <c r="G26" s="114" t="s">
        <v>1561</v>
      </c>
      <c r="H26" s="114" t="s">
        <v>820</v>
      </c>
      <c r="I26" s="130">
        <v>44848</v>
      </c>
      <c r="J26" s="124">
        <v>44963</v>
      </c>
      <c r="K26" s="114" t="s">
        <v>30</v>
      </c>
      <c r="L26" s="114" t="s">
        <v>481</v>
      </c>
      <c r="M26" s="114" t="s">
        <v>586</v>
      </c>
      <c r="N26" s="114" t="s">
        <v>20</v>
      </c>
      <c r="O26" s="176" t="s">
        <v>1562</v>
      </c>
      <c r="P26" s="176" t="s">
        <v>744</v>
      </c>
      <c r="Q26" s="114" t="s">
        <v>491</v>
      </c>
      <c r="R26" s="124">
        <v>45499</v>
      </c>
      <c r="S26" s="112" t="s">
        <v>1563</v>
      </c>
      <c r="T26" s="164" t="e">
        <v>#REF!</v>
      </c>
      <c r="U26" s="164" t="e">
        <v>#REF!</v>
      </c>
      <c r="V26" s="103"/>
      <c r="W26" s="103"/>
      <c r="X26" s="103"/>
      <c r="Y26" s="157"/>
      <c r="Z26" s="157"/>
    </row>
    <row r="27" spans="1:26">
      <c r="A27" s="163" t="s">
        <v>1564</v>
      </c>
      <c r="B27" s="112" t="s">
        <v>1565</v>
      </c>
      <c r="C27" s="112" t="s">
        <v>1473</v>
      </c>
      <c r="D27" s="114" t="s">
        <v>610</v>
      </c>
      <c r="E27" s="114" t="s">
        <v>611</v>
      </c>
      <c r="F27" s="124">
        <v>44809</v>
      </c>
      <c r="G27" s="114" t="s">
        <v>1566</v>
      </c>
      <c r="H27" s="116"/>
      <c r="I27" s="116"/>
      <c r="J27" s="116"/>
      <c r="K27" s="114" t="s">
        <v>30</v>
      </c>
      <c r="L27" s="114" t="s">
        <v>1567</v>
      </c>
      <c r="M27" s="116"/>
      <c r="N27" s="114" t="s">
        <v>996</v>
      </c>
      <c r="O27" s="114" t="s">
        <v>490</v>
      </c>
      <c r="P27" s="114" t="s">
        <v>490</v>
      </c>
      <c r="Q27" s="114" t="s">
        <v>1568</v>
      </c>
      <c r="R27" s="130">
        <v>44854</v>
      </c>
      <c r="S27" s="112" t="s">
        <v>1569</v>
      </c>
      <c r="T27" s="164" t="e">
        <v>#REF!</v>
      </c>
      <c r="U27" s="164" t="e">
        <v>#REF!</v>
      </c>
      <c r="V27" s="103"/>
      <c r="W27" s="103"/>
      <c r="X27" s="103"/>
      <c r="Y27" s="157"/>
      <c r="Z27" s="157"/>
    </row>
    <row r="28" spans="1:26">
      <c r="A28" s="178" t="s">
        <v>1570</v>
      </c>
      <c r="B28" s="179" t="s">
        <v>1571</v>
      </c>
      <c r="C28" s="179" t="s">
        <v>546</v>
      </c>
      <c r="D28" s="180" t="s">
        <v>478</v>
      </c>
      <c r="E28" s="180" t="s">
        <v>1442</v>
      </c>
      <c r="F28" s="181">
        <v>44798</v>
      </c>
      <c r="G28" s="180" t="s">
        <v>1572</v>
      </c>
      <c r="H28" s="182"/>
      <c r="I28" s="182"/>
      <c r="J28" s="182"/>
      <c r="K28" s="180" t="s">
        <v>30</v>
      </c>
      <c r="L28" s="114" t="s">
        <v>481</v>
      </c>
      <c r="M28" s="182"/>
      <c r="N28" s="180" t="s">
        <v>47</v>
      </c>
      <c r="O28" s="180" t="s">
        <v>782</v>
      </c>
      <c r="P28" s="180" t="s">
        <v>1573</v>
      </c>
      <c r="Q28" s="180" t="s">
        <v>550</v>
      </c>
      <c r="R28" s="181">
        <v>45168</v>
      </c>
      <c r="S28" s="179" t="s">
        <v>1574</v>
      </c>
      <c r="T28" s="103"/>
      <c r="U28" s="103"/>
      <c r="V28" s="103"/>
      <c r="W28" s="103"/>
      <c r="X28" s="103"/>
      <c r="Y28" s="157"/>
      <c r="Z28" s="157"/>
    </row>
    <row r="29" spans="1:26">
      <c r="A29" s="163" t="s">
        <v>1575</v>
      </c>
      <c r="B29" s="112" t="s">
        <v>1576</v>
      </c>
      <c r="C29" s="112" t="s">
        <v>1453</v>
      </c>
      <c r="D29" s="114" t="s">
        <v>478</v>
      </c>
      <c r="E29" s="114" t="s">
        <v>1541</v>
      </c>
      <c r="F29" s="124">
        <v>44757</v>
      </c>
      <c r="G29" s="114" t="s">
        <v>1577</v>
      </c>
      <c r="H29" s="116"/>
      <c r="I29" s="116"/>
      <c r="J29" s="116"/>
      <c r="K29" s="114" t="s">
        <v>18</v>
      </c>
      <c r="L29" s="114" t="s">
        <v>1543</v>
      </c>
      <c r="M29" s="116"/>
      <c r="N29" s="114" t="s">
        <v>47</v>
      </c>
      <c r="O29" s="114" t="s">
        <v>1465</v>
      </c>
      <c r="P29" s="114" t="s">
        <v>510</v>
      </c>
      <c r="Q29" s="114" t="s">
        <v>668</v>
      </c>
      <c r="R29" s="124">
        <v>45002</v>
      </c>
      <c r="S29" s="112" t="s">
        <v>1578</v>
      </c>
      <c r="T29" s="164" t="e">
        <v>#REF!</v>
      </c>
      <c r="U29" s="164" t="e">
        <v>#REF!</v>
      </c>
      <c r="V29" s="103"/>
      <c r="W29" s="103"/>
      <c r="X29" s="103"/>
      <c r="Y29" s="157"/>
      <c r="Z29" s="157"/>
    </row>
    <row r="30" spans="1:26">
      <c r="A30" s="163" t="s">
        <v>1579</v>
      </c>
      <c r="B30" s="112" t="s">
        <v>1580</v>
      </c>
      <c r="C30" s="112" t="s">
        <v>469</v>
      </c>
      <c r="D30" s="114" t="s">
        <v>478</v>
      </c>
      <c r="E30" s="114" t="s">
        <v>1442</v>
      </c>
      <c r="F30" s="124">
        <v>44792</v>
      </c>
      <c r="G30" s="114" t="s">
        <v>507</v>
      </c>
      <c r="H30" s="114" t="s">
        <v>820</v>
      </c>
      <c r="I30" s="124">
        <v>45015</v>
      </c>
      <c r="J30" s="114" t="s">
        <v>820</v>
      </c>
      <c r="K30" s="114" t="s">
        <v>18</v>
      </c>
      <c r="L30" s="114" t="s">
        <v>1543</v>
      </c>
      <c r="M30" s="116"/>
      <c r="N30" s="114" t="s">
        <v>20</v>
      </c>
      <c r="O30" s="114" t="s">
        <v>997</v>
      </c>
      <c r="P30" s="115" t="s">
        <v>706</v>
      </c>
      <c r="Q30" s="114" t="s">
        <v>491</v>
      </c>
      <c r="R30" s="124">
        <v>45499</v>
      </c>
      <c r="S30" s="112" t="s">
        <v>1581</v>
      </c>
      <c r="T30" s="164" t="e">
        <v>#REF!</v>
      </c>
      <c r="U30" s="164" t="e">
        <v>#REF!</v>
      </c>
      <c r="V30" s="103"/>
      <c r="W30" s="103"/>
      <c r="X30" s="103"/>
      <c r="Y30" s="157"/>
      <c r="Z30" s="157"/>
    </row>
    <row r="31" spans="1:26">
      <c r="A31" s="183" t="s">
        <v>1582</v>
      </c>
      <c r="B31" s="184" t="s">
        <v>1583</v>
      </c>
      <c r="C31" s="184" t="s">
        <v>469</v>
      </c>
      <c r="D31" s="115" t="s">
        <v>823</v>
      </c>
      <c r="E31" s="114" t="s">
        <v>1462</v>
      </c>
      <c r="F31" s="124">
        <v>44810</v>
      </c>
      <c r="G31" s="114" t="s">
        <v>1584</v>
      </c>
      <c r="H31" s="185">
        <v>45112</v>
      </c>
      <c r="I31" s="124">
        <v>45118</v>
      </c>
      <c r="J31" s="114" t="s">
        <v>820</v>
      </c>
      <c r="K31" s="114" t="s">
        <v>30</v>
      </c>
      <c r="L31" s="114" t="s">
        <v>481</v>
      </c>
      <c r="M31" s="116"/>
      <c r="N31" s="114" t="s">
        <v>20</v>
      </c>
      <c r="O31" s="114" t="s">
        <v>1585</v>
      </c>
      <c r="P31" s="114" t="s">
        <v>638</v>
      </c>
      <c r="Q31" s="114" t="s">
        <v>491</v>
      </c>
      <c r="R31" s="124">
        <v>45499</v>
      </c>
      <c r="S31" s="112" t="s">
        <v>1586</v>
      </c>
      <c r="T31" s="103"/>
      <c r="U31" s="103"/>
      <c r="V31" s="103"/>
      <c r="W31" s="103"/>
      <c r="X31" s="103"/>
      <c r="Y31" s="157"/>
      <c r="Z31" s="157"/>
    </row>
    <row r="32" spans="1:26">
      <c r="A32" s="186" t="s">
        <v>1587</v>
      </c>
      <c r="B32" s="184" t="s">
        <v>1588</v>
      </c>
      <c r="C32" s="184" t="s">
        <v>546</v>
      </c>
      <c r="D32" s="115" t="s">
        <v>823</v>
      </c>
      <c r="E32" s="114" t="s">
        <v>1462</v>
      </c>
      <c r="F32" s="124">
        <v>44810</v>
      </c>
      <c r="G32" s="114" t="s">
        <v>1589</v>
      </c>
      <c r="H32" s="116"/>
      <c r="I32" s="116"/>
      <c r="J32" s="116"/>
      <c r="K32" s="114" t="s">
        <v>30</v>
      </c>
      <c r="L32" s="114" t="s">
        <v>481</v>
      </c>
      <c r="M32" s="116"/>
      <c r="N32" s="114" t="s">
        <v>1590</v>
      </c>
      <c r="O32" s="114" t="s">
        <v>1585</v>
      </c>
      <c r="P32" s="176" t="s">
        <v>638</v>
      </c>
      <c r="Q32" s="114" t="s">
        <v>668</v>
      </c>
      <c r="R32" s="124">
        <v>45184</v>
      </c>
      <c r="S32" s="112" t="s">
        <v>1591</v>
      </c>
      <c r="T32" s="164" t="e">
        <v>#REF!</v>
      </c>
      <c r="U32" s="164" t="e">
        <v>#REF!</v>
      </c>
      <c r="V32" s="103"/>
      <c r="W32" s="103"/>
      <c r="X32" s="103"/>
      <c r="Y32" s="157"/>
      <c r="Z32" s="157"/>
    </row>
    <row r="33" spans="1:26">
      <c r="A33" s="186" t="s">
        <v>1592</v>
      </c>
      <c r="B33" s="112" t="s">
        <v>1593</v>
      </c>
      <c r="C33" s="112" t="s">
        <v>1260</v>
      </c>
      <c r="D33" s="114" t="s">
        <v>478</v>
      </c>
      <c r="E33" s="114" t="s">
        <v>1442</v>
      </c>
      <c r="F33" s="124">
        <v>2021</v>
      </c>
      <c r="G33" s="114" t="s">
        <v>1594</v>
      </c>
      <c r="H33" s="114" t="s">
        <v>820</v>
      </c>
      <c r="I33" s="124">
        <v>44818</v>
      </c>
      <c r="J33" s="130">
        <v>44909</v>
      </c>
      <c r="K33" s="114" t="s">
        <v>18</v>
      </c>
      <c r="L33" s="114" t="s">
        <v>481</v>
      </c>
      <c r="M33" s="116"/>
      <c r="N33" s="114" t="s">
        <v>47</v>
      </c>
      <c r="O33" s="176" t="s">
        <v>1595</v>
      </c>
      <c r="P33" s="176" t="s">
        <v>1596</v>
      </c>
      <c r="Q33" s="114" t="s">
        <v>668</v>
      </c>
      <c r="R33" s="124">
        <v>45096</v>
      </c>
      <c r="S33" s="112" t="s">
        <v>1597</v>
      </c>
      <c r="T33" s="164" t="e">
        <v>#REF!</v>
      </c>
      <c r="U33" s="164" t="e">
        <v>#REF!</v>
      </c>
      <c r="V33" s="103"/>
      <c r="W33" s="103"/>
      <c r="X33" s="103"/>
      <c r="Y33" s="157"/>
      <c r="Z33" s="157"/>
    </row>
    <row r="34" spans="1:26">
      <c r="A34" s="163" t="s">
        <v>1598</v>
      </c>
      <c r="B34" s="112" t="s">
        <v>1599</v>
      </c>
      <c r="C34" s="112" t="s">
        <v>1528</v>
      </c>
      <c r="D34" s="114" t="s">
        <v>478</v>
      </c>
      <c r="E34" s="114" t="s">
        <v>1529</v>
      </c>
      <c r="F34" s="124">
        <v>44628</v>
      </c>
      <c r="G34" s="114" t="s">
        <v>1600</v>
      </c>
      <c r="H34" s="114" t="s">
        <v>820</v>
      </c>
      <c r="I34" s="124">
        <v>45016</v>
      </c>
      <c r="J34" s="124">
        <v>45082</v>
      </c>
      <c r="K34" s="114" t="s">
        <v>18</v>
      </c>
      <c r="L34" s="114" t="s">
        <v>481</v>
      </c>
      <c r="M34" s="116"/>
      <c r="N34" s="114" t="s">
        <v>20</v>
      </c>
      <c r="O34" s="114" t="s">
        <v>1132</v>
      </c>
      <c r="P34" s="114" t="s">
        <v>803</v>
      </c>
      <c r="Q34" s="165" t="s">
        <v>645</v>
      </c>
      <c r="R34" s="124">
        <v>45191</v>
      </c>
      <c r="S34" s="112" t="s">
        <v>1601</v>
      </c>
      <c r="T34" s="164" t="e">
        <v>#REF!</v>
      </c>
      <c r="U34" s="164" t="e">
        <v>#REF!</v>
      </c>
      <c r="V34" s="103"/>
      <c r="W34" s="103"/>
      <c r="X34" s="103"/>
      <c r="Y34" s="157"/>
      <c r="Z34" s="157"/>
    </row>
    <row r="35" spans="1:26">
      <c r="A35" s="169" t="s">
        <v>1602</v>
      </c>
      <c r="B35" s="112" t="s">
        <v>1603</v>
      </c>
      <c r="C35" s="112" t="s">
        <v>469</v>
      </c>
      <c r="D35" s="114" t="s">
        <v>478</v>
      </c>
      <c r="E35" s="114" t="s">
        <v>1442</v>
      </c>
      <c r="F35" s="124">
        <v>44834</v>
      </c>
      <c r="G35" s="114" t="s">
        <v>1604</v>
      </c>
      <c r="H35" s="114" t="s">
        <v>820</v>
      </c>
      <c r="I35" s="130">
        <v>44861</v>
      </c>
      <c r="J35" s="124">
        <v>45041</v>
      </c>
      <c r="K35" s="114" t="s">
        <v>30</v>
      </c>
      <c r="L35" s="114" t="s">
        <v>1543</v>
      </c>
      <c r="M35" s="116"/>
      <c r="N35" s="114" t="s">
        <v>20</v>
      </c>
      <c r="O35" s="114" t="s">
        <v>1456</v>
      </c>
      <c r="P35" s="114" t="s">
        <v>1544</v>
      </c>
      <c r="Q35" s="114" t="s">
        <v>491</v>
      </c>
      <c r="R35" s="124">
        <v>45513</v>
      </c>
      <c r="S35" s="112" t="s">
        <v>1605</v>
      </c>
      <c r="T35" s="103"/>
      <c r="U35" s="103"/>
      <c r="V35" s="103"/>
      <c r="W35" s="103"/>
      <c r="X35" s="103"/>
      <c r="Y35" s="157"/>
      <c r="Z35" s="157"/>
    </row>
    <row r="36" spans="1:26">
      <c r="A36" s="169" t="s">
        <v>1606</v>
      </c>
      <c r="B36" s="112" t="s">
        <v>1607</v>
      </c>
      <c r="C36" s="112" t="s">
        <v>469</v>
      </c>
      <c r="D36" s="114" t="s">
        <v>478</v>
      </c>
      <c r="E36" s="114" t="s">
        <v>1608</v>
      </c>
      <c r="F36" s="124">
        <v>44840</v>
      </c>
      <c r="G36" s="114" t="s">
        <v>1609</v>
      </c>
      <c r="H36" s="112" t="s">
        <v>820</v>
      </c>
      <c r="I36" s="124">
        <v>45100</v>
      </c>
      <c r="J36" s="114" t="s">
        <v>1610</v>
      </c>
      <c r="K36" s="114" t="s">
        <v>30</v>
      </c>
      <c r="L36" s="114" t="s">
        <v>481</v>
      </c>
      <c r="M36" s="114" t="s">
        <v>1611</v>
      </c>
      <c r="N36" s="114" t="s">
        <v>20</v>
      </c>
      <c r="O36" s="114" t="s">
        <v>803</v>
      </c>
      <c r="P36" s="114" t="s">
        <v>1132</v>
      </c>
      <c r="Q36" s="115" t="s">
        <v>1187</v>
      </c>
      <c r="R36" s="124">
        <v>45489</v>
      </c>
      <c r="S36" s="112" t="s">
        <v>1612</v>
      </c>
      <c r="T36" s="103"/>
      <c r="U36" s="103"/>
      <c r="V36" s="103"/>
      <c r="W36" s="103"/>
      <c r="X36" s="103"/>
      <c r="Y36" s="157"/>
      <c r="Z36" s="157"/>
    </row>
    <row r="37" spans="1:26">
      <c r="A37" s="169" t="s">
        <v>1613</v>
      </c>
      <c r="B37" s="112" t="s">
        <v>1614</v>
      </c>
      <c r="C37" s="112" t="s">
        <v>546</v>
      </c>
      <c r="D37" s="114" t="s">
        <v>478</v>
      </c>
      <c r="E37" s="114" t="s">
        <v>1541</v>
      </c>
      <c r="F37" s="130">
        <v>44844</v>
      </c>
      <c r="G37" s="114" t="s">
        <v>1615</v>
      </c>
      <c r="H37" s="112" t="s">
        <v>820</v>
      </c>
      <c r="I37" s="124">
        <v>45093</v>
      </c>
      <c r="J37" s="124">
        <v>45148</v>
      </c>
      <c r="K37" s="114" t="s">
        <v>30</v>
      </c>
      <c r="L37" s="114" t="s">
        <v>1326</v>
      </c>
      <c r="M37" s="114" t="s">
        <v>1611</v>
      </c>
      <c r="N37" s="114" t="s">
        <v>47</v>
      </c>
      <c r="O37" s="114" t="s">
        <v>1456</v>
      </c>
      <c r="P37" s="114" t="s">
        <v>1457</v>
      </c>
      <c r="Q37" s="115" t="s">
        <v>1301</v>
      </c>
      <c r="R37" s="124">
        <v>45267</v>
      </c>
      <c r="S37" s="112" t="s">
        <v>1616</v>
      </c>
      <c r="T37" s="103"/>
      <c r="U37" s="103"/>
      <c r="V37" s="103"/>
      <c r="W37" s="103"/>
      <c r="X37" s="103"/>
      <c r="Y37" s="157"/>
      <c r="Z37" s="157"/>
    </row>
    <row r="38" spans="1:26">
      <c r="A38" s="169" t="s">
        <v>1617</v>
      </c>
      <c r="B38" s="112" t="s">
        <v>1618</v>
      </c>
      <c r="C38" s="112" t="s">
        <v>469</v>
      </c>
      <c r="D38" s="114" t="s">
        <v>478</v>
      </c>
      <c r="E38" s="114" t="s">
        <v>1541</v>
      </c>
      <c r="F38" s="130">
        <v>44848</v>
      </c>
      <c r="G38" s="114" t="s">
        <v>1619</v>
      </c>
      <c r="H38" s="116"/>
      <c r="I38" s="116"/>
      <c r="J38" s="116"/>
      <c r="K38" s="114" t="s">
        <v>30</v>
      </c>
      <c r="L38" s="114" t="s">
        <v>481</v>
      </c>
      <c r="M38" s="116"/>
      <c r="N38" s="114" t="s">
        <v>27</v>
      </c>
      <c r="O38" s="176" t="s">
        <v>570</v>
      </c>
      <c r="P38" s="176" t="s">
        <v>571</v>
      </c>
      <c r="Q38" s="114" t="s">
        <v>1620</v>
      </c>
      <c r="R38" s="124">
        <v>45495</v>
      </c>
      <c r="S38" s="112" t="s">
        <v>1621</v>
      </c>
      <c r="T38" s="164" t="e">
        <v>#REF!</v>
      </c>
      <c r="U38" s="164" t="e">
        <v>#REF!</v>
      </c>
      <c r="V38" s="103"/>
      <c r="W38" s="103"/>
      <c r="X38" s="103"/>
      <c r="Y38" s="157"/>
      <c r="Z38" s="157"/>
    </row>
    <row r="39" spans="1:26">
      <c r="A39" s="163" t="s">
        <v>1622</v>
      </c>
      <c r="B39" s="112" t="s">
        <v>1623</v>
      </c>
      <c r="C39" s="112" t="s">
        <v>546</v>
      </c>
      <c r="D39" s="114" t="s">
        <v>478</v>
      </c>
      <c r="E39" s="114" t="s">
        <v>1624</v>
      </c>
      <c r="F39" s="130">
        <v>44845</v>
      </c>
      <c r="G39" s="114" t="s">
        <v>1625</v>
      </c>
      <c r="H39" s="114" t="s">
        <v>820</v>
      </c>
      <c r="I39" s="114" t="s">
        <v>1626</v>
      </c>
      <c r="J39" s="114" t="s">
        <v>820</v>
      </c>
      <c r="K39" s="114" t="s">
        <v>18</v>
      </c>
      <c r="L39" s="114" t="s">
        <v>473</v>
      </c>
      <c r="M39" s="116"/>
      <c r="N39" s="114" t="s">
        <v>47</v>
      </c>
      <c r="O39" s="116"/>
      <c r="P39" s="116"/>
      <c r="Q39" s="114" t="s">
        <v>950</v>
      </c>
      <c r="R39" s="124">
        <v>45056</v>
      </c>
      <c r="S39" s="187" t="s">
        <v>1627</v>
      </c>
      <c r="T39" s="164" t="e">
        <v>#REF!</v>
      </c>
      <c r="U39" s="164" t="e">
        <v>#REF!</v>
      </c>
      <c r="V39" s="103"/>
      <c r="W39" s="103"/>
      <c r="X39" s="103"/>
      <c r="Y39" s="157"/>
      <c r="Z39" s="157"/>
    </row>
    <row r="40" spans="1:26">
      <c r="A40" s="169" t="s">
        <v>1628</v>
      </c>
      <c r="B40" s="112" t="s">
        <v>1629</v>
      </c>
      <c r="C40" s="112" t="s">
        <v>469</v>
      </c>
      <c r="D40" s="114" t="s">
        <v>478</v>
      </c>
      <c r="E40" s="114" t="s">
        <v>1630</v>
      </c>
      <c r="F40" s="124">
        <v>44839</v>
      </c>
      <c r="G40" s="114" t="s">
        <v>1631</v>
      </c>
      <c r="H40" s="116"/>
      <c r="I40" s="116"/>
      <c r="J40" s="116"/>
      <c r="K40" s="114" t="s">
        <v>30</v>
      </c>
      <c r="L40" s="114" t="s">
        <v>481</v>
      </c>
      <c r="M40" s="116"/>
      <c r="N40" s="114" t="s">
        <v>27</v>
      </c>
      <c r="O40" s="176" t="s">
        <v>1562</v>
      </c>
      <c r="P40" s="114" t="s">
        <v>744</v>
      </c>
      <c r="Q40" s="114" t="s">
        <v>1105</v>
      </c>
      <c r="R40" s="124">
        <v>45468</v>
      </c>
      <c r="S40" s="112" t="s">
        <v>1632</v>
      </c>
      <c r="T40" s="103"/>
      <c r="U40" s="103"/>
      <c r="V40" s="103"/>
      <c r="W40" s="103"/>
      <c r="X40" s="103"/>
      <c r="Y40" s="157"/>
      <c r="Z40" s="157"/>
    </row>
    <row r="41" spans="1:26">
      <c r="A41" s="163" t="s">
        <v>1633</v>
      </c>
      <c r="B41" s="112" t="s">
        <v>1634</v>
      </c>
      <c r="C41" s="112" t="s">
        <v>469</v>
      </c>
      <c r="D41" s="114" t="s">
        <v>478</v>
      </c>
      <c r="E41" s="114" t="s">
        <v>1635</v>
      </c>
      <c r="F41" s="130">
        <v>44861</v>
      </c>
      <c r="G41" s="114" t="s">
        <v>1636</v>
      </c>
      <c r="H41" s="114" t="s">
        <v>820</v>
      </c>
      <c r="I41" s="114" t="s">
        <v>556</v>
      </c>
      <c r="J41" s="124">
        <v>44945</v>
      </c>
      <c r="K41" s="114" t="s">
        <v>18</v>
      </c>
      <c r="L41" s="114" t="s">
        <v>1543</v>
      </c>
      <c r="M41" s="116"/>
      <c r="N41" s="114" t="s">
        <v>47</v>
      </c>
      <c r="O41" s="114" t="s">
        <v>570</v>
      </c>
      <c r="P41" s="114" t="s">
        <v>571</v>
      </c>
      <c r="Q41" s="114" t="s">
        <v>689</v>
      </c>
      <c r="R41" s="124">
        <v>45005</v>
      </c>
      <c r="S41" s="112" t="s">
        <v>1637</v>
      </c>
      <c r="T41" s="164" t="e">
        <v>#REF!</v>
      </c>
      <c r="U41" s="164" t="e">
        <v>#REF!</v>
      </c>
      <c r="V41" s="103"/>
      <c r="W41" s="103"/>
      <c r="X41" s="103"/>
      <c r="Y41" s="157"/>
      <c r="Z41" s="157"/>
    </row>
    <row r="42" spans="1:26">
      <c r="A42" s="163" t="s">
        <v>1638</v>
      </c>
      <c r="B42" s="112" t="s">
        <v>1639</v>
      </c>
      <c r="C42" s="112" t="s">
        <v>1640</v>
      </c>
      <c r="D42" s="114" t="s">
        <v>478</v>
      </c>
      <c r="E42" s="114" t="s">
        <v>1442</v>
      </c>
      <c r="F42" s="124">
        <v>44866</v>
      </c>
      <c r="G42" s="114" t="s">
        <v>1641</v>
      </c>
      <c r="H42" s="114" t="s">
        <v>820</v>
      </c>
      <c r="I42" s="130">
        <v>44883</v>
      </c>
      <c r="J42" s="124">
        <v>45055</v>
      </c>
      <c r="K42" s="114" t="s">
        <v>18</v>
      </c>
      <c r="L42" s="114" t="s">
        <v>473</v>
      </c>
      <c r="M42" s="116"/>
      <c r="N42" s="114" t="s">
        <v>47</v>
      </c>
      <c r="O42" s="114" t="s">
        <v>490</v>
      </c>
      <c r="P42" s="114" t="s">
        <v>490</v>
      </c>
      <c r="Q42" s="114" t="s">
        <v>689</v>
      </c>
      <c r="R42" s="124">
        <v>45071</v>
      </c>
      <c r="S42" s="112" t="s">
        <v>1642</v>
      </c>
      <c r="T42" s="164" t="e">
        <v>#REF!</v>
      </c>
      <c r="U42" s="164" t="e">
        <v>#REF!</v>
      </c>
      <c r="V42" s="103"/>
      <c r="W42" s="103"/>
      <c r="X42" s="103"/>
      <c r="Y42" s="157"/>
      <c r="Z42" s="157"/>
    </row>
    <row r="43" spans="1:26">
      <c r="A43" s="163" t="s">
        <v>1643</v>
      </c>
      <c r="B43" s="112" t="s">
        <v>1644</v>
      </c>
      <c r="C43" s="112" t="s">
        <v>1260</v>
      </c>
      <c r="D43" s="114" t="s">
        <v>478</v>
      </c>
      <c r="E43" s="114" t="s">
        <v>1442</v>
      </c>
      <c r="F43" s="124">
        <v>44872</v>
      </c>
      <c r="G43" s="114" t="s">
        <v>1645</v>
      </c>
      <c r="H43" s="116"/>
      <c r="I43" s="116"/>
      <c r="J43" s="116"/>
      <c r="K43" s="114" t="s">
        <v>18</v>
      </c>
      <c r="L43" s="114" t="s">
        <v>1567</v>
      </c>
      <c r="M43" s="116"/>
      <c r="N43" s="114" t="s">
        <v>47</v>
      </c>
      <c r="O43" s="116"/>
      <c r="P43" s="116"/>
      <c r="Q43" s="165" t="s">
        <v>550</v>
      </c>
      <c r="R43" s="124">
        <v>44973</v>
      </c>
      <c r="S43" s="112" t="s">
        <v>1646</v>
      </c>
      <c r="T43" s="103"/>
      <c r="U43" s="103"/>
      <c r="V43" s="103"/>
      <c r="W43" s="103"/>
      <c r="X43" s="103"/>
      <c r="Y43" s="157"/>
      <c r="Z43" s="157"/>
    </row>
    <row r="44" spans="1:26">
      <c r="A44" s="163" t="s">
        <v>1647</v>
      </c>
      <c r="B44" s="112" t="s">
        <v>1648</v>
      </c>
      <c r="C44" s="112" t="s">
        <v>469</v>
      </c>
      <c r="D44" s="114" t="s">
        <v>478</v>
      </c>
      <c r="E44" s="114" t="s">
        <v>478</v>
      </c>
      <c r="F44" s="124">
        <v>44873</v>
      </c>
      <c r="G44" s="114" t="s">
        <v>895</v>
      </c>
      <c r="H44" s="116"/>
      <c r="I44" s="116"/>
      <c r="J44" s="116"/>
      <c r="K44" s="114" t="s">
        <v>896</v>
      </c>
      <c r="L44" s="114" t="s">
        <v>896</v>
      </c>
      <c r="M44" s="116"/>
      <c r="N44" s="114" t="s">
        <v>47</v>
      </c>
      <c r="O44" s="114" t="s">
        <v>490</v>
      </c>
      <c r="P44" s="114" t="s">
        <v>490</v>
      </c>
      <c r="Q44" s="114" t="s">
        <v>1649</v>
      </c>
      <c r="R44" s="124">
        <v>44967</v>
      </c>
      <c r="S44" s="112" t="s">
        <v>1650</v>
      </c>
      <c r="T44" s="103"/>
      <c r="U44" s="103"/>
      <c r="V44" s="103"/>
      <c r="W44" s="103"/>
      <c r="X44" s="103"/>
      <c r="Y44" s="157"/>
      <c r="Z44" s="157"/>
    </row>
    <row r="45" spans="1:26">
      <c r="A45" s="169" t="s">
        <v>1651</v>
      </c>
      <c r="B45" s="112" t="s">
        <v>1652</v>
      </c>
      <c r="C45" s="112" t="s">
        <v>469</v>
      </c>
      <c r="D45" s="114" t="s">
        <v>478</v>
      </c>
      <c r="E45" s="114" t="s">
        <v>1442</v>
      </c>
      <c r="F45" s="130">
        <v>44883</v>
      </c>
      <c r="G45" s="114" t="s">
        <v>1349</v>
      </c>
      <c r="H45" s="116"/>
      <c r="I45" s="116"/>
      <c r="J45" s="116"/>
      <c r="K45" s="114" t="s">
        <v>30</v>
      </c>
      <c r="L45" s="114" t="s">
        <v>473</v>
      </c>
      <c r="M45" s="116"/>
      <c r="N45" s="114" t="s">
        <v>996</v>
      </c>
      <c r="O45" s="114" t="s">
        <v>1457</v>
      </c>
      <c r="P45" s="114" t="s">
        <v>1498</v>
      </c>
      <c r="Q45" s="165" t="s">
        <v>550</v>
      </c>
      <c r="R45" s="130">
        <v>44917</v>
      </c>
      <c r="S45" s="112" t="s">
        <v>1653</v>
      </c>
      <c r="T45" s="103"/>
      <c r="U45" s="103"/>
      <c r="V45" s="103"/>
      <c r="W45" s="103"/>
      <c r="X45" s="103"/>
      <c r="Y45" s="157"/>
      <c r="Z45" s="157"/>
    </row>
    <row r="46" spans="1:26">
      <c r="A46" s="169" t="s">
        <v>1654</v>
      </c>
      <c r="B46" s="112" t="s">
        <v>1655</v>
      </c>
      <c r="C46" s="112" t="s">
        <v>546</v>
      </c>
      <c r="D46" s="114" t="s">
        <v>478</v>
      </c>
      <c r="E46" s="114" t="s">
        <v>1442</v>
      </c>
      <c r="F46" s="130">
        <v>44887</v>
      </c>
      <c r="G46" s="114" t="s">
        <v>1656</v>
      </c>
      <c r="H46" s="124">
        <v>45508</v>
      </c>
      <c r="I46" s="114" t="s">
        <v>1657</v>
      </c>
      <c r="J46" s="114" t="s">
        <v>1658</v>
      </c>
      <c r="K46" s="114" t="s">
        <v>18</v>
      </c>
      <c r="L46" s="114" t="s">
        <v>481</v>
      </c>
      <c r="M46" s="116"/>
      <c r="N46" s="114" t="s">
        <v>20</v>
      </c>
      <c r="O46" s="114" t="s">
        <v>1659</v>
      </c>
      <c r="P46" s="114" t="s">
        <v>1660</v>
      </c>
      <c r="Q46" s="114" t="s">
        <v>491</v>
      </c>
      <c r="R46" s="124">
        <v>45499</v>
      </c>
      <c r="S46" s="112" t="s">
        <v>1661</v>
      </c>
      <c r="T46" s="164" t="e">
        <v>#REF!</v>
      </c>
      <c r="U46" s="164" t="e">
        <v>#REF!</v>
      </c>
      <c r="V46" s="103"/>
      <c r="W46" s="103"/>
      <c r="X46" s="103"/>
      <c r="Y46" s="157"/>
      <c r="Z46" s="157"/>
    </row>
    <row r="47" spans="1:26">
      <c r="A47" s="163" t="s">
        <v>1662</v>
      </c>
      <c r="B47" s="112" t="s">
        <v>1663</v>
      </c>
      <c r="C47" s="112" t="s">
        <v>624</v>
      </c>
      <c r="D47" s="114" t="s">
        <v>478</v>
      </c>
      <c r="E47" s="114" t="s">
        <v>1664</v>
      </c>
      <c r="F47" s="124">
        <v>44790</v>
      </c>
      <c r="G47" s="114" t="s">
        <v>1665</v>
      </c>
      <c r="H47" s="114" t="s">
        <v>820</v>
      </c>
      <c r="I47" s="114" t="s">
        <v>1626</v>
      </c>
      <c r="J47" s="114" t="s">
        <v>1666</v>
      </c>
      <c r="K47" s="114" t="s">
        <v>18</v>
      </c>
      <c r="L47" s="114" t="s">
        <v>473</v>
      </c>
      <c r="M47" s="116"/>
      <c r="N47" s="114" t="s">
        <v>47</v>
      </c>
      <c r="O47" s="114" t="s">
        <v>1667</v>
      </c>
      <c r="P47" s="114" t="s">
        <v>1668</v>
      </c>
      <c r="Q47" s="114" t="s">
        <v>950</v>
      </c>
      <c r="R47" s="124">
        <v>45019</v>
      </c>
      <c r="S47" s="112" t="s">
        <v>1669</v>
      </c>
      <c r="T47" s="164" t="e">
        <v>#REF!</v>
      </c>
      <c r="U47" s="164" t="e">
        <v>#REF!</v>
      </c>
      <c r="V47" s="103"/>
      <c r="W47" s="103"/>
      <c r="X47" s="103"/>
      <c r="Y47" s="157"/>
      <c r="Z47" s="157"/>
    </row>
    <row r="48" spans="1:26">
      <c r="A48" s="163" t="s">
        <v>1670</v>
      </c>
      <c r="B48" s="112" t="s">
        <v>1663</v>
      </c>
      <c r="C48" s="112" t="s">
        <v>624</v>
      </c>
      <c r="D48" s="114" t="s">
        <v>478</v>
      </c>
      <c r="E48" s="114" t="s">
        <v>1671</v>
      </c>
      <c r="F48" s="130">
        <v>44882</v>
      </c>
      <c r="G48" s="114" t="s">
        <v>1672</v>
      </c>
      <c r="H48" s="114" t="s">
        <v>820</v>
      </c>
      <c r="I48" s="114" t="s">
        <v>1626</v>
      </c>
      <c r="J48" s="114" t="s">
        <v>1666</v>
      </c>
      <c r="K48" s="114" t="s">
        <v>18</v>
      </c>
      <c r="L48" s="114" t="s">
        <v>473</v>
      </c>
      <c r="M48" s="116"/>
      <c r="N48" s="114" t="s">
        <v>47</v>
      </c>
      <c r="O48" s="114" t="s">
        <v>1673</v>
      </c>
      <c r="P48" s="114" t="s">
        <v>1407</v>
      </c>
      <c r="Q48" s="114" t="s">
        <v>950</v>
      </c>
      <c r="R48" s="124">
        <v>45021</v>
      </c>
      <c r="S48" s="112" t="s">
        <v>1674</v>
      </c>
      <c r="T48" s="164" t="e">
        <v>#REF!</v>
      </c>
      <c r="U48" s="164" t="e">
        <v>#REF!</v>
      </c>
      <c r="V48" s="103"/>
      <c r="W48" s="103"/>
      <c r="X48" s="103"/>
      <c r="Y48" s="157"/>
      <c r="Z48" s="157"/>
    </row>
    <row r="49" spans="1:26">
      <c r="A49" s="163" t="s">
        <v>1675</v>
      </c>
      <c r="B49" s="112" t="s">
        <v>1676</v>
      </c>
      <c r="C49" s="112" t="s">
        <v>584</v>
      </c>
      <c r="D49" s="114" t="s">
        <v>478</v>
      </c>
      <c r="E49" s="114" t="s">
        <v>1442</v>
      </c>
      <c r="F49" s="130">
        <v>44890</v>
      </c>
      <c r="G49" s="114" t="s">
        <v>1677</v>
      </c>
      <c r="H49" s="114" t="s">
        <v>820</v>
      </c>
      <c r="I49" s="124">
        <v>44902</v>
      </c>
      <c r="J49" s="124">
        <v>44985</v>
      </c>
      <c r="K49" s="114" t="s">
        <v>18</v>
      </c>
      <c r="L49" s="114" t="s">
        <v>473</v>
      </c>
      <c r="M49" s="116"/>
      <c r="N49" s="114" t="s">
        <v>47</v>
      </c>
      <c r="O49" s="114" t="s">
        <v>490</v>
      </c>
      <c r="P49" s="114" t="s">
        <v>490</v>
      </c>
      <c r="Q49" s="114" t="s">
        <v>689</v>
      </c>
      <c r="R49" s="124">
        <v>44998</v>
      </c>
      <c r="S49" s="112" t="s">
        <v>1678</v>
      </c>
      <c r="T49" s="164" t="e">
        <v>#REF!</v>
      </c>
      <c r="U49" s="164" t="e">
        <v>#REF!</v>
      </c>
      <c r="V49" s="103"/>
      <c r="W49" s="103"/>
      <c r="X49" s="103"/>
      <c r="Y49" s="157"/>
      <c r="Z49" s="157"/>
    </row>
    <row r="50" spans="1:26">
      <c r="A50" s="163" t="s">
        <v>1679</v>
      </c>
      <c r="B50" s="112" t="s">
        <v>1663</v>
      </c>
      <c r="C50" s="112" t="s">
        <v>624</v>
      </c>
      <c r="D50" s="114" t="s">
        <v>478</v>
      </c>
      <c r="E50" s="114" t="s">
        <v>1680</v>
      </c>
      <c r="F50" s="130">
        <v>44882</v>
      </c>
      <c r="G50" s="114" t="s">
        <v>1681</v>
      </c>
      <c r="H50" s="114" t="s">
        <v>820</v>
      </c>
      <c r="I50" s="114" t="s">
        <v>1626</v>
      </c>
      <c r="J50" s="114" t="s">
        <v>1666</v>
      </c>
      <c r="K50" s="114" t="s">
        <v>18</v>
      </c>
      <c r="L50" s="114" t="s">
        <v>473</v>
      </c>
      <c r="M50" s="116"/>
      <c r="N50" s="114" t="s">
        <v>47</v>
      </c>
      <c r="O50" s="112" t="s">
        <v>1682</v>
      </c>
      <c r="P50" s="112" t="s">
        <v>1683</v>
      </c>
      <c r="Q50" s="165" t="s">
        <v>950</v>
      </c>
      <c r="R50" s="124">
        <v>45019</v>
      </c>
      <c r="S50" s="112" t="s">
        <v>1684</v>
      </c>
      <c r="T50" s="164" t="e">
        <v>#REF!</v>
      </c>
      <c r="U50" s="164" t="e">
        <v>#REF!</v>
      </c>
      <c r="V50" s="103"/>
      <c r="W50" s="103"/>
      <c r="X50" s="103"/>
      <c r="Y50" s="157"/>
      <c r="Z50" s="157"/>
    </row>
    <row r="51" spans="1:26">
      <c r="A51" s="163" t="s">
        <v>1685</v>
      </c>
      <c r="B51" s="112" t="s">
        <v>1686</v>
      </c>
      <c r="C51" s="112" t="s">
        <v>584</v>
      </c>
      <c r="D51" s="114" t="s">
        <v>478</v>
      </c>
      <c r="E51" s="114" t="s">
        <v>1442</v>
      </c>
      <c r="F51" s="130">
        <v>44890</v>
      </c>
      <c r="G51" s="114" t="s">
        <v>1687</v>
      </c>
      <c r="H51" s="114" t="s">
        <v>820</v>
      </c>
      <c r="I51" s="130">
        <v>44909</v>
      </c>
      <c r="J51" s="124">
        <v>45090</v>
      </c>
      <c r="K51" s="114" t="s">
        <v>18</v>
      </c>
      <c r="L51" s="114" t="s">
        <v>473</v>
      </c>
      <c r="M51" s="116"/>
      <c r="N51" s="114" t="s">
        <v>47</v>
      </c>
      <c r="O51" s="114" t="s">
        <v>490</v>
      </c>
      <c r="P51" s="114" t="s">
        <v>490</v>
      </c>
      <c r="Q51" s="114" t="s">
        <v>689</v>
      </c>
      <c r="R51" s="124">
        <v>45099</v>
      </c>
      <c r="S51" s="112" t="s">
        <v>1688</v>
      </c>
      <c r="T51" s="164" t="e">
        <v>#REF!</v>
      </c>
      <c r="U51" s="164" t="e">
        <v>#REF!</v>
      </c>
      <c r="V51" s="103"/>
      <c r="W51" s="103"/>
      <c r="X51" s="103"/>
      <c r="Y51" s="157"/>
      <c r="Z51" s="157"/>
    </row>
    <row r="52" spans="1:26">
      <c r="A52" s="163" t="s">
        <v>1689</v>
      </c>
      <c r="B52" s="112" t="s">
        <v>1690</v>
      </c>
      <c r="C52" s="112" t="s">
        <v>584</v>
      </c>
      <c r="D52" s="114" t="s">
        <v>478</v>
      </c>
      <c r="E52" s="114" t="s">
        <v>1442</v>
      </c>
      <c r="F52" s="130">
        <v>44890</v>
      </c>
      <c r="G52" s="114" t="s">
        <v>1691</v>
      </c>
      <c r="H52" s="114" t="s">
        <v>820</v>
      </c>
      <c r="I52" s="124">
        <v>44904</v>
      </c>
      <c r="J52" s="124">
        <v>45019</v>
      </c>
      <c r="K52" s="114" t="s">
        <v>18</v>
      </c>
      <c r="L52" s="114" t="s">
        <v>473</v>
      </c>
      <c r="M52" s="116"/>
      <c r="N52" s="114" t="s">
        <v>47</v>
      </c>
      <c r="O52" s="114" t="s">
        <v>490</v>
      </c>
      <c r="P52" s="114" t="s">
        <v>490</v>
      </c>
      <c r="Q52" s="114" t="s">
        <v>1692</v>
      </c>
      <c r="R52" s="124">
        <v>45057</v>
      </c>
      <c r="S52" s="112" t="s">
        <v>1693</v>
      </c>
      <c r="T52" s="164" t="e">
        <v>#REF!</v>
      </c>
      <c r="U52" s="164" t="e">
        <v>#REF!</v>
      </c>
      <c r="V52" s="103"/>
      <c r="W52" s="103"/>
      <c r="X52" s="103"/>
      <c r="Y52" s="157"/>
      <c r="Z52" s="157"/>
    </row>
    <row r="53" spans="1:26">
      <c r="A53" s="163" t="s">
        <v>1694</v>
      </c>
      <c r="B53" s="112" t="s">
        <v>1663</v>
      </c>
      <c r="C53" s="112" t="s">
        <v>624</v>
      </c>
      <c r="D53" s="114" t="s">
        <v>478</v>
      </c>
      <c r="E53" s="114" t="s">
        <v>1695</v>
      </c>
      <c r="F53" s="130">
        <v>44883</v>
      </c>
      <c r="G53" s="114" t="s">
        <v>1696</v>
      </c>
      <c r="H53" s="114" t="s">
        <v>820</v>
      </c>
      <c r="I53" s="114" t="s">
        <v>1626</v>
      </c>
      <c r="J53" s="114" t="s">
        <v>1666</v>
      </c>
      <c r="K53" s="114" t="s">
        <v>18</v>
      </c>
      <c r="L53" s="114" t="s">
        <v>473</v>
      </c>
      <c r="M53" s="116"/>
      <c r="N53" s="114" t="s">
        <v>47</v>
      </c>
      <c r="O53" s="114" t="s">
        <v>1697</v>
      </c>
      <c r="P53" s="114" t="s">
        <v>1698</v>
      </c>
      <c r="Q53" s="114" t="s">
        <v>950</v>
      </c>
      <c r="R53" s="124">
        <v>45015</v>
      </c>
      <c r="S53" s="112" t="s">
        <v>1699</v>
      </c>
      <c r="T53" s="164" t="e">
        <v>#REF!</v>
      </c>
      <c r="U53" s="164" t="e">
        <v>#REF!</v>
      </c>
      <c r="V53" s="103"/>
      <c r="W53" s="103"/>
      <c r="X53" s="103"/>
      <c r="Y53" s="157"/>
      <c r="Z53" s="157"/>
    </row>
    <row r="54" spans="1:26">
      <c r="A54" s="163" t="s">
        <v>1700</v>
      </c>
      <c r="B54" s="120" t="s">
        <v>1701</v>
      </c>
      <c r="C54" s="112" t="s">
        <v>546</v>
      </c>
      <c r="D54" s="114" t="s">
        <v>478</v>
      </c>
      <c r="E54" s="114" t="s">
        <v>1702</v>
      </c>
      <c r="F54" s="130">
        <v>44895</v>
      </c>
      <c r="G54" s="114" t="s">
        <v>1703</v>
      </c>
      <c r="H54" s="114" t="s">
        <v>820</v>
      </c>
      <c r="I54" s="114" t="s">
        <v>1626</v>
      </c>
      <c r="J54" s="114" t="s">
        <v>1666</v>
      </c>
      <c r="K54" s="114" t="s">
        <v>18</v>
      </c>
      <c r="L54" s="114" t="s">
        <v>473</v>
      </c>
      <c r="M54" s="116"/>
      <c r="N54" s="114" t="s">
        <v>47</v>
      </c>
      <c r="O54" s="114" t="s">
        <v>490</v>
      </c>
      <c r="P54" s="114" t="s">
        <v>490</v>
      </c>
      <c r="Q54" s="114" t="s">
        <v>950</v>
      </c>
      <c r="R54" s="124">
        <v>45027</v>
      </c>
      <c r="S54" s="112" t="s">
        <v>1704</v>
      </c>
      <c r="T54" s="164" t="e">
        <v>#REF!</v>
      </c>
      <c r="U54" s="164" t="e">
        <v>#REF!</v>
      </c>
      <c r="V54" s="103"/>
      <c r="W54" s="103"/>
      <c r="X54" s="103"/>
      <c r="Y54" s="157"/>
      <c r="Z54" s="157"/>
    </row>
    <row r="55" spans="1:26">
      <c r="A55" s="163" t="s">
        <v>1705</v>
      </c>
      <c r="B55" s="112" t="s">
        <v>1706</v>
      </c>
      <c r="C55" s="112" t="s">
        <v>469</v>
      </c>
      <c r="D55" s="114" t="s">
        <v>478</v>
      </c>
      <c r="E55" s="114" t="s">
        <v>1702</v>
      </c>
      <c r="F55" s="124">
        <v>44903</v>
      </c>
      <c r="G55" s="114" t="s">
        <v>1707</v>
      </c>
      <c r="H55" s="114" t="s">
        <v>820</v>
      </c>
      <c r="I55" s="124">
        <v>44957</v>
      </c>
      <c r="J55" s="124">
        <v>45036</v>
      </c>
      <c r="K55" s="114" t="s">
        <v>30</v>
      </c>
      <c r="L55" s="114" t="s">
        <v>473</v>
      </c>
      <c r="M55" s="116"/>
      <c r="N55" s="114" t="s">
        <v>20</v>
      </c>
      <c r="O55" s="114" t="s">
        <v>490</v>
      </c>
      <c r="P55" s="114" t="s">
        <v>490</v>
      </c>
      <c r="Q55" s="114" t="s">
        <v>491</v>
      </c>
      <c r="R55" s="124">
        <v>45499</v>
      </c>
      <c r="S55" s="112" t="s">
        <v>1708</v>
      </c>
      <c r="T55" s="164" t="e">
        <v>#REF!</v>
      </c>
      <c r="U55" s="164" t="e">
        <v>#REF!</v>
      </c>
      <c r="V55" s="103"/>
      <c r="W55" s="103"/>
      <c r="X55" s="103"/>
      <c r="Y55" s="157"/>
      <c r="Z55" s="157"/>
    </row>
    <row r="56" spans="1:26">
      <c r="A56" s="163" t="s">
        <v>1709</v>
      </c>
      <c r="B56" s="112" t="s">
        <v>1710</v>
      </c>
      <c r="C56" s="112" t="s">
        <v>469</v>
      </c>
      <c r="D56" s="114" t="s">
        <v>478</v>
      </c>
      <c r="E56" s="114" t="s">
        <v>1442</v>
      </c>
      <c r="F56" s="124">
        <v>44903</v>
      </c>
      <c r="G56" s="114" t="s">
        <v>1711</v>
      </c>
      <c r="H56" s="114" t="s">
        <v>820</v>
      </c>
      <c r="I56" s="130">
        <v>44908</v>
      </c>
      <c r="J56" s="124">
        <v>45070</v>
      </c>
      <c r="K56" s="114" t="s">
        <v>18</v>
      </c>
      <c r="L56" s="114" t="s">
        <v>473</v>
      </c>
      <c r="M56" s="116"/>
      <c r="N56" s="114" t="s">
        <v>47</v>
      </c>
      <c r="O56" s="114" t="s">
        <v>490</v>
      </c>
      <c r="P56" s="114" t="s">
        <v>490</v>
      </c>
      <c r="Q56" s="114" t="s">
        <v>689</v>
      </c>
      <c r="R56" s="124">
        <v>45089</v>
      </c>
      <c r="S56" s="112" t="s">
        <v>1712</v>
      </c>
      <c r="T56" s="164" t="e">
        <v>#REF!</v>
      </c>
      <c r="U56" s="164" t="e">
        <v>#REF!</v>
      </c>
      <c r="V56" s="103"/>
      <c r="W56" s="103"/>
      <c r="X56" s="103"/>
      <c r="Y56" s="157"/>
      <c r="Z56" s="157"/>
    </row>
    <row r="57" spans="1:26">
      <c r="A57" s="119" t="s">
        <v>1713</v>
      </c>
      <c r="B57" s="112" t="s">
        <v>1714</v>
      </c>
      <c r="C57" s="112" t="s">
        <v>469</v>
      </c>
      <c r="D57" s="114" t="s">
        <v>610</v>
      </c>
      <c r="E57" s="114" t="s">
        <v>611</v>
      </c>
      <c r="F57" s="80">
        <v>44952</v>
      </c>
      <c r="G57" s="115" t="s">
        <v>1715</v>
      </c>
      <c r="H57" s="116"/>
      <c r="I57" s="116"/>
      <c r="J57" s="116"/>
      <c r="K57" s="114" t="s">
        <v>30</v>
      </c>
      <c r="L57" s="114" t="s">
        <v>1543</v>
      </c>
      <c r="M57" s="116"/>
      <c r="N57" s="114" t="s">
        <v>1716</v>
      </c>
      <c r="O57" s="114" t="s">
        <v>997</v>
      </c>
      <c r="P57" s="115" t="s">
        <v>706</v>
      </c>
      <c r="Q57" s="115" t="s">
        <v>485</v>
      </c>
      <c r="R57" s="80">
        <v>45063</v>
      </c>
      <c r="S57" s="112" t="s">
        <v>1717</v>
      </c>
      <c r="T57" s="164" t="e">
        <v>#REF!</v>
      </c>
      <c r="U57" s="164" t="e">
        <v>#REF!</v>
      </c>
      <c r="V57" s="103"/>
      <c r="W57" s="103"/>
      <c r="X57" s="103"/>
      <c r="Y57" s="157"/>
      <c r="Z57" s="157"/>
    </row>
    <row r="58" spans="1:26">
      <c r="A58" s="119" t="s">
        <v>1718</v>
      </c>
      <c r="B58" s="112" t="s">
        <v>1719</v>
      </c>
      <c r="C58" s="112" t="s">
        <v>584</v>
      </c>
      <c r="D58" s="114" t="s">
        <v>478</v>
      </c>
      <c r="E58" s="114" t="s">
        <v>1720</v>
      </c>
      <c r="F58" s="80">
        <v>44952</v>
      </c>
      <c r="G58" s="115" t="s">
        <v>1721</v>
      </c>
      <c r="H58" s="116"/>
      <c r="I58" s="116"/>
      <c r="J58" s="116"/>
      <c r="K58" s="114" t="s">
        <v>30</v>
      </c>
      <c r="L58" s="114" t="s">
        <v>1543</v>
      </c>
      <c r="M58" s="116"/>
      <c r="N58" s="114" t="s">
        <v>47</v>
      </c>
      <c r="O58" s="115" t="s">
        <v>1722</v>
      </c>
      <c r="P58" s="115" t="s">
        <v>1723</v>
      </c>
      <c r="Q58" s="115" t="s">
        <v>745</v>
      </c>
      <c r="R58" s="80">
        <v>45063</v>
      </c>
      <c r="S58" s="112" t="s">
        <v>1724</v>
      </c>
      <c r="T58" s="103"/>
      <c r="U58" s="103"/>
      <c r="V58" s="103"/>
      <c r="W58" s="103"/>
      <c r="X58" s="103"/>
      <c r="Y58" s="157"/>
      <c r="Z58" s="157"/>
    </row>
    <row r="59" spans="1:26">
      <c r="A59" s="119" t="s">
        <v>1725</v>
      </c>
      <c r="B59" s="112" t="s">
        <v>1726</v>
      </c>
      <c r="C59" s="112" t="s">
        <v>584</v>
      </c>
      <c r="D59" s="114" t="s">
        <v>478</v>
      </c>
      <c r="E59" s="114" t="s">
        <v>1442</v>
      </c>
      <c r="F59" s="80">
        <v>44949</v>
      </c>
      <c r="G59" s="115" t="s">
        <v>1727</v>
      </c>
      <c r="H59" s="116"/>
      <c r="I59" s="116"/>
      <c r="J59" s="116"/>
      <c r="K59" s="114" t="s">
        <v>18</v>
      </c>
      <c r="L59" s="114" t="s">
        <v>481</v>
      </c>
      <c r="M59" s="116"/>
      <c r="N59" s="114" t="s">
        <v>47</v>
      </c>
      <c r="O59" s="115" t="s">
        <v>1728</v>
      </c>
      <c r="P59" s="115" t="s">
        <v>1660</v>
      </c>
      <c r="Q59" s="115" t="s">
        <v>550</v>
      </c>
      <c r="R59" s="80">
        <v>45205</v>
      </c>
      <c r="S59" s="112" t="s">
        <v>1729</v>
      </c>
      <c r="T59" s="164" t="e">
        <v>#REF!</v>
      </c>
      <c r="U59" s="164" t="e">
        <v>#REF!</v>
      </c>
      <c r="V59" s="103"/>
      <c r="W59" s="103"/>
      <c r="X59" s="103"/>
      <c r="Y59" s="157"/>
      <c r="Z59" s="157"/>
    </row>
    <row r="60" spans="1:26">
      <c r="A60" s="119" t="s">
        <v>1730</v>
      </c>
      <c r="B60" s="112" t="s">
        <v>1731</v>
      </c>
      <c r="C60" s="112" t="s">
        <v>469</v>
      </c>
      <c r="D60" s="114" t="s">
        <v>478</v>
      </c>
      <c r="E60" s="114" t="s">
        <v>1732</v>
      </c>
      <c r="F60" s="80">
        <v>44945</v>
      </c>
      <c r="G60" s="188" t="s">
        <v>1733</v>
      </c>
      <c r="H60" s="116"/>
      <c r="I60" s="116"/>
      <c r="J60" s="116"/>
      <c r="K60" s="114" t="s">
        <v>30</v>
      </c>
      <c r="L60" s="114" t="s">
        <v>481</v>
      </c>
      <c r="M60" s="116"/>
      <c r="N60" s="114" t="s">
        <v>47</v>
      </c>
      <c r="O60" s="114" t="s">
        <v>803</v>
      </c>
      <c r="P60" s="115" t="s">
        <v>519</v>
      </c>
      <c r="Q60" s="115" t="s">
        <v>645</v>
      </c>
      <c r="R60" s="39">
        <v>45313</v>
      </c>
      <c r="S60" s="112" t="s">
        <v>1734</v>
      </c>
      <c r="T60" s="103"/>
      <c r="U60" s="103"/>
      <c r="V60" s="103"/>
      <c r="W60" s="103"/>
      <c r="X60" s="103"/>
      <c r="Y60" s="157"/>
      <c r="Z60" s="157"/>
    </row>
    <row r="61" spans="1:26">
      <c r="A61" s="111" t="s">
        <v>1735</v>
      </c>
      <c r="B61" s="112" t="s">
        <v>1736</v>
      </c>
      <c r="C61" s="112" t="s">
        <v>469</v>
      </c>
      <c r="D61" s="114" t="s">
        <v>478</v>
      </c>
      <c r="E61" s="114" t="s">
        <v>1442</v>
      </c>
      <c r="F61" s="80">
        <v>44956</v>
      </c>
      <c r="G61" s="115" t="s">
        <v>1737</v>
      </c>
      <c r="H61" s="115" t="s">
        <v>1666</v>
      </c>
      <c r="I61" s="113" t="s">
        <v>556</v>
      </c>
      <c r="J61" s="114" t="s">
        <v>556</v>
      </c>
      <c r="K61" s="114" t="s">
        <v>18</v>
      </c>
      <c r="L61" s="114" t="s">
        <v>481</v>
      </c>
      <c r="M61" s="116"/>
      <c r="N61" s="114" t="s">
        <v>47</v>
      </c>
      <c r="O61" s="113" t="s">
        <v>548</v>
      </c>
      <c r="P61" s="114" t="s">
        <v>794</v>
      </c>
      <c r="Q61" s="114" t="s">
        <v>689</v>
      </c>
      <c r="R61" s="80">
        <v>45089</v>
      </c>
      <c r="S61" s="112" t="s">
        <v>1738</v>
      </c>
      <c r="T61" s="164" t="e">
        <v>#REF!</v>
      </c>
      <c r="U61" s="164" t="e">
        <v>#REF!</v>
      </c>
      <c r="V61" s="103"/>
      <c r="W61" s="103"/>
      <c r="X61" s="103"/>
      <c r="Y61" s="157"/>
      <c r="Z61" s="157"/>
    </row>
    <row r="62" spans="1:26">
      <c r="A62" s="111" t="s">
        <v>1705</v>
      </c>
      <c r="B62" s="112" t="s">
        <v>1739</v>
      </c>
      <c r="C62" s="112" t="s">
        <v>469</v>
      </c>
      <c r="D62" s="114" t="s">
        <v>478</v>
      </c>
      <c r="E62" s="114" t="s">
        <v>1442</v>
      </c>
      <c r="F62" s="80">
        <v>44956</v>
      </c>
      <c r="G62" s="115" t="s">
        <v>1707</v>
      </c>
      <c r="H62" s="115" t="s">
        <v>820</v>
      </c>
      <c r="I62" s="80">
        <v>44957</v>
      </c>
      <c r="J62" s="124">
        <v>45036</v>
      </c>
      <c r="K62" s="114" t="s">
        <v>30</v>
      </c>
      <c r="L62" s="114" t="s">
        <v>473</v>
      </c>
      <c r="M62" s="116"/>
      <c r="N62" s="114" t="s">
        <v>20</v>
      </c>
      <c r="O62" s="115" t="s">
        <v>500</v>
      </c>
      <c r="P62" s="114" t="s">
        <v>1498</v>
      </c>
      <c r="Q62" s="114" t="s">
        <v>491</v>
      </c>
      <c r="R62" s="80">
        <v>45499</v>
      </c>
      <c r="S62" s="116"/>
      <c r="T62" s="164" t="e">
        <v>#REF!</v>
      </c>
      <c r="U62" s="164" t="e">
        <v>#REF!</v>
      </c>
      <c r="V62" s="103"/>
      <c r="W62" s="103"/>
      <c r="X62" s="103"/>
      <c r="Y62" s="157"/>
      <c r="Z62" s="157"/>
    </row>
    <row r="63" spans="1:26">
      <c r="A63" s="119" t="s">
        <v>1740</v>
      </c>
      <c r="B63" s="112" t="s">
        <v>1741</v>
      </c>
      <c r="C63" s="112" t="s">
        <v>469</v>
      </c>
      <c r="D63" s="114" t="s">
        <v>610</v>
      </c>
      <c r="E63" s="114" t="s">
        <v>611</v>
      </c>
      <c r="F63" s="80">
        <v>44956</v>
      </c>
      <c r="G63" s="115" t="s">
        <v>1742</v>
      </c>
      <c r="H63" s="80">
        <v>45352</v>
      </c>
      <c r="I63" s="80">
        <v>44988</v>
      </c>
      <c r="J63" s="124">
        <v>45124</v>
      </c>
      <c r="K63" s="114" t="s">
        <v>18</v>
      </c>
      <c r="L63" s="114" t="s">
        <v>1543</v>
      </c>
      <c r="M63" s="116"/>
      <c r="N63" s="114" t="s">
        <v>20</v>
      </c>
      <c r="O63" s="114" t="s">
        <v>997</v>
      </c>
      <c r="P63" s="115" t="s">
        <v>706</v>
      </c>
      <c r="Q63" s="115" t="s">
        <v>491</v>
      </c>
      <c r="R63" s="80">
        <v>45499</v>
      </c>
      <c r="S63" s="112" t="s">
        <v>1743</v>
      </c>
      <c r="T63" s="164" t="e">
        <v>#REF!</v>
      </c>
      <c r="U63" s="164" t="e">
        <v>#REF!</v>
      </c>
      <c r="V63" s="103"/>
      <c r="W63" s="103"/>
      <c r="X63" s="103"/>
      <c r="Y63" s="157"/>
      <c r="Z63" s="157"/>
    </row>
    <row r="64" spans="1:26">
      <c r="A64" s="119" t="s">
        <v>1744</v>
      </c>
      <c r="B64" s="112" t="s">
        <v>1745</v>
      </c>
      <c r="C64" s="112" t="s">
        <v>1390</v>
      </c>
      <c r="D64" s="114" t="s">
        <v>478</v>
      </c>
      <c r="E64" s="114" t="s">
        <v>1746</v>
      </c>
      <c r="F64" s="80">
        <v>44953</v>
      </c>
      <c r="G64" s="115" t="s">
        <v>1747</v>
      </c>
      <c r="H64" s="116"/>
      <c r="I64" s="116"/>
      <c r="J64" s="116"/>
      <c r="K64" s="114" t="s">
        <v>18</v>
      </c>
      <c r="L64" s="114" t="s">
        <v>473</v>
      </c>
      <c r="M64" s="116"/>
      <c r="N64" s="114" t="s">
        <v>47</v>
      </c>
      <c r="O64" s="116"/>
      <c r="P64" s="116"/>
      <c r="Q64" s="115" t="s">
        <v>485</v>
      </c>
      <c r="R64" s="80">
        <v>45208</v>
      </c>
      <c r="S64" s="112" t="s">
        <v>1748</v>
      </c>
      <c r="T64" s="103"/>
      <c r="U64" s="103"/>
      <c r="V64" s="103"/>
      <c r="W64" s="103"/>
      <c r="X64" s="103"/>
      <c r="Y64" s="157"/>
      <c r="Z64" s="157"/>
    </row>
    <row r="65" spans="1:26">
      <c r="A65" s="111" t="s">
        <v>1749</v>
      </c>
      <c r="B65" s="112" t="s">
        <v>1750</v>
      </c>
      <c r="C65" s="112" t="s">
        <v>469</v>
      </c>
      <c r="D65" s="114" t="s">
        <v>478</v>
      </c>
      <c r="E65" s="114" t="s">
        <v>1442</v>
      </c>
      <c r="F65" s="80">
        <v>44934</v>
      </c>
      <c r="G65" s="115" t="s">
        <v>1751</v>
      </c>
      <c r="H65" s="115" t="s">
        <v>1666</v>
      </c>
      <c r="I65" s="189">
        <v>45005</v>
      </c>
      <c r="J65" s="124">
        <v>45008</v>
      </c>
      <c r="K65" s="114" t="s">
        <v>18</v>
      </c>
      <c r="L65" s="114" t="s">
        <v>1543</v>
      </c>
      <c r="M65" s="116"/>
      <c r="N65" s="114" t="s">
        <v>47</v>
      </c>
      <c r="O65" s="115" t="s">
        <v>1752</v>
      </c>
      <c r="P65" s="115" t="s">
        <v>782</v>
      </c>
      <c r="Q65" s="115" t="s">
        <v>689</v>
      </c>
      <c r="R65" s="80">
        <v>45027</v>
      </c>
      <c r="S65" s="112" t="s">
        <v>1753</v>
      </c>
      <c r="T65" s="164" t="e">
        <v>#REF!</v>
      </c>
      <c r="U65" s="164" t="e">
        <v>#REF!</v>
      </c>
      <c r="V65" s="103"/>
      <c r="W65" s="103"/>
      <c r="X65" s="103"/>
      <c r="Y65" s="157"/>
      <c r="Z65" s="157"/>
    </row>
    <row r="66" spans="1:26">
      <c r="A66" s="111" t="s">
        <v>1579</v>
      </c>
      <c r="B66" s="112" t="s">
        <v>1580</v>
      </c>
      <c r="C66" s="112" t="s">
        <v>469</v>
      </c>
      <c r="D66" s="114" t="s">
        <v>478</v>
      </c>
      <c r="E66" s="114" t="s">
        <v>1754</v>
      </c>
      <c r="F66" s="80">
        <v>44963</v>
      </c>
      <c r="G66" s="115" t="s">
        <v>507</v>
      </c>
      <c r="H66" s="80">
        <v>45358</v>
      </c>
      <c r="I66" s="80">
        <v>45015</v>
      </c>
      <c r="J66" s="116"/>
      <c r="K66" s="114" t="s">
        <v>18</v>
      </c>
      <c r="L66" s="114" t="s">
        <v>1543</v>
      </c>
      <c r="M66" s="116"/>
      <c r="N66" s="114" t="s">
        <v>20</v>
      </c>
      <c r="O66" s="114" t="s">
        <v>997</v>
      </c>
      <c r="P66" s="115" t="s">
        <v>706</v>
      </c>
      <c r="Q66" s="115" t="s">
        <v>491</v>
      </c>
      <c r="R66" s="80">
        <v>45499</v>
      </c>
      <c r="S66" s="112" t="s">
        <v>1755</v>
      </c>
      <c r="T66" s="164" t="e">
        <v>#REF!</v>
      </c>
      <c r="U66" s="164" t="e">
        <v>#REF!</v>
      </c>
      <c r="V66" s="103"/>
      <c r="W66" s="103"/>
      <c r="X66" s="103"/>
      <c r="Y66" s="157"/>
      <c r="Z66" s="157"/>
    </row>
    <row r="67" spans="1:26">
      <c r="A67" s="111" t="s">
        <v>1756</v>
      </c>
      <c r="B67" s="112" t="s">
        <v>1757</v>
      </c>
      <c r="C67" s="112" t="s">
        <v>469</v>
      </c>
      <c r="D67" s="114" t="s">
        <v>478</v>
      </c>
      <c r="E67" s="114" t="s">
        <v>1442</v>
      </c>
      <c r="F67" s="80">
        <v>44963</v>
      </c>
      <c r="G67" s="115" t="s">
        <v>895</v>
      </c>
      <c r="H67" s="116"/>
      <c r="I67" s="116"/>
      <c r="J67" s="116"/>
      <c r="K67" s="114" t="s">
        <v>896</v>
      </c>
      <c r="L67" s="114" t="s">
        <v>1758</v>
      </c>
      <c r="M67" s="116"/>
      <c r="N67" s="114" t="s">
        <v>47</v>
      </c>
      <c r="O67" s="115" t="s">
        <v>490</v>
      </c>
      <c r="P67" s="115" t="s">
        <v>490</v>
      </c>
      <c r="Q67" s="115" t="s">
        <v>1759</v>
      </c>
      <c r="R67" s="80">
        <v>44972</v>
      </c>
      <c r="S67" s="112" t="s">
        <v>1760</v>
      </c>
      <c r="T67" s="164" t="e">
        <v>#REF!</v>
      </c>
      <c r="U67" s="164" t="e">
        <v>#REF!</v>
      </c>
      <c r="V67" s="103"/>
      <c r="W67" s="103"/>
      <c r="X67" s="103"/>
      <c r="Y67" s="157"/>
      <c r="Z67" s="157"/>
    </row>
    <row r="68" spans="1:26">
      <c r="A68" s="111" t="s">
        <v>1761</v>
      </c>
      <c r="B68" s="112" t="s">
        <v>1762</v>
      </c>
      <c r="C68" s="112" t="s">
        <v>469</v>
      </c>
      <c r="D68" s="114" t="s">
        <v>478</v>
      </c>
      <c r="E68" s="114" t="s">
        <v>1560</v>
      </c>
      <c r="F68" s="80">
        <v>44771</v>
      </c>
      <c r="G68" s="115" t="s">
        <v>1763</v>
      </c>
      <c r="H68" s="80">
        <v>45437</v>
      </c>
      <c r="I68" s="113" t="s">
        <v>820</v>
      </c>
      <c r="J68" s="124">
        <v>45124</v>
      </c>
      <c r="K68" s="114" t="s">
        <v>30</v>
      </c>
      <c r="L68" s="114" t="s">
        <v>481</v>
      </c>
      <c r="M68" s="114" t="s">
        <v>586</v>
      </c>
      <c r="N68" s="114" t="s">
        <v>20</v>
      </c>
      <c r="O68" s="176" t="s">
        <v>1562</v>
      </c>
      <c r="P68" s="114" t="s">
        <v>744</v>
      </c>
      <c r="Q68" s="115" t="s">
        <v>491</v>
      </c>
      <c r="R68" s="80">
        <v>45499</v>
      </c>
      <c r="S68" s="112" t="s">
        <v>1764</v>
      </c>
      <c r="T68" s="164" t="e">
        <v>#REF!</v>
      </c>
      <c r="U68" s="164" t="e">
        <v>#REF!</v>
      </c>
      <c r="V68" s="103"/>
      <c r="W68" s="103"/>
      <c r="X68" s="103"/>
      <c r="Y68" s="157"/>
      <c r="Z68" s="157"/>
    </row>
    <row r="69" spans="1:26">
      <c r="A69" s="169" t="s">
        <v>1765</v>
      </c>
      <c r="B69" s="112" t="s">
        <v>1766</v>
      </c>
      <c r="C69" s="112" t="s">
        <v>469</v>
      </c>
      <c r="D69" s="114" t="s">
        <v>478</v>
      </c>
      <c r="E69" s="114" t="s">
        <v>1630</v>
      </c>
      <c r="F69" s="80">
        <v>44823</v>
      </c>
      <c r="G69" s="115" t="s">
        <v>1767</v>
      </c>
      <c r="H69" s="116"/>
      <c r="I69" s="116"/>
      <c r="J69" s="116"/>
      <c r="K69" s="114" t="s">
        <v>30</v>
      </c>
      <c r="L69" s="114" t="s">
        <v>481</v>
      </c>
      <c r="M69" s="114" t="s">
        <v>586</v>
      </c>
      <c r="N69" s="114" t="s">
        <v>47</v>
      </c>
      <c r="O69" s="176" t="s">
        <v>1562</v>
      </c>
      <c r="P69" s="114" t="s">
        <v>744</v>
      </c>
      <c r="Q69" s="115" t="s">
        <v>745</v>
      </c>
      <c r="R69" s="80">
        <v>45477</v>
      </c>
      <c r="S69" s="112" t="s">
        <v>1768</v>
      </c>
      <c r="T69" s="103"/>
      <c r="U69" s="103"/>
      <c r="V69" s="103"/>
      <c r="W69" s="103"/>
      <c r="X69" s="103"/>
      <c r="Y69" s="157"/>
      <c r="Z69" s="157"/>
    </row>
    <row r="70" spans="1:26">
      <c r="A70" s="119" t="s">
        <v>1769</v>
      </c>
      <c r="B70" s="112" t="s">
        <v>1770</v>
      </c>
      <c r="C70" s="112" t="s">
        <v>1528</v>
      </c>
      <c r="D70" s="114" t="s">
        <v>478</v>
      </c>
      <c r="E70" s="114" t="s">
        <v>1771</v>
      </c>
      <c r="F70" s="80">
        <v>44943</v>
      </c>
      <c r="G70" s="115" t="s">
        <v>1772</v>
      </c>
      <c r="H70" s="116"/>
      <c r="I70" s="116"/>
      <c r="J70" s="116"/>
      <c r="K70" s="114" t="s">
        <v>30</v>
      </c>
      <c r="L70" s="114" t="s">
        <v>481</v>
      </c>
      <c r="M70" s="116"/>
      <c r="N70" s="114" t="s">
        <v>47</v>
      </c>
      <c r="O70" s="115" t="s">
        <v>519</v>
      </c>
      <c r="P70" s="114" t="s">
        <v>803</v>
      </c>
      <c r="Q70" s="115" t="s">
        <v>521</v>
      </c>
      <c r="R70" s="80">
        <v>45344</v>
      </c>
      <c r="S70" s="112" t="s">
        <v>1773</v>
      </c>
      <c r="T70" s="164" t="e">
        <v>#REF!</v>
      </c>
      <c r="U70" s="164" t="e">
        <v>#REF!</v>
      </c>
      <c r="V70" s="103"/>
      <c r="W70" s="103"/>
      <c r="X70" s="103"/>
      <c r="Y70" s="157"/>
      <c r="Z70" s="157"/>
    </row>
    <row r="71" spans="1:26">
      <c r="A71" s="111" t="s">
        <v>1445</v>
      </c>
      <c r="B71" s="112" t="s">
        <v>1446</v>
      </c>
      <c r="C71" s="112" t="s">
        <v>469</v>
      </c>
      <c r="D71" s="114" t="s">
        <v>478</v>
      </c>
      <c r="E71" s="114" t="s">
        <v>1442</v>
      </c>
      <c r="F71" s="80">
        <v>44958</v>
      </c>
      <c r="G71" s="115" t="s">
        <v>1774</v>
      </c>
      <c r="H71" s="116"/>
      <c r="I71" s="116"/>
      <c r="J71" s="116"/>
      <c r="K71" s="114" t="s">
        <v>30</v>
      </c>
      <c r="L71" s="114" t="s">
        <v>481</v>
      </c>
      <c r="M71" s="116"/>
      <c r="N71" s="114" t="s">
        <v>47</v>
      </c>
      <c r="O71" s="115" t="s">
        <v>500</v>
      </c>
      <c r="P71" s="115" t="s">
        <v>1775</v>
      </c>
      <c r="Q71" s="114" t="s">
        <v>550</v>
      </c>
      <c r="R71" s="80">
        <v>45068</v>
      </c>
      <c r="S71" s="112" t="s">
        <v>1776</v>
      </c>
      <c r="T71" s="164" t="e">
        <v>#REF!</v>
      </c>
      <c r="U71" s="164" t="e">
        <v>#REF!</v>
      </c>
      <c r="V71" s="103"/>
      <c r="W71" s="103"/>
      <c r="X71" s="103"/>
      <c r="Y71" s="157"/>
      <c r="Z71" s="157"/>
    </row>
    <row r="72" spans="1:26">
      <c r="A72" s="111" t="s">
        <v>1700</v>
      </c>
      <c r="B72" s="112" t="s">
        <v>1777</v>
      </c>
      <c r="C72" s="112" t="s">
        <v>546</v>
      </c>
      <c r="D72" s="114" t="s">
        <v>478</v>
      </c>
      <c r="E72" s="114" t="s">
        <v>1272</v>
      </c>
      <c r="F72" s="80">
        <v>44965</v>
      </c>
      <c r="G72" s="115" t="s">
        <v>1703</v>
      </c>
      <c r="H72" s="115" t="s">
        <v>820</v>
      </c>
      <c r="I72" s="80">
        <v>45027</v>
      </c>
      <c r="J72" s="114" t="s">
        <v>820</v>
      </c>
      <c r="K72" s="114" t="s">
        <v>18</v>
      </c>
      <c r="L72" s="114" t="s">
        <v>473</v>
      </c>
      <c r="M72" s="116"/>
      <c r="N72" s="114" t="s">
        <v>47</v>
      </c>
      <c r="O72" s="116"/>
      <c r="P72" s="116"/>
      <c r="Q72" s="114" t="s">
        <v>950</v>
      </c>
      <c r="R72" s="80">
        <v>45027</v>
      </c>
      <c r="S72" s="112" t="s">
        <v>1778</v>
      </c>
      <c r="T72" s="164" t="e">
        <v>#REF!</v>
      </c>
      <c r="U72" s="164" t="e">
        <v>#REF!</v>
      </c>
      <c r="V72" s="103"/>
      <c r="W72" s="103"/>
      <c r="X72" s="103"/>
      <c r="Y72" s="157"/>
      <c r="Z72" s="157"/>
    </row>
    <row r="73" spans="1:26">
      <c r="A73" s="111" t="s">
        <v>1779</v>
      </c>
      <c r="B73" s="112" t="s">
        <v>1780</v>
      </c>
      <c r="C73" s="112" t="s">
        <v>546</v>
      </c>
      <c r="D73" s="114" t="s">
        <v>478</v>
      </c>
      <c r="E73" s="114" t="s">
        <v>1442</v>
      </c>
      <c r="F73" s="80">
        <v>44970</v>
      </c>
      <c r="G73" s="115" t="s">
        <v>895</v>
      </c>
      <c r="H73" s="116"/>
      <c r="I73" s="116"/>
      <c r="J73" s="116"/>
      <c r="K73" s="114" t="s">
        <v>18</v>
      </c>
      <c r="L73" s="114" t="s">
        <v>1543</v>
      </c>
      <c r="M73" s="116"/>
      <c r="N73" s="115" t="s">
        <v>47</v>
      </c>
      <c r="O73" s="116"/>
      <c r="P73" s="116"/>
      <c r="Q73" s="114" t="s">
        <v>550</v>
      </c>
      <c r="R73" s="80">
        <v>45040</v>
      </c>
      <c r="S73" s="112" t="s">
        <v>1781</v>
      </c>
      <c r="T73" s="103"/>
      <c r="U73" s="103"/>
      <c r="V73" s="103"/>
      <c r="W73" s="103"/>
      <c r="X73" s="103"/>
      <c r="Y73" s="157"/>
      <c r="Z73" s="157"/>
    </row>
    <row r="74" spans="1:26">
      <c r="A74" s="119" t="s">
        <v>1782</v>
      </c>
      <c r="B74" s="112" t="s">
        <v>1783</v>
      </c>
      <c r="C74" s="112" t="s">
        <v>1528</v>
      </c>
      <c r="D74" s="115" t="s">
        <v>823</v>
      </c>
      <c r="E74" s="114" t="s">
        <v>1784</v>
      </c>
      <c r="F74" s="80">
        <v>44964</v>
      </c>
      <c r="G74" s="115" t="s">
        <v>1785</v>
      </c>
      <c r="H74" s="190">
        <v>45124</v>
      </c>
      <c r="I74" s="80">
        <v>45149</v>
      </c>
      <c r="J74" s="124">
        <v>45169</v>
      </c>
      <c r="K74" s="114" t="s">
        <v>18</v>
      </c>
      <c r="L74" s="114" t="s">
        <v>1543</v>
      </c>
      <c r="M74" s="116"/>
      <c r="N74" s="114" t="s">
        <v>20</v>
      </c>
      <c r="O74" s="115" t="s">
        <v>519</v>
      </c>
      <c r="P74" s="114" t="s">
        <v>803</v>
      </c>
      <c r="Q74" s="115" t="s">
        <v>689</v>
      </c>
      <c r="R74" s="80">
        <v>45309</v>
      </c>
      <c r="S74" s="112" t="s">
        <v>1786</v>
      </c>
      <c r="T74" s="103"/>
      <c r="U74" s="103"/>
      <c r="V74" s="103"/>
      <c r="W74" s="103"/>
      <c r="X74" s="103"/>
      <c r="Y74" s="157"/>
      <c r="Z74" s="157"/>
    </row>
    <row r="75" spans="1:26">
      <c r="A75" s="119" t="s">
        <v>1787</v>
      </c>
      <c r="B75" s="112" t="s">
        <v>1788</v>
      </c>
      <c r="C75" s="112" t="s">
        <v>469</v>
      </c>
      <c r="D75" s="114" t="s">
        <v>478</v>
      </c>
      <c r="E75" s="114" t="s">
        <v>1442</v>
      </c>
      <c r="F75" s="80">
        <v>44972</v>
      </c>
      <c r="G75" s="115" t="s">
        <v>1789</v>
      </c>
      <c r="H75" s="116"/>
      <c r="I75" s="116"/>
      <c r="J75" s="116"/>
      <c r="K75" s="114" t="s">
        <v>30</v>
      </c>
      <c r="L75" s="114" t="s">
        <v>481</v>
      </c>
      <c r="M75" s="114" t="s">
        <v>482</v>
      </c>
      <c r="N75" s="114" t="s">
        <v>1716</v>
      </c>
      <c r="O75" s="115" t="s">
        <v>500</v>
      </c>
      <c r="P75" s="115" t="s">
        <v>1498</v>
      </c>
      <c r="Q75" s="115" t="s">
        <v>1395</v>
      </c>
      <c r="R75" s="80">
        <v>45056</v>
      </c>
      <c r="S75" s="112" t="s">
        <v>1790</v>
      </c>
      <c r="T75" s="164" t="e">
        <v>#REF!</v>
      </c>
      <c r="U75" s="164" t="e">
        <v>#REF!</v>
      </c>
      <c r="V75" s="103"/>
      <c r="W75" s="103"/>
      <c r="X75" s="103"/>
      <c r="Y75" s="157"/>
      <c r="Z75" s="157"/>
    </row>
    <row r="76" spans="1:26">
      <c r="A76" s="146" t="s">
        <v>1791</v>
      </c>
      <c r="B76" s="112" t="s">
        <v>1792</v>
      </c>
      <c r="C76" s="112" t="s">
        <v>546</v>
      </c>
      <c r="D76" s="114" t="s">
        <v>610</v>
      </c>
      <c r="E76" s="114" t="s">
        <v>611</v>
      </c>
      <c r="F76" s="80">
        <v>44972</v>
      </c>
      <c r="G76" s="115" t="s">
        <v>1615</v>
      </c>
      <c r="H76" s="115" t="s">
        <v>556</v>
      </c>
      <c r="I76" s="80">
        <v>45238</v>
      </c>
      <c r="J76" s="124">
        <v>45407</v>
      </c>
      <c r="K76" s="114" t="s">
        <v>30</v>
      </c>
      <c r="L76" s="114" t="s">
        <v>1326</v>
      </c>
      <c r="M76" s="114" t="s">
        <v>482</v>
      </c>
      <c r="N76" s="114" t="s">
        <v>20</v>
      </c>
      <c r="O76" s="114" t="s">
        <v>1456</v>
      </c>
      <c r="P76" s="114" t="s">
        <v>1457</v>
      </c>
      <c r="Q76" s="115" t="s">
        <v>1475</v>
      </c>
      <c r="R76" s="80">
        <v>45478</v>
      </c>
      <c r="S76" s="112" t="s">
        <v>1793</v>
      </c>
      <c r="T76" s="103"/>
      <c r="U76" s="103"/>
      <c r="V76" s="103"/>
      <c r="W76" s="103"/>
      <c r="X76" s="103"/>
      <c r="Y76" s="157"/>
      <c r="Z76" s="157"/>
    </row>
    <row r="77" spans="1:26">
      <c r="A77" s="111" t="s">
        <v>1794</v>
      </c>
      <c r="B77" s="112" t="s">
        <v>1795</v>
      </c>
      <c r="C77" s="112" t="s">
        <v>469</v>
      </c>
      <c r="D77" s="114" t="s">
        <v>478</v>
      </c>
      <c r="E77" s="114" t="s">
        <v>1272</v>
      </c>
      <c r="F77" s="80">
        <v>44972</v>
      </c>
      <c r="G77" s="115" t="s">
        <v>1796</v>
      </c>
      <c r="H77" s="116"/>
      <c r="I77" s="116"/>
      <c r="J77" s="116"/>
      <c r="K77" s="114" t="s">
        <v>18</v>
      </c>
      <c r="L77" s="114" t="s">
        <v>1543</v>
      </c>
      <c r="M77" s="116"/>
      <c r="N77" s="114" t="s">
        <v>47</v>
      </c>
      <c r="O77" s="114" t="s">
        <v>997</v>
      </c>
      <c r="P77" s="115" t="s">
        <v>706</v>
      </c>
      <c r="Q77" s="115" t="s">
        <v>485</v>
      </c>
      <c r="R77" s="80">
        <v>45117</v>
      </c>
      <c r="S77" s="112" t="s">
        <v>1797</v>
      </c>
      <c r="T77" s="164" t="e">
        <v>#REF!</v>
      </c>
      <c r="U77" s="164" t="e">
        <v>#REF!</v>
      </c>
      <c r="V77" s="103"/>
      <c r="W77" s="103"/>
      <c r="X77" s="103"/>
      <c r="Y77" s="157"/>
      <c r="Z77" s="157"/>
    </row>
    <row r="78" spans="1:26">
      <c r="A78" s="119" t="s">
        <v>1798</v>
      </c>
      <c r="B78" s="112" t="s">
        <v>1799</v>
      </c>
      <c r="C78" s="112" t="s">
        <v>1528</v>
      </c>
      <c r="D78" s="114" t="s">
        <v>478</v>
      </c>
      <c r="E78" s="114" t="s">
        <v>958</v>
      </c>
      <c r="F78" s="80">
        <v>44974</v>
      </c>
      <c r="G78" s="115" t="s">
        <v>1800</v>
      </c>
      <c r="H78" s="190">
        <v>45070</v>
      </c>
      <c r="I78" s="80">
        <v>45118</v>
      </c>
      <c r="J78" s="124">
        <v>45125</v>
      </c>
      <c r="K78" s="114" t="s">
        <v>18</v>
      </c>
      <c r="L78" s="114" t="s">
        <v>481</v>
      </c>
      <c r="M78" s="116"/>
      <c r="N78" s="114" t="s">
        <v>20</v>
      </c>
      <c r="O78" s="115" t="s">
        <v>519</v>
      </c>
      <c r="P78" s="114" t="s">
        <v>803</v>
      </c>
      <c r="Q78" s="115" t="s">
        <v>491</v>
      </c>
      <c r="R78" s="80">
        <v>45499</v>
      </c>
      <c r="S78" s="112" t="s">
        <v>1801</v>
      </c>
      <c r="T78" s="164" t="e">
        <v>#REF!</v>
      </c>
      <c r="U78" s="164" t="e">
        <v>#REF!</v>
      </c>
      <c r="V78" s="103"/>
      <c r="W78" s="103"/>
      <c r="X78" s="103"/>
      <c r="Y78" s="157"/>
      <c r="Z78" s="157"/>
    </row>
    <row r="79" spans="1:26">
      <c r="A79" s="119" t="s">
        <v>956</v>
      </c>
      <c r="B79" s="112" t="s">
        <v>957</v>
      </c>
      <c r="C79" s="112" t="s">
        <v>469</v>
      </c>
      <c r="D79" s="114" t="s">
        <v>478</v>
      </c>
      <c r="E79" s="114" t="s">
        <v>958</v>
      </c>
      <c r="F79" s="80">
        <v>44974</v>
      </c>
      <c r="G79" s="115" t="s">
        <v>959</v>
      </c>
      <c r="H79" s="80">
        <v>45435</v>
      </c>
      <c r="I79" s="80">
        <v>45440</v>
      </c>
      <c r="J79" s="116"/>
      <c r="K79" s="114" t="s">
        <v>30</v>
      </c>
      <c r="L79" s="114" t="s">
        <v>481</v>
      </c>
      <c r="M79" s="116"/>
      <c r="N79" s="114" t="s">
        <v>960</v>
      </c>
      <c r="O79" s="115" t="s">
        <v>519</v>
      </c>
      <c r="P79" s="114" t="s">
        <v>803</v>
      </c>
      <c r="Q79" s="126" t="s">
        <v>521</v>
      </c>
      <c r="R79" s="80">
        <v>45448</v>
      </c>
      <c r="S79" s="112" t="s">
        <v>961</v>
      </c>
      <c r="T79" s="103"/>
      <c r="U79" s="103"/>
      <c r="V79" s="103"/>
      <c r="W79" s="103"/>
      <c r="X79" s="103"/>
      <c r="Y79" s="157"/>
      <c r="Z79" s="157"/>
    </row>
    <row r="80" spans="1:26">
      <c r="A80" s="111" t="s">
        <v>1802</v>
      </c>
      <c r="B80" s="112" t="s">
        <v>1803</v>
      </c>
      <c r="C80" s="112" t="s">
        <v>469</v>
      </c>
      <c r="D80" s="114" t="s">
        <v>478</v>
      </c>
      <c r="E80" s="114" t="s">
        <v>1442</v>
      </c>
      <c r="F80" s="80">
        <v>44980</v>
      </c>
      <c r="G80" s="115" t="s">
        <v>1804</v>
      </c>
      <c r="H80" s="116"/>
      <c r="I80" s="116"/>
      <c r="J80" s="116"/>
      <c r="K80" s="114" t="s">
        <v>18</v>
      </c>
      <c r="L80" s="114" t="s">
        <v>473</v>
      </c>
      <c r="M80" s="116"/>
      <c r="N80" s="114" t="s">
        <v>47</v>
      </c>
      <c r="O80" s="115" t="s">
        <v>490</v>
      </c>
      <c r="P80" s="115" t="s">
        <v>490</v>
      </c>
      <c r="Q80" s="115" t="s">
        <v>645</v>
      </c>
      <c r="R80" s="80">
        <v>45058</v>
      </c>
      <c r="S80" s="112" t="s">
        <v>1805</v>
      </c>
      <c r="T80" s="164" t="e">
        <v>#REF!</v>
      </c>
      <c r="U80" s="164" t="e">
        <v>#REF!</v>
      </c>
      <c r="V80" s="103"/>
      <c r="W80" s="103"/>
      <c r="X80" s="103"/>
      <c r="Y80" s="157"/>
      <c r="Z80" s="157"/>
    </row>
    <row r="81" spans="1:26">
      <c r="A81" s="119" t="s">
        <v>1806</v>
      </c>
      <c r="B81" s="112" t="s">
        <v>1807</v>
      </c>
      <c r="C81" s="112" t="s">
        <v>469</v>
      </c>
      <c r="D81" s="114" t="s">
        <v>1808</v>
      </c>
      <c r="E81" s="114" t="s">
        <v>1442</v>
      </c>
      <c r="F81" s="80">
        <v>44984</v>
      </c>
      <c r="G81" s="115" t="s">
        <v>1809</v>
      </c>
      <c r="H81" s="116"/>
      <c r="I81" s="116"/>
      <c r="J81" s="116"/>
      <c r="K81" s="114" t="s">
        <v>30</v>
      </c>
      <c r="L81" s="114" t="s">
        <v>1543</v>
      </c>
      <c r="M81" s="116"/>
      <c r="N81" s="114" t="s">
        <v>47</v>
      </c>
      <c r="O81" s="115" t="s">
        <v>1810</v>
      </c>
      <c r="P81" s="115" t="s">
        <v>1811</v>
      </c>
      <c r="Q81" s="115" t="s">
        <v>1812</v>
      </c>
      <c r="R81" s="80">
        <v>45343</v>
      </c>
      <c r="S81" s="112" t="s">
        <v>1813</v>
      </c>
      <c r="T81" s="103"/>
      <c r="U81" s="103"/>
      <c r="V81" s="103"/>
      <c r="W81" s="103"/>
      <c r="X81" s="103"/>
      <c r="Y81" s="157"/>
      <c r="Z81" s="157"/>
    </row>
    <row r="82" spans="1:26">
      <c r="A82" s="119" t="s">
        <v>1814</v>
      </c>
      <c r="B82" s="112" t="s">
        <v>1815</v>
      </c>
      <c r="C82" s="112" t="s">
        <v>469</v>
      </c>
      <c r="D82" s="114" t="s">
        <v>478</v>
      </c>
      <c r="E82" s="114" t="s">
        <v>1442</v>
      </c>
      <c r="F82" s="80">
        <v>44970</v>
      </c>
      <c r="G82" s="115" t="s">
        <v>1816</v>
      </c>
      <c r="H82" s="190">
        <v>45457</v>
      </c>
      <c r="I82" s="80">
        <v>45114</v>
      </c>
      <c r="J82" s="124">
        <v>45140</v>
      </c>
      <c r="K82" s="114" t="s">
        <v>18</v>
      </c>
      <c r="L82" s="114" t="s">
        <v>1543</v>
      </c>
      <c r="M82" s="116"/>
      <c r="N82" s="114" t="s">
        <v>20</v>
      </c>
      <c r="O82" s="115" t="s">
        <v>627</v>
      </c>
      <c r="P82" s="115" t="s">
        <v>1817</v>
      </c>
      <c r="Q82" s="115" t="s">
        <v>628</v>
      </c>
      <c r="R82" s="127">
        <v>45210</v>
      </c>
      <c r="S82" s="112" t="s">
        <v>1818</v>
      </c>
      <c r="T82" s="103"/>
      <c r="U82" s="103"/>
      <c r="V82" s="103"/>
      <c r="W82" s="103"/>
      <c r="X82" s="103"/>
      <c r="Y82" s="157"/>
      <c r="Z82" s="157"/>
    </row>
    <row r="83" spans="1:26">
      <c r="A83" s="111" t="s">
        <v>1819</v>
      </c>
      <c r="B83" s="112" t="s">
        <v>1820</v>
      </c>
      <c r="C83" s="112" t="s">
        <v>469</v>
      </c>
      <c r="D83" s="114" t="s">
        <v>478</v>
      </c>
      <c r="E83" s="114" t="s">
        <v>1442</v>
      </c>
      <c r="F83" s="80">
        <v>44970</v>
      </c>
      <c r="G83" s="115" t="s">
        <v>1821</v>
      </c>
      <c r="H83" s="115" t="s">
        <v>820</v>
      </c>
      <c r="I83" s="189">
        <v>45000</v>
      </c>
      <c r="J83" s="124">
        <v>45021</v>
      </c>
      <c r="K83" s="114" t="s">
        <v>18</v>
      </c>
      <c r="L83" s="114" t="s">
        <v>473</v>
      </c>
      <c r="M83" s="116"/>
      <c r="N83" s="114" t="s">
        <v>47</v>
      </c>
      <c r="O83" s="115" t="s">
        <v>490</v>
      </c>
      <c r="P83" s="115" t="s">
        <v>490</v>
      </c>
      <c r="Q83" s="115" t="s">
        <v>689</v>
      </c>
      <c r="R83" s="191">
        <v>45280</v>
      </c>
      <c r="S83" s="112" t="s">
        <v>1822</v>
      </c>
      <c r="T83" s="164" t="e">
        <v>#REF!</v>
      </c>
      <c r="U83" s="164" t="e">
        <v>#REF!</v>
      </c>
      <c r="V83" s="103"/>
      <c r="W83" s="103"/>
      <c r="X83" s="103"/>
      <c r="Y83" s="157"/>
      <c r="Z83" s="157"/>
    </row>
    <row r="84" spans="1:26">
      <c r="A84" s="119" t="s">
        <v>1823</v>
      </c>
      <c r="B84" s="112" t="s">
        <v>1824</v>
      </c>
      <c r="C84" s="112" t="s">
        <v>469</v>
      </c>
      <c r="D84" s="114" t="s">
        <v>478</v>
      </c>
      <c r="E84" s="114" t="s">
        <v>1560</v>
      </c>
      <c r="F84" s="80">
        <v>44985</v>
      </c>
      <c r="G84" s="115" t="s">
        <v>1763</v>
      </c>
      <c r="H84" s="116"/>
      <c r="I84" s="116"/>
      <c r="J84" s="116"/>
      <c r="K84" s="114" t="s">
        <v>30</v>
      </c>
      <c r="L84" s="114" t="s">
        <v>481</v>
      </c>
      <c r="M84" s="114" t="s">
        <v>482</v>
      </c>
      <c r="N84" s="114" t="s">
        <v>27</v>
      </c>
      <c r="O84" s="115" t="s">
        <v>743</v>
      </c>
      <c r="P84" s="115" t="s">
        <v>744</v>
      </c>
      <c r="Q84" s="115" t="s">
        <v>745</v>
      </c>
      <c r="R84" s="80">
        <v>45058</v>
      </c>
      <c r="S84" s="112" t="s">
        <v>1825</v>
      </c>
      <c r="T84" s="164" t="e">
        <v>#REF!</v>
      </c>
      <c r="U84" s="164" t="e">
        <v>#REF!</v>
      </c>
      <c r="V84" s="103"/>
      <c r="W84" s="103"/>
      <c r="X84" s="103"/>
      <c r="Y84" s="157"/>
      <c r="Z84" s="157"/>
    </row>
    <row r="85" spans="1:26">
      <c r="A85" s="111" t="s">
        <v>1826</v>
      </c>
      <c r="B85" s="112" t="s">
        <v>1827</v>
      </c>
      <c r="C85" s="112" t="s">
        <v>469</v>
      </c>
      <c r="D85" s="114" t="s">
        <v>478</v>
      </c>
      <c r="E85" s="114" t="s">
        <v>1560</v>
      </c>
      <c r="F85" s="80">
        <v>44986</v>
      </c>
      <c r="G85" s="115" t="s">
        <v>1828</v>
      </c>
      <c r="H85" s="80">
        <v>45266</v>
      </c>
      <c r="I85" s="127">
        <v>45273</v>
      </c>
      <c r="J85" s="124">
        <v>45310</v>
      </c>
      <c r="K85" s="114" t="s">
        <v>30</v>
      </c>
      <c r="L85" s="114" t="s">
        <v>481</v>
      </c>
      <c r="M85" s="114" t="s">
        <v>482</v>
      </c>
      <c r="N85" s="114" t="s">
        <v>20</v>
      </c>
      <c r="O85" s="115" t="s">
        <v>743</v>
      </c>
      <c r="P85" s="115" t="s">
        <v>744</v>
      </c>
      <c r="Q85" s="126" t="s">
        <v>491</v>
      </c>
      <c r="R85" s="80">
        <v>45498</v>
      </c>
      <c r="S85" s="112" t="s">
        <v>1829</v>
      </c>
      <c r="T85" s="103"/>
      <c r="U85" s="103"/>
      <c r="V85" s="103"/>
      <c r="W85" s="103"/>
      <c r="X85" s="103"/>
      <c r="Y85" s="157"/>
      <c r="Z85" s="157"/>
    </row>
    <row r="86" spans="1:26">
      <c r="A86" s="111" t="s">
        <v>1830</v>
      </c>
      <c r="B86" s="112" t="s">
        <v>1831</v>
      </c>
      <c r="C86" s="112" t="s">
        <v>546</v>
      </c>
      <c r="D86" s="114" t="s">
        <v>478</v>
      </c>
      <c r="E86" s="116"/>
      <c r="F86" s="80">
        <v>44971</v>
      </c>
      <c r="G86" s="115" t="s">
        <v>1577</v>
      </c>
      <c r="H86" s="116"/>
      <c r="I86" s="116"/>
      <c r="J86" s="116"/>
      <c r="K86" s="114" t="s">
        <v>30</v>
      </c>
      <c r="L86" s="114" t="s">
        <v>1543</v>
      </c>
      <c r="M86" s="116"/>
      <c r="N86" s="114" t="s">
        <v>996</v>
      </c>
      <c r="O86" s="114" t="s">
        <v>997</v>
      </c>
      <c r="P86" s="115" t="s">
        <v>706</v>
      </c>
      <c r="Q86" s="115" t="s">
        <v>485</v>
      </c>
      <c r="R86" s="80">
        <v>44987</v>
      </c>
      <c r="S86" s="112" t="s">
        <v>1832</v>
      </c>
      <c r="T86" s="164" t="e">
        <v>#REF!</v>
      </c>
      <c r="U86" s="164" t="e">
        <v>#REF!</v>
      </c>
      <c r="V86" s="103"/>
      <c r="W86" s="103"/>
      <c r="X86" s="103"/>
      <c r="Y86" s="157"/>
      <c r="Z86" s="157"/>
    </row>
    <row r="87" spans="1:26">
      <c r="A87" s="111" t="s">
        <v>1833</v>
      </c>
      <c r="B87" s="112" t="s">
        <v>1834</v>
      </c>
      <c r="C87" s="112" t="s">
        <v>469</v>
      </c>
      <c r="D87" s="114" t="s">
        <v>1006</v>
      </c>
      <c r="E87" s="114" t="s">
        <v>479</v>
      </c>
      <c r="F87" s="80">
        <v>44986</v>
      </c>
      <c r="G87" s="115" t="s">
        <v>1835</v>
      </c>
      <c r="H87" s="116"/>
      <c r="I87" s="116"/>
      <c r="J87" s="116"/>
      <c r="K87" s="114" t="s">
        <v>30</v>
      </c>
      <c r="L87" s="114" t="s">
        <v>481</v>
      </c>
      <c r="M87" s="116"/>
      <c r="N87" s="114" t="s">
        <v>47</v>
      </c>
      <c r="O87" s="116"/>
      <c r="P87" s="116"/>
      <c r="Q87" s="115" t="s">
        <v>550</v>
      </c>
      <c r="R87" s="80">
        <v>45384</v>
      </c>
      <c r="S87" s="112" t="s">
        <v>1836</v>
      </c>
      <c r="T87" s="164" t="e">
        <v>#REF!</v>
      </c>
      <c r="U87" s="164" t="e">
        <v>#REF!</v>
      </c>
      <c r="V87" s="103"/>
      <c r="W87" s="103"/>
      <c r="X87" s="103"/>
      <c r="Y87" s="157"/>
      <c r="Z87" s="157"/>
    </row>
    <row r="88" spans="1:26">
      <c r="A88" s="111" t="s">
        <v>1837</v>
      </c>
      <c r="B88" s="112" t="s">
        <v>1838</v>
      </c>
      <c r="C88" s="112" t="s">
        <v>469</v>
      </c>
      <c r="D88" s="114" t="s">
        <v>478</v>
      </c>
      <c r="E88" s="114" t="s">
        <v>1839</v>
      </c>
      <c r="F88" s="127">
        <v>44882</v>
      </c>
      <c r="G88" s="115" t="s">
        <v>1840</v>
      </c>
      <c r="H88" s="116"/>
      <c r="I88" s="116"/>
      <c r="J88" s="116"/>
      <c r="K88" s="114" t="s">
        <v>30</v>
      </c>
      <c r="L88" s="114" t="s">
        <v>481</v>
      </c>
      <c r="M88" s="116"/>
      <c r="N88" s="114" t="s">
        <v>47</v>
      </c>
      <c r="O88" s="176" t="s">
        <v>1841</v>
      </c>
      <c r="P88" s="115" t="s">
        <v>484</v>
      </c>
      <c r="Q88" s="115" t="s">
        <v>1842</v>
      </c>
      <c r="R88" s="80">
        <v>45305</v>
      </c>
      <c r="S88" s="112" t="s">
        <v>1843</v>
      </c>
      <c r="T88" s="164" t="e">
        <v>#REF!</v>
      </c>
      <c r="U88" s="164" t="e">
        <v>#REF!</v>
      </c>
      <c r="V88" s="103"/>
      <c r="W88" s="103"/>
      <c r="X88" s="103"/>
      <c r="Y88" s="157"/>
      <c r="Z88" s="157"/>
    </row>
    <row r="89" spans="1:26">
      <c r="A89" s="119" t="s">
        <v>1844</v>
      </c>
      <c r="B89" s="192" t="s">
        <v>1845</v>
      </c>
      <c r="C89" s="192" t="s">
        <v>1260</v>
      </c>
      <c r="D89" s="193" t="s">
        <v>1846</v>
      </c>
      <c r="E89" s="193" t="s">
        <v>479</v>
      </c>
      <c r="F89" s="194">
        <v>44986</v>
      </c>
      <c r="G89" s="195" t="s">
        <v>1847</v>
      </c>
      <c r="H89" s="196"/>
      <c r="I89" s="196"/>
      <c r="J89" s="196"/>
      <c r="K89" s="193" t="s">
        <v>30</v>
      </c>
      <c r="L89" s="114" t="s">
        <v>481</v>
      </c>
      <c r="M89" s="196"/>
      <c r="N89" s="193" t="s">
        <v>47</v>
      </c>
      <c r="O89" s="195" t="s">
        <v>687</v>
      </c>
      <c r="P89" s="195" t="s">
        <v>1848</v>
      </c>
      <c r="Q89" s="195" t="s">
        <v>550</v>
      </c>
      <c r="R89" s="194">
        <v>45054</v>
      </c>
      <c r="S89" s="192" t="s">
        <v>1849</v>
      </c>
      <c r="T89" s="197" t="e">
        <v>#REF!</v>
      </c>
      <c r="U89" s="197" t="e">
        <v>#REF!</v>
      </c>
      <c r="V89" s="118"/>
      <c r="W89" s="118"/>
      <c r="X89" s="118"/>
      <c r="Y89" s="157"/>
      <c r="Z89" s="157"/>
    </row>
    <row r="90" spans="1:26">
      <c r="A90" s="111" t="s">
        <v>1850</v>
      </c>
      <c r="B90" s="112" t="s">
        <v>1851</v>
      </c>
      <c r="C90" s="112" t="s">
        <v>1260</v>
      </c>
      <c r="D90" s="114" t="s">
        <v>1852</v>
      </c>
      <c r="E90" s="114" t="s">
        <v>479</v>
      </c>
      <c r="F90" s="80">
        <v>44986</v>
      </c>
      <c r="G90" s="115" t="s">
        <v>1853</v>
      </c>
      <c r="H90" s="190">
        <v>45500</v>
      </c>
      <c r="I90" s="80">
        <v>45159</v>
      </c>
      <c r="J90" s="80">
        <v>45188</v>
      </c>
      <c r="K90" s="114" t="s">
        <v>30</v>
      </c>
      <c r="L90" s="114" t="s">
        <v>1543</v>
      </c>
      <c r="M90" s="116"/>
      <c r="N90" s="114" t="s">
        <v>20</v>
      </c>
      <c r="O90" s="176" t="s">
        <v>1012</v>
      </c>
      <c r="P90" s="115" t="s">
        <v>1854</v>
      </c>
      <c r="Q90" s="126" t="s">
        <v>491</v>
      </c>
      <c r="R90" s="80">
        <v>45495</v>
      </c>
      <c r="S90" s="112" t="s">
        <v>1855</v>
      </c>
      <c r="T90" s="103"/>
      <c r="U90" s="103"/>
      <c r="V90" s="103"/>
      <c r="W90" s="103"/>
      <c r="X90" s="103"/>
      <c r="Y90" s="157"/>
      <c r="Z90" s="157"/>
    </row>
    <row r="91" spans="1:26">
      <c r="A91" s="111" t="s">
        <v>1856</v>
      </c>
      <c r="B91" s="112" t="s">
        <v>1857</v>
      </c>
      <c r="C91" s="112" t="s">
        <v>1390</v>
      </c>
      <c r="D91" s="114" t="s">
        <v>478</v>
      </c>
      <c r="E91" s="114" t="s">
        <v>1858</v>
      </c>
      <c r="F91" s="80">
        <v>44984</v>
      </c>
      <c r="G91" s="115" t="s">
        <v>1859</v>
      </c>
      <c r="H91" s="115" t="s">
        <v>820</v>
      </c>
      <c r="I91" s="80">
        <v>45153</v>
      </c>
      <c r="J91" s="114" t="s">
        <v>556</v>
      </c>
      <c r="K91" s="114" t="s">
        <v>18</v>
      </c>
      <c r="L91" s="114" t="s">
        <v>481</v>
      </c>
      <c r="M91" s="116"/>
      <c r="N91" s="114" t="s">
        <v>47</v>
      </c>
      <c r="O91" s="115" t="s">
        <v>1112</v>
      </c>
      <c r="P91" s="114" t="s">
        <v>1860</v>
      </c>
      <c r="Q91" s="115" t="s">
        <v>950</v>
      </c>
      <c r="R91" s="80">
        <v>45154</v>
      </c>
      <c r="S91" s="116"/>
      <c r="T91" s="103"/>
      <c r="U91" s="103"/>
      <c r="V91" s="103"/>
      <c r="W91" s="103"/>
      <c r="X91" s="103"/>
      <c r="Y91" s="157"/>
      <c r="Z91" s="157"/>
    </row>
    <row r="92" spans="1:26">
      <c r="A92" s="111" t="s">
        <v>1861</v>
      </c>
      <c r="B92" s="112" t="s">
        <v>1862</v>
      </c>
      <c r="C92" s="112" t="s">
        <v>469</v>
      </c>
      <c r="D92" s="114" t="s">
        <v>478</v>
      </c>
      <c r="E92" s="114" t="s">
        <v>1863</v>
      </c>
      <c r="F92" s="80">
        <v>44974</v>
      </c>
      <c r="G92" s="115" t="s">
        <v>1864</v>
      </c>
      <c r="H92" s="115" t="s">
        <v>820</v>
      </c>
      <c r="I92" s="80">
        <v>45021</v>
      </c>
      <c r="J92" s="114" t="s">
        <v>820</v>
      </c>
      <c r="K92" s="114" t="s">
        <v>18</v>
      </c>
      <c r="L92" s="114" t="s">
        <v>473</v>
      </c>
      <c r="M92" s="116"/>
      <c r="N92" s="114" t="s">
        <v>47</v>
      </c>
      <c r="O92" s="115" t="s">
        <v>490</v>
      </c>
      <c r="P92" s="115" t="s">
        <v>490</v>
      </c>
      <c r="Q92" s="115" t="s">
        <v>689</v>
      </c>
      <c r="R92" s="127">
        <v>45216</v>
      </c>
      <c r="S92" s="112" t="s">
        <v>1865</v>
      </c>
      <c r="T92" s="164" t="e">
        <v>#REF!</v>
      </c>
      <c r="U92" s="164" t="e">
        <v>#REF!</v>
      </c>
      <c r="V92" s="103"/>
      <c r="W92" s="103"/>
      <c r="X92" s="103"/>
      <c r="Y92" s="157"/>
      <c r="Z92" s="157"/>
    </row>
    <row r="93" spans="1:26">
      <c r="A93" s="111" t="s">
        <v>1866</v>
      </c>
      <c r="B93" s="112" t="s">
        <v>1867</v>
      </c>
      <c r="C93" s="112" t="s">
        <v>469</v>
      </c>
      <c r="D93" s="114" t="s">
        <v>478</v>
      </c>
      <c r="E93" s="114" t="s">
        <v>479</v>
      </c>
      <c r="F93" s="80">
        <v>44951</v>
      </c>
      <c r="G93" s="115" t="s">
        <v>1868</v>
      </c>
      <c r="H93" s="116"/>
      <c r="I93" s="116"/>
      <c r="J93" s="116"/>
      <c r="K93" s="114" t="s">
        <v>30</v>
      </c>
      <c r="L93" s="114" t="s">
        <v>473</v>
      </c>
      <c r="M93" s="116"/>
      <c r="N93" s="114" t="s">
        <v>47</v>
      </c>
      <c r="O93" s="115" t="s">
        <v>490</v>
      </c>
      <c r="P93" s="115" t="s">
        <v>490</v>
      </c>
      <c r="Q93" s="114" t="s">
        <v>550</v>
      </c>
      <c r="R93" s="80">
        <v>45054</v>
      </c>
      <c r="S93" s="112" t="s">
        <v>1869</v>
      </c>
      <c r="T93" s="103"/>
      <c r="U93" s="103"/>
      <c r="V93" s="103"/>
      <c r="W93" s="103"/>
      <c r="X93" s="103"/>
      <c r="Y93" s="157"/>
      <c r="Z93" s="157"/>
    </row>
    <row r="94" spans="1:26">
      <c r="A94" s="163" t="s">
        <v>1870</v>
      </c>
      <c r="B94" s="112" t="s">
        <v>1871</v>
      </c>
      <c r="C94" s="112" t="s">
        <v>546</v>
      </c>
      <c r="D94" s="114" t="s">
        <v>478</v>
      </c>
      <c r="E94" s="114" t="s">
        <v>479</v>
      </c>
      <c r="F94" s="80">
        <v>44813</v>
      </c>
      <c r="G94" s="115" t="s">
        <v>1872</v>
      </c>
      <c r="H94" s="116"/>
      <c r="I94" s="116"/>
      <c r="J94" s="116"/>
      <c r="K94" s="114" t="s">
        <v>30</v>
      </c>
      <c r="L94" s="114" t="s">
        <v>481</v>
      </c>
      <c r="M94" s="116"/>
      <c r="N94" s="114" t="s">
        <v>27</v>
      </c>
      <c r="O94" s="116"/>
      <c r="P94" s="116"/>
      <c r="Q94" s="115" t="s">
        <v>550</v>
      </c>
      <c r="R94" s="80">
        <v>44970</v>
      </c>
      <c r="S94" s="112" t="s">
        <v>1873</v>
      </c>
      <c r="T94" s="103"/>
      <c r="U94" s="103"/>
      <c r="V94" s="103"/>
      <c r="W94" s="103"/>
      <c r="X94" s="103"/>
      <c r="Y94" s="157"/>
      <c r="Z94" s="157"/>
    </row>
    <row r="95" spans="1:26">
      <c r="A95" s="111" t="s">
        <v>1874</v>
      </c>
      <c r="B95" s="112" t="s">
        <v>1875</v>
      </c>
      <c r="C95" s="112" t="s">
        <v>469</v>
      </c>
      <c r="D95" s="114" t="s">
        <v>478</v>
      </c>
      <c r="E95" s="114" t="s">
        <v>479</v>
      </c>
      <c r="F95" s="80">
        <v>44999</v>
      </c>
      <c r="G95" s="115" t="s">
        <v>1876</v>
      </c>
      <c r="H95" s="115" t="s">
        <v>820</v>
      </c>
      <c r="I95" s="115" t="s">
        <v>820</v>
      </c>
      <c r="J95" s="177"/>
      <c r="K95" s="114" t="s">
        <v>18</v>
      </c>
      <c r="L95" s="114" t="s">
        <v>473</v>
      </c>
      <c r="M95" s="116"/>
      <c r="N95" s="114" t="s">
        <v>47</v>
      </c>
      <c r="O95" s="115" t="s">
        <v>490</v>
      </c>
      <c r="P95" s="115" t="s">
        <v>490</v>
      </c>
      <c r="Q95" s="114" t="s">
        <v>689</v>
      </c>
      <c r="R95" s="80">
        <v>45036</v>
      </c>
      <c r="S95" s="112" t="s">
        <v>1877</v>
      </c>
      <c r="T95" s="164" t="e">
        <v>#REF!</v>
      </c>
      <c r="U95" s="164" t="e">
        <v>#REF!</v>
      </c>
      <c r="V95" s="103"/>
      <c r="W95" s="103"/>
      <c r="X95" s="103"/>
      <c r="Y95" s="157"/>
      <c r="Z95" s="157"/>
    </row>
    <row r="96" spans="1:26">
      <c r="A96" s="111" t="s">
        <v>1878</v>
      </c>
      <c r="B96" s="112" t="s">
        <v>1879</v>
      </c>
      <c r="C96" s="112" t="s">
        <v>469</v>
      </c>
      <c r="D96" s="114" t="s">
        <v>1241</v>
      </c>
      <c r="E96" s="114" t="s">
        <v>479</v>
      </c>
      <c r="F96" s="80">
        <v>44994</v>
      </c>
      <c r="G96" s="115" t="s">
        <v>1880</v>
      </c>
      <c r="H96" s="116"/>
      <c r="I96" s="116"/>
      <c r="J96" s="116"/>
      <c r="K96" s="114" t="s">
        <v>30</v>
      </c>
      <c r="L96" s="114" t="s">
        <v>1881</v>
      </c>
      <c r="M96" s="116"/>
      <c r="N96" s="114" t="s">
        <v>1590</v>
      </c>
      <c r="O96" s="115" t="s">
        <v>874</v>
      </c>
      <c r="P96" s="115" t="s">
        <v>1254</v>
      </c>
      <c r="Q96" s="114" t="s">
        <v>550</v>
      </c>
      <c r="R96" s="80">
        <v>45141</v>
      </c>
      <c r="S96" s="112" t="s">
        <v>1882</v>
      </c>
      <c r="T96" s="164" t="e">
        <v>#REF!</v>
      </c>
      <c r="U96" s="164" t="e">
        <v>#REF!</v>
      </c>
      <c r="V96" s="103"/>
      <c r="W96" s="103"/>
      <c r="X96" s="103"/>
      <c r="Y96" s="157"/>
      <c r="Z96" s="157"/>
    </row>
    <row r="97" spans="1:26">
      <c r="A97" s="111" t="s">
        <v>1883</v>
      </c>
      <c r="B97" s="112" t="s">
        <v>1884</v>
      </c>
      <c r="C97" s="112" t="s">
        <v>546</v>
      </c>
      <c r="D97" s="114" t="s">
        <v>1241</v>
      </c>
      <c r="E97" s="114" t="s">
        <v>479</v>
      </c>
      <c r="F97" s="80">
        <v>44991</v>
      </c>
      <c r="G97" s="115" t="s">
        <v>1885</v>
      </c>
      <c r="H97" s="116"/>
      <c r="I97" s="116"/>
      <c r="J97" s="116"/>
      <c r="K97" s="114" t="s">
        <v>30</v>
      </c>
      <c r="L97" s="114" t="s">
        <v>1881</v>
      </c>
      <c r="M97" s="116"/>
      <c r="N97" s="114" t="s">
        <v>1590</v>
      </c>
      <c r="O97" s="114" t="s">
        <v>874</v>
      </c>
      <c r="P97" s="115" t="s">
        <v>1254</v>
      </c>
      <c r="Q97" s="126" t="s">
        <v>950</v>
      </c>
      <c r="R97" s="80">
        <v>45140</v>
      </c>
      <c r="S97" s="112" t="s">
        <v>1886</v>
      </c>
      <c r="T97" s="164" t="e">
        <v>#REF!</v>
      </c>
      <c r="U97" s="164" t="e">
        <v>#REF!</v>
      </c>
      <c r="V97" s="103"/>
      <c r="W97" s="103"/>
      <c r="X97" s="103"/>
      <c r="Y97" s="157"/>
      <c r="Z97" s="157"/>
    </row>
    <row r="98" spans="1:26">
      <c r="A98" s="111" t="s">
        <v>1887</v>
      </c>
      <c r="B98" s="112" t="s">
        <v>1888</v>
      </c>
      <c r="C98" s="112" t="s">
        <v>469</v>
      </c>
      <c r="D98" s="114" t="s">
        <v>478</v>
      </c>
      <c r="E98" s="114" t="s">
        <v>479</v>
      </c>
      <c r="F98" s="80">
        <v>44999</v>
      </c>
      <c r="G98" s="115" t="s">
        <v>1889</v>
      </c>
      <c r="H98" s="115" t="s">
        <v>820</v>
      </c>
      <c r="I98" s="115" t="s">
        <v>820</v>
      </c>
      <c r="J98" s="124">
        <v>45029</v>
      </c>
      <c r="K98" s="114" t="s">
        <v>18</v>
      </c>
      <c r="L98" s="114" t="s">
        <v>473</v>
      </c>
      <c r="M98" s="116"/>
      <c r="N98" s="114" t="s">
        <v>47</v>
      </c>
      <c r="O98" s="115" t="s">
        <v>490</v>
      </c>
      <c r="P98" s="115" t="s">
        <v>490</v>
      </c>
      <c r="Q98" s="115" t="s">
        <v>689</v>
      </c>
      <c r="R98" s="80">
        <v>45042</v>
      </c>
      <c r="S98" s="112" t="s">
        <v>1890</v>
      </c>
      <c r="T98" s="164" t="e">
        <v>#REF!</v>
      </c>
      <c r="U98" s="164" t="e">
        <v>#REF!</v>
      </c>
      <c r="V98" s="103"/>
      <c r="W98" s="103"/>
      <c r="X98" s="103"/>
      <c r="Y98" s="157"/>
      <c r="Z98" s="157"/>
    </row>
    <row r="99" spans="1:26">
      <c r="A99" s="111" t="s">
        <v>1467</v>
      </c>
      <c r="B99" s="112" t="s">
        <v>1891</v>
      </c>
      <c r="C99" s="112" t="s">
        <v>469</v>
      </c>
      <c r="D99" s="115" t="s">
        <v>823</v>
      </c>
      <c r="E99" s="114" t="s">
        <v>1892</v>
      </c>
      <c r="F99" s="80">
        <v>45006</v>
      </c>
      <c r="G99" s="115" t="s">
        <v>1469</v>
      </c>
      <c r="H99" s="116"/>
      <c r="I99" s="116"/>
      <c r="J99" s="116"/>
      <c r="K99" s="114" t="s">
        <v>18</v>
      </c>
      <c r="L99" s="114" t="s">
        <v>481</v>
      </c>
      <c r="M99" s="114" t="s">
        <v>1464</v>
      </c>
      <c r="N99" s="114" t="s">
        <v>47</v>
      </c>
      <c r="O99" s="114" t="s">
        <v>1465</v>
      </c>
      <c r="P99" s="114" t="s">
        <v>714</v>
      </c>
      <c r="Q99" s="115" t="s">
        <v>668</v>
      </c>
      <c r="R99" s="80">
        <v>45377</v>
      </c>
      <c r="S99" s="112" t="s">
        <v>1893</v>
      </c>
      <c r="T99" s="103"/>
      <c r="U99" s="103"/>
      <c r="V99" s="103"/>
      <c r="W99" s="103"/>
      <c r="X99" s="103"/>
      <c r="Y99" s="157"/>
      <c r="Z99" s="157"/>
    </row>
    <row r="100" spans="1:26">
      <c r="A100" s="111" t="s">
        <v>1486</v>
      </c>
      <c r="B100" s="112" t="s">
        <v>1487</v>
      </c>
      <c r="C100" s="112" t="s">
        <v>1473</v>
      </c>
      <c r="D100" s="114" t="s">
        <v>478</v>
      </c>
      <c r="E100" s="114" t="s">
        <v>1488</v>
      </c>
      <c r="F100" s="80">
        <v>45006</v>
      </c>
      <c r="G100" s="115" t="s">
        <v>1894</v>
      </c>
      <c r="H100" s="116"/>
      <c r="I100" s="116"/>
      <c r="J100" s="116"/>
      <c r="K100" s="114" t="s">
        <v>18</v>
      </c>
      <c r="L100" s="114" t="s">
        <v>1326</v>
      </c>
      <c r="M100" s="116"/>
      <c r="N100" s="114" t="s">
        <v>47</v>
      </c>
      <c r="O100" s="114" t="s">
        <v>1457</v>
      </c>
      <c r="P100" s="115" t="s">
        <v>794</v>
      </c>
      <c r="Q100" s="115" t="s">
        <v>728</v>
      </c>
      <c r="R100" s="80">
        <v>45153</v>
      </c>
      <c r="S100" s="112" t="s">
        <v>1895</v>
      </c>
      <c r="T100" s="164" t="e">
        <v>#REF!</v>
      </c>
      <c r="U100" s="164" t="e">
        <v>#REF!</v>
      </c>
      <c r="V100" s="103"/>
      <c r="W100" s="103"/>
      <c r="X100" s="103"/>
      <c r="Y100" s="157"/>
      <c r="Z100" s="157"/>
    </row>
    <row r="101" spans="1:26">
      <c r="A101" s="111" t="s">
        <v>1896</v>
      </c>
      <c r="B101" s="112" t="s">
        <v>1897</v>
      </c>
      <c r="C101" s="112" t="s">
        <v>546</v>
      </c>
      <c r="D101" s="114" t="s">
        <v>478</v>
      </c>
      <c r="E101" s="114" t="s">
        <v>479</v>
      </c>
      <c r="F101" s="80">
        <v>45006</v>
      </c>
      <c r="G101" s="115" t="s">
        <v>1898</v>
      </c>
      <c r="H101" s="116"/>
      <c r="I101" s="116"/>
      <c r="J101" s="116"/>
      <c r="K101" s="114" t="s">
        <v>30</v>
      </c>
      <c r="L101" s="114" t="s">
        <v>481</v>
      </c>
      <c r="M101" s="116"/>
      <c r="N101" s="114" t="s">
        <v>27</v>
      </c>
      <c r="O101" s="116"/>
      <c r="P101" s="116"/>
      <c r="Q101" s="114" t="s">
        <v>983</v>
      </c>
      <c r="R101" s="80">
        <v>45002</v>
      </c>
      <c r="S101" s="112" t="s">
        <v>1899</v>
      </c>
      <c r="T101" s="164" t="e">
        <v>#REF!</v>
      </c>
      <c r="U101" s="164" t="e">
        <v>#REF!</v>
      </c>
      <c r="V101" s="103"/>
      <c r="W101" s="103"/>
      <c r="X101" s="103"/>
      <c r="Y101" s="157"/>
      <c r="Z101" s="157"/>
    </row>
    <row r="102" spans="1:26">
      <c r="A102" s="111" t="s">
        <v>1900</v>
      </c>
      <c r="B102" s="112" t="s">
        <v>1897</v>
      </c>
      <c r="C102" s="112" t="s">
        <v>546</v>
      </c>
      <c r="D102" s="114" t="s">
        <v>478</v>
      </c>
      <c r="E102" s="114" t="s">
        <v>479</v>
      </c>
      <c r="F102" s="80">
        <v>45006</v>
      </c>
      <c r="G102" s="115" t="s">
        <v>1901</v>
      </c>
      <c r="H102" s="116"/>
      <c r="I102" s="116"/>
      <c r="J102" s="116"/>
      <c r="K102" s="114" t="s">
        <v>30</v>
      </c>
      <c r="L102" s="114" t="s">
        <v>481</v>
      </c>
      <c r="M102" s="116"/>
      <c r="N102" s="114" t="s">
        <v>27</v>
      </c>
      <c r="O102" s="116"/>
      <c r="P102" s="116"/>
      <c r="Q102" s="114" t="s">
        <v>983</v>
      </c>
      <c r="R102" s="80">
        <v>45002</v>
      </c>
      <c r="S102" s="112" t="s">
        <v>1902</v>
      </c>
      <c r="T102" s="164" t="e">
        <v>#REF!</v>
      </c>
      <c r="U102" s="164" t="e">
        <v>#REF!</v>
      </c>
      <c r="V102" s="103"/>
      <c r="W102" s="103"/>
      <c r="X102" s="103"/>
      <c r="Y102" s="157"/>
      <c r="Z102" s="157"/>
    </row>
    <row r="103" spans="1:26">
      <c r="A103" s="111" t="s">
        <v>1903</v>
      </c>
      <c r="B103" s="112" t="s">
        <v>1904</v>
      </c>
      <c r="C103" s="116"/>
      <c r="D103" s="114" t="s">
        <v>610</v>
      </c>
      <c r="E103" s="114" t="s">
        <v>1905</v>
      </c>
      <c r="F103" s="80">
        <v>44951</v>
      </c>
      <c r="G103" s="115" t="s">
        <v>1906</v>
      </c>
      <c r="H103" s="116"/>
      <c r="I103" s="116"/>
      <c r="J103" s="116"/>
      <c r="K103" s="114" t="s">
        <v>30</v>
      </c>
      <c r="L103" s="114" t="s">
        <v>481</v>
      </c>
      <c r="M103" s="116"/>
      <c r="N103" s="114" t="s">
        <v>1590</v>
      </c>
      <c r="O103" s="116"/>
      <c r="P103" s="116"/>
      <c r="Q103" s="114" t="s">
        <v>485</v>
      </c>
      <c r="R103" s="80">
        <v>45197</v>
      </c>
      <c r="S103" s="112" t="s">
        <v>1907</v>
      </c>
      <c r="T103" s="164" t="e">
        <v>#REF!</v>
      </c>
      <c r="U103" s="164" t="e">
        <v>#REF!</v>
      </c>
      <c r="V103" s="103"/>
      <c r="W103" s="103"/>
      <c r="X103" s="103"/>
      <c r="Y103" s="157"/>
      <c r="Z103" s="157"/>
    </row>
    <row r="104" spans="1:26">
      <c r="A104" s="111" t="s">
        <v>1908</v>
      </c>
      <c r="B104" s="112" t="s">
        <v>1909</v>
      </c>
      <c r="C104" s="112" t="s">
        <v>1390</v>
      </c>
      <c r="D104" s="114" t="s">
        <v>980</v>
      </c>
      <c r="E104" s="114" t="s">
        <v>980</v>
      </c>
      <c r="F104" s="80">
        <v>44973</v>
      </c>
      <c r="G104" s="115" t="s">
        <v>895</v>
      </c>
      <c r="H104" s="116"/>
      <c r="I104" s="116"/>
      <c r="J104" s="116"/>
      <c r="K104" s="114" t="s">
        <v>896</v>
      </c>
      <c r="L104" s="114" t="s">
        <v>1910</v>
      </c>
      <c r="M104" s="116"/>
      <c r="N104" s="114" t="s">
        <v>27</v>
      </c>
      <c r="O104" s="116"/>
      <c r="P104" s="116"/>
      <c r="Q104" s="115" t="s">
        <v>983</v>
      </c>
      <c r="R104" s="80">
        <v>45027</v>
      </c>
      <c r="S104" s="112" t="s">
        <v>1911</v>
      </c>
      <c r="T104" s="164" t="e">
        <v>#REF!</v>
      </c>
      <c r="U104" s="164" t="e">
        <v>#REF!</v>
      </c>
      <c r="V104" s="103"/>
      <c r="W104" s="103"/>
      <c r="X104" s="103"/>
      <c r="Y104" s="157"/>
      <c r="Z104" s="157"/>
    </row>
    <row r="105" spans="1:26">
      <c r="A105" s="198" t="s">
        <v>1912</v>
      </c>
      <c r="B105" s="192" t="s">
        <v>1913</v>
      </c>
      <c r="C105" s="192" t="s">
        <v>624</v>
      </c>
      <c r="D105" s="193" t="s">
        <v>478</v>
      </c>
      <c r="E105" s="193" t="s">
        <v>478</v>
      </c>
      <c r="F105" s="194">
        <v>44980</v>
      </c>
      <c r="G105" s="195" t="s">
        <v>895</v>
      </c>
      <c r="H105" s="196"/>
      <c r="I105" s="196"/>
      <c r="J105" s="196"/>
      <c r="K105" s="193" t="s">
        <v>18</v>
      </c>
      <c r="L105" s="114" t="s">
        <v>481</v>
      </c>
      <c r="M105" s="196"/>
      <c r="N105" s="193" t="s">
        <v>47</v>
      </c>
      <c r="O105" s="196"/>
      <c r="P105" s="196"/>
      <c r="Q105" s="193" t="s">
        <v>550</v>
      </c>
      <c r="R105" s="194">
        <v>45054</v>
      </c>
      <c r="S105" s="192" t="s">
        <v>1914</v>
      </c>
      <c r="T105" s="164" t="e">
        <v>#REF!</v>
      </c>
      <c r="U105" s="164" t="e">
        <v>#REF!</v>
      </c>
      <c r="V105" s="103"/>
      <c r="W105" s="103"/>
      <c r="X105" s="103"/>
      <c r="Y105" s="157"/>
      <c r="Z105" s="157"/>
    </row>
    <row r="106" spans="1:26">
      <c r="A106" s="111" t="s">
        <v>1915</v>
      </c>
      <c r="B106" s="112" t="s">
        <v>1916</v>
      </c>
      <c r="C106" s="112" t="s">
        <v>624</v>
      </c>
      <c r="D106" s="114" t="s">
        <v>478</v>
      </c>
      <c r="E106" s="114" t="s">
        <v>478</v>
      </c>
      <c r="F106" s="80">
        <v>44980</v>
      </c>
      <c r="G106" s="115" t="s">
        <v>895</v>
      </c>
      <c r="H106" s="116"/>
      <c r="I106" s="116"/>
      <c r="J106" s="116"/>
      <c r="K106" s="114" t="s">
        <v>18</v>
      </c>
      <c r="L106" s="114" t="s">
        <v>481</v>
      </c>
      <c r="M106" s="116"/>
      <c r="N106" s="114" t="s">
        <v>47</v>
      </c>
      <c r="O106" s="116"/>
      <c r="P106" s="116"/>
      <c r="Q106" s="114" t="s">
        <v>550</v>
      </c>
      <c r="R106" s="80">
        <v>45140</v>
      </c>
      <c r="S106" s="116"/>
      <c r="T106" s="164" t="e">
        <v>#REF!</v>
      </c>
      <c r="U106" s="164" t="e">
        <v>#REF!</v>
      </c>
      <c r="V106" s="103"/>
      <c r="W106" s="103"/>
      <c r="X106" s="103"/>
      <c r="Y106" s="157"/>
      <c r="Z106" s="157"/>
    </row>
    <row r="107" spans="1:26">
      <c r="A107" s="111" t="s">
        <v>1917</v>
      </c>
      <c r="B107" s="112" t="s">
        <v>1918</v>
      </c>
      <c r="C107" s="116"/>
      <c r="D107" s="114" t="s">
        <v>478</v>
      </c>
      <c r="E107" s="114" t="s">
        <v>478</v>
      </c>
      <c r="F107" s="80">
        <v>44980</v>
      </c>
      <c r="G107" s="115" t="s">
        <v>895</v>
      </c>
      <c r="H107" s="116"/>
      <c r="I107" s="116"/>
      <c r="J107" s="116"/>
      <c r="K107" s="114" t="s">
        <v>18</v>
      </c>
      <c r="L107" s="114" t="s">
        <v>481</v>
      </c>
      <c r="M107" s="116"/>
      <c r="N107" s="114" t="s">
        <v>47</v>
      </c>
      <c r="O107" s="116"/>
      <c r="P107" s="116"/>
      <c r="Q107" s="114" t="s">
        <v>550</v>
      </c>
      <c r="R107" s="80">
        <v>45033</v>
      </c>
      <c r="S107" s="112" t="s">
        <v>1873</v>
      </c>
      <c r="T107" s="103"/>
      <c r="U107" s="103"/>
      <c r="V107" s="103"/>
      <c r="W107" s="103"/>
      <c r="X107" s="103"/>
      <c r="Y107" s="157"/>
      <c r="Z107" s="157"/>
    </row>
    <row r="108" spans="1:26">
      <c r="A108" s="111" t="s">
        <v>1919</v>
      </c>
      <c r="B108" s="112" t="s">
        <v>1920</v>
      </c>
      <c r="C108" s="112" t="s">
        <v>469</v>
      </c>
      <c r="D108" s="114" t="s">
        <v>1921</v>
      </c>
      <c r="E108" s="114" t="s">
        <v>1922</v>
      </c>
      <c r="F108" s="80">
        <v>44985</v>
      </c>
      <c r="G108" s="115" t="s">
        <v>895</v>
      </c>
      <c r="H108" s="116"/>
      <c r="I108" s="116"/>
      <c r="J108" s="116"/>
      <c r="K108" s="114" t="s">
        <v>30</v>
      </c>
      <c r="L108" s="114" t="s">
        <v>1543</v>
      </c>
      <c r="M108" s="116"/>
      <c r="N108" s="114" t="s">
        <v>47</v>
      </c>
      <c r="O108" s="116"/>
      <c r="P108" s="116"/>
      <c r="Q108" s="115" t="s">
        <v>1923</v>
      </c>
      <c r="R108" s="80">
        <v>45174</v>
      </c>
      <c r="S108" s="112" t="s">
        <v>1924</v>
      </c>
      <c r="T108" s="164" t="e">
        <v>#REF!</v>
      </c>
      <c r="U108" s="164" t="e">
        <v>#REF!</v>
      </c>
      <c r="V108" s="103"/>
      <c r="W108" s="103"/>
      <c r="X108" s="103"/>
      <c r="Y108" s="157"/>
      <c r="Z108" s="157"/>
    </row>
    <row r="109" spans="1:26">
      <c r="A109" s="111" t="s">
        <v>1925</v>
      </c>
      <c r="B109" s="112" t="s">
        <v>1926</v>
      </c>
      <c r="C109" s="112" t="s">
        <v>469</v>
      </c>
      <c r="D109" s="114" t="s">
        <v>478</v>
      </c>
      <c r="E109" s="114" t="s">
        <v>478</v>
      </c>
      <c r="F109" s="80">
        <v>44992</v>
      </c>
      <c r="G109" s="115" t="s">
        <v>895</v>
      </c>
      <c r="H109" s="116"/>
      <c r="I109" s="116"/>
      <c r="J109" s="116"/>
      <c r="K109" s="114" t="s">
        <v>18</v>
      </c>
      <c r="L109" s="114" t="s">
        <v>481</v>
      </c>
      <c r="M109" s="116"/>
      <c r="N109" s="114" t="s">
        <v>47</v>
      </c>
      <c r="O109" s="116"/>
      <c r="P109" s="116"/>
      <c r="Q109" s="114" t="s">
        <v>550</v>
      </c>
      <c r="R109" s="80">
        <v>45141</v>
      </c>
      <c r="S109" s="116"/>
      <c r="T109" s="164" t="e">
        <v>#REF!</v>
      </c>
      <c r="U109" s="164" t="e">
        <v>#REF!</v>
      </c>
      <c r="V109" s="103"/>
      <c r="W109" s="103"/>
      <c r="X109" s="103"/>
      <c r="Y109" s="157"/>
      <c r="Z109" s="157"/>
    </row>
    <row r="110" spans="1:26">
      <c r="A110" s="119" t="s">
        <v>785</v>
      </c>
      <c r="B110" s="120" t="s">
        <v>786</v>
      </c>
      <c r="C110" s="120" t="s">
        <v>469</v>
      </c>
      <c r="D110" s="42" t="s">
        <v>478</v>
      </c>
      <c r="E110" s="42" t="s">
        <v>478</v>
      </c>
      <c r="F110" s="39">
        <v>44994</v>
      </c>
      <c r="G110" s="122" t="s">
        <v>787</v>
      </c>
      <c r="H110" s="39">
        <v>45561</v>
      </c>
      <c r="I110" s="39">
        <v>45572</v>
      </c>
      <c r="J110" s="123"/>
      <c r="K110" s="114" t="s">
        <v>30</v>
      </c>
      <c r="L110" s="42" t="s">
        <v>1543</v>
      </c>
      <c r="M110" s="123"/>
      <c r="N110" s="42" t="s">
        <v>27</v>
      </c>
      <c r="O110" s="122" t="s">
        <v>743</v>
      </c>
      <c r="P110" s="42" t="s">
        <v>744</v>
      </c>
      <c r="Q110" s="115" t="s">
        <v>745</v>
      </c>
      <c r="R110" s="39">
        <v>45572</v>
      </c>
      <c r="S110" s="120" t="s">
        <v>1927</v>
      </c>
      <c r="T110" s="103"/>
      <c r="U110" s="103"/>
      <c r="V110" s="103"/>
      <c r="W110" s="103"/>
      <c r="X110" s="103"/>
      <c r="Y110" s="157"/>
      <c r="Z110" s="157"/>
    </row>
    <row r="111" spans="1:26">
      <c r="A111" s="111" t="s">
        <v>1928</v>
      </c>
      <c r="B111" s="112" t="s">
        <v>1929</v>
      </c>
      <c r="C111" s="112" t="s">
        <v>469</v>
      </c>
      <c r="D111" s="114" t="s">
        <v>478</v>
      </c>
      <c r="E111" s="114" t="s">
        <v>478</v>
      </c>
      <c r="F111" s="80">
        <v>44994</v>
      </c>
      <c r="G111" s="115" t="s">
        <v>1930</v>
      </c>
      <c r="H111" s="190">
        <v>45106</v>
      </c>
      <c r="I111" s="80">
        <v>45148</v>
      </c>
      <c r="J111" s="124">
        <v>45188</v>
      </c>
      <c r="K111" s="114" t="s">
        <v>30</v>
      </c>
      <c r="L111" s="114" t="s">
        <v>1326</v>
      </c>
      <c r="M111" s="116"/>
      <c r="N111" s="114" t="s">
        <v>20</v>
      </c>
      <c r="O111" s="114" t="s">
        <v>803</v>
      </c>
      <c r="P111" s="115" t="s">
        <v>519</v>
      </c>
      <c r="Q111" s="114" t="s">
        <v>491</v>
      </c>
      <c r="R111" s="80">
        <v>45499</v>
      </c>
      <c r="S111" s="112" t="s">
        <v>1931</v>
      </c>
      <c r="T111" s="103"/>
      <c r="U111" s="103"/>
      <c r="V111" s="103"/>
      <c r="W111" s="103"/>
      <c r="X111" s="103"/>
      <c r="Y111" s="157"/>
      <c r="Z111" s="157"/>
    </row>
    <row r="112" spans="1:26">
      <c r="A112" s="111" t="s">
        <v>1932</v>
      </c>
      <c r="B112" s="112" t="s">
        <v>1933</v>
      </c>
      <c r="C112" s="112" t="s">
        <v>469</v>
      </c>
      <c r="D112" s="114" t="s">
        <v>478</v>
      </c>
      <c r="E112" s="114" t="s">
        <v>478</v>
      </c>
      <c r="F112" s="80">
        <v>45001</v>
      </c>
      <c r="G112" s="115" t="s">
        <v>895</v>
      </c>
      <c r="H112" s="116"/>
      <c r="I112" s="116"/>
      <c r="J112" s="116"/>
      <c r="K112" s="114" t="s">
        <v>18</v>
      </c>
      <c r="L112" s="114" t="s">
        <v>481</v>
      </c>
      <c r="M112" s="116"/>
      <c r="N112" s="114" t="s">
        <v>47</v>
      </c>
      <c r="O112" s="116"/>
      <c r="P112" s="116"/>
      <c r="Q112" s="114" t="s">
        <v>521</v>
      </c>
      <c r="R112" s="80">
        <v>45058</v>
      </c>
      <c r="S112" s="112" t="s">
        <v>1934</v>
      </c>
      <c r="T112" s="103"/>
      <c r="U112" s="103"/>
      <c r="V112" s="103"/>
      <c r="W112" s="103"/>
      <c r="X112" s="103"/>
      <c r="Y112" s="157"/>
      <c r="Z112" s="157"/>
    </row>
    <row r="113" spans="1:26">
      <c r="A113" s="111" t="s">
        <v>1935</v>
      </c>
      <c r="B113" s="112" t="s">
        <v>1936</v>
      </c>
      <c r="C113" s="112" t="s">
        <v>624</v>
      </c>
      <c r="D113" s="114" t="s">
        <v>1241</v>
      </c>
      <c r="E113" s="114" t="s">
        <v>479</v>
      </c>
      <c r="F113" s="80">
        <v>45002</v>
      </c>
      <c r="G113" s="115" t="s">
        <v>1937</v>
      </c>
      <c r="H113" s="116"/>
      <c r="I113" s="116"/>
      <c r="J113" s="116"/>
      <c r="K113" s="114" t="s">
        <v>30</v>
      </c>
      <c r="L113" s="114" t="s">
        <v>1543</v>
      </c>
      <c r="M113" s="116"/>
      <c r="N113" s="114" t="s">
        <v>47</v>
      </c>
      <c r="O113" s="116"/>
      <c r="P113" s="116"/>
      <c r="Q113" s="115" t="s">
        <v>550</v>
      </c>
      <c r="R113" s="80">
        <v>45147</v>
      </c>
      <c r="S113" s="112" t="s">
        <v>1938</v>
      </c>
      <c r="T113" s="103"/>
      <c r="U113" s="103"/>
      <c r="V113" s="103"/>
      <c r="W113" s="103"/>
      <c r="X113" s="103"/>
      <c r="Y113" s="157"/>
      <c r="Z113" s="157"/>
    </row>
    <row r="114" spans="1:26">
      <c r="A114" s="111" t="s">
        <v>1939</v>
      </c>
      <c r="B114" s="112" t="s">
        <v>1940</v>
      </c>
      <c r="C114" s="112" t="s">
        <v>1390</v>
      </c>
      <c r="D114" s="114" t="s">
        <v>478</v>
      </c>
      <c r="E114" s="114" t="s">
        <v>478</v>
      </c>
      <c r="F114" s="80">
        <v>45002</v>
      </c>
      <c r="G114" s="115" t="s">
        <v>895</v>
      </c>
      <c r="H114" s="116"/>
      <c r="I114" s="116"/>
      <c r="J114" s="116"/>
      <c r="K114" s="114" t="s">
        <v>30</v>
      </c>
      <c r="L114" s="114" t="s">
        <v>481</v>
      </c>
      <c r="M114" s="116"/>
      <c r="N114" s="114" t="s">
        <v>47</v>
      </c>
      <c r="O114" s="116"/>
      <c r="P114" s="116"/>
      <c r="Q114" s="115" t="s">
        <v>645</v>
      </c>
      <c r="R114" s="80">
        <v>45036</v>
      </c>
      <c r="S114" s="116"/>
      <c r="T114" s="103"/>
      <c r="U114" s="103"/>
      <c r="V114" s="103"/>
      <c r="W114" s="103"/>
      <c r="X114" s="103"/>
      <c r="Y114" s="157"/>
      <c r="Z114" s="157"/>
    </row>
    <row r="115" spans="1:26">
      <c r="A115" s="119" t="s">
        <v>1941</v>
      </c>
      <c r="B115" s="120" t="s">
        <v>1942</v>
      </c>
      <c r="C115" s="120" t="s">
        <v>546</v>
      </c>
      <c r="D115" s="42" t="s">
        <v>478</v>
      </c>
      <c r="E115" s="42" t="s">
        <v>478</v>
      </c>
      <c r="F115" s="39">
        <v>45002</v>
      </c>
      <c r="G115" s="122" t="s">
        <v>895</v>
      </c>
      <c r="H115" s="39">
        <v>45266</v>
      </c>
      <c r="I115" s="39">
        <v>45267</v>
      </c>
      <c r="J115" s="45">
        <v>45327</v>
      </c>
      <c r="K115" s="42" t="s">
        <v>18</v>
      </c>
      <c r="L115" s="42" t="s">
        <v>1543</v>
      </c>
      <c r="M115" s="123"/>
      <c r="N115" s="42" t="s">
        <v>20</v>
      </c>
      <c r="O115" s="122" t="s">
        <v>627</v>
      </c>
      <c r="P115" s="122" t="s">
        <v>1385</v>
      </c>
      <c r="Q115" s="115" t="s">
        <v>491</v>
      </c>
      <c r="R115" s="90">
        <v>45589</v>
      </c>
      <c r="S115" s="120" t="s">
        <v>1943</v>
      </c>
      <c r="T115" s="103"/>
      <c r="U115" s="103"/>
      <c r="V115" s="103"/>
      <c r="W115" s="103"/>
      <c r="X115" s="103"/>
      <c r="Y115" s="157"/>
      <c r="Z115" s="157"/>
    </row>
    <row r="116" spans="1:26">
      <c r="A116" s="111" t="s">
        <v>1944</v>
      </c>
      <c r="B116" s="112" t="s">
        <v>1945</v>
      </c>
      <c r="C116" s="112" t="s">
        <v>624</v>
      </c>
      <c r="D116" s="114" t="s">
        <v>478</v>
      </c>
      <c r="E116" s="114" t="s">
        <v>479</v>
      </c>
      <c r="F116" s="80">
        <v>45002</v>
      </c>
      <c r="G116" s="115" t="s">
        <v>1946</v>
      </c>
      <c r="H116" s="116"/>
      <c r="I116" s="116"/>
      <c r="J116" s="116"/>
      <c r="K116" s="114" t="s">
        <v>18</v>
      </c>
      <c r="L116" s="114" t="s">
        <v>1543</v>
      </c>
      <c r="M116" s="116"/>
      <c r="N116" s="114" t="s">
        <v>47</v>
      </c>
      <c r="O116" s="114" t="s">
        <v>997</v>
      </c>
      <c r="P116" s="115" t="s">
        <v>706</v>
      </c>
      <c r="Q116" s="115" t="s">
        <v>485</v>
      </c>
      <c r="R116" s="80">
        <v>45118</v>
      </c>
      <c r="S116" s="112" t="s">
        <v>1947</v>
      </c>
      <c r="T116" s="103"/>
      <c r="U116" s="103"/>
      <c r="V116" s="103"/>
      <c r="W116" s="103"/>
      <c r="X116" s="103"/>
      <c r="Y116" s="157"/>
      <c r="Z116" s="157"/>
    </row>
    <row r="117" spans="1:26">
      <c r="A117" s="111" t="s">
        <v>1948</v>
      </c>
      <c r="B117" s="112" t="s">
        <v>1949</v>
      </c>
      <c r="C117" s="112" t="s">
        <v>469</v>
      </c>
      <c r="D117" s="114" t="s">
        <v>478</v>
      </c>
      <c r="E117" s="114" t="s">
        <v>478</v>
      </c>
      <c r="F117" s="80">
        <v>45002</v>
      </c>
      <c r="G117" s="115" t="s">
        <v>1950</v>
      </c>
      <c r="H117" s="115" t="s">
        <v>820</v>
      </c>
      <c r="I117" s="80">
        <v>45149</v>
      </c>
      <c r="J117" s="115" t="s">
        <v>1951</v>
      </c>
      <c r="K117" s="114" t="s">
        <v>18</v>
      </c>
      <c r="L117" s="114" t="s">
        <v>1326</v>
      </c>
      <c r="M117" s="116"/>
      <c r="N117" s="114" t="s">
        <v>20</v>
      </c>
      <c r="O117" s="115" t="s">
        <v>519</v>
      </c>
      <c r="P117" s="114" t="s">
        <v>803</v>
      </c>
      <c r="Q117" s="114" t="s">
        <v>491</v>
      </c>
      <c r="R117" s="80">
        <v>45498</v>
      </c>
      <c r="S117" s="112" t="s">
        <v>1952</v>
      </c>
      <c r="T117" s="103"/>
      <c r="U117" s="103"/>
      <c r="V117" s="103"/>
      <c r="W117" s="103"/>
      <c r="X117" s="103"/>
      <c r="Y117" s="157"/>
      <c r="Z117" s="157"/>
    </row>
    <row r="118" spans="1:26">
      <c r="A118" s="111" t="s">
        <v>1953</v>
      </c>
      <c r="B118" s="112" t="s">
        <v>1954</v>
      </c>
      <c r="C118" s="112" t="s">
        <v>546</v>
      </c>
      <c r="D118" s="114" t="s">
        <v>478</v>
      </c>
      <c r="E118" s="114" t="s">
        <v>1955</v>
      </c>
      <c r="F118" s="80">
        <v>45005</v>
      </c>
      <c r="G118" s="115" t="s">
        <v>1956</v>
      </c>
      <c r="H118" s="115" t="s">
        <v>820</v>
      </c>
      <c r="I118" s="80">
        <v>45015</v>
      </c>
      <c r="J118" s="114" t="s">
        <v>820</v>
      </c>
      <c r="K118" s="114" t="s">
        <v>18</v>
      </c>
      <c r="L118" s="114" t="s">
        <v>473</v>
      </c>
      <c r="M118" s="116"/>
      <c r="N118" s="114" t="s">
        <v>47</v>
      </c>
      <c r="O118" s="114" t="s">
        <v>490</v>
      </c>
      <c r="P118" s="114" t="s">
        <v>490</v>
      </c>
      <c r="Q118" s="114" t="s">
        <v>689</v>
      </c>
      <c r="R118" s="80">
        <v>45071</v>
      </c>
      <c r="S118" s="112" t="s">
        <v>1957</v>
      </c>
      <c r="T118" s="164" t="e">
        <v>#REF!</v>
      </c>
      <c r="U118" s="164" t="e">
        <v>#REF!</v>
      </c>
      <c r="V118" s="103"/>
      <c r="W118" s="103"/>
      <c r="X118" s="103"/>
      <c r="Y118" s="157"/>
      <c r="Z118" s="157"/>
    </row>
    <row r="119" spans="1:26">
      <c r="A119" s="111" t="s">
        <v>1958</v>
      </c>
      <c r="B119" s="112" t="s">
        <v>1959</v>
      </c>
      <c r="C119" s="112" t="s">
        <v>546</v>
      </c>
      <c r="D119" s="114" t="s">
        <v>478</v>
      </c>
      <c r="E119" s="114" t="s">
        <v>1960</v>
      </c>
      <c r="F119" s="80">
        <v>45005</v>
      </c>
      <c r="G119" s="115" t="s">
        <v>1961</v>
      </c>
      <c r="H119" s="115" t="s">
        <v>820</v>
      </c>
      <c r="I119" s="80">
        <v>45015</v>
      </c>
      <c r="J119" s="124">
        <v>45029</v>
      </c>
      <c r="K119" s="114" t="s">
        <v>18</v>
      </c>
      <c r="L119" s="114" t="s">
        <v>473</v>
      </c>
      <c r="M119" s="116"/>
      <c r="N119" s="114" t="s">
        <v>47</v>
      </c>
      <c r="O119" s="114" t="s">
        <v>490</v>
      </c>
      <c r="P119" s="114" t="s">
        <v>490</v>
      </c>
      <c r="Q119" s="114" t="s">
        <v>689</v>
      </c>
      <c r="R119" s="80">
        <v>45089</v>
      </c>
      <c r="S119" s="112" t="s">
        <v>1962</v>
      </c>
      <c r="T119" s="164" t="e">
        <v>#REF!</v>
      </c>
      <c r="U119" s="164" t="e">
        <v>#REF!</v>
      </c>
      <c r="V119" s="103"/>
      <c r="W119" s="103"/>
      <c r="X119" s="103"/>
      <c r="Y119" s="157"/>
      <c r="Z119" s="157"/>
    </row>
    <row r="120" spans="1:26">
      <c r="A120" s="111" t="s">
        <v>1963</v>
      </c>
      <c r="B120" s="112" t="s">
        <v>1964</v>
      </c>
      <c r="C120" s="112" t="s">
        <v>546</v>
      </c>
      <c r="D120" s="114" t="s">
        <v>478</v>
      </c>
      <c r="E120" s="114" t="s">
        <v>1965</v>
      </c>
      <c r="F120" s="80">
        <v>45005</v>
      </c>
      <c r="G120" s="115" t="s">
        <v>1966</v>
      </c>
      <c r="H120" s="115" t="s">
        <v>820</v>
      </c>
      <c r="I120" s="80">
        <v>45015</v>
      </c>
      <c r="J120" s="114" t="s">
        <v>820</v>
      </c>
      <c r="K120" s="114" t="s">
        <v>18</v>
      </c>
      <c r="L120" s="114" t="s">
        <v>473</v>
      </c>
      <c r="M120" s="116"/>
      <c r="N120" s="114" t="s">
        <v>47</v>
      </c>
      <c r="O120" s="114" t="s">
        <v>490</v>
      </c>
      <c r="P120" s="114" t="s">
        <v>490</v>
      </c>
      <c r="Q120" s="114" t="s">
        <v>689</v>
      </c>
      <c r="R120" s="80">
        <v>45061</v>
      </c>
      <c r="S120" s="112" t="s">
        <v>1962</v>
      </c>
      <c r="T120" s="164" t="e">
        <v>#REF!</v>
      </c>
      <c r="U120" s="164" t="e">
        <v>#REF!</v>
      </c>
      <c r="V120" s="103"/>
      <c r="W120" s="103"/>
      <c r="X120" s="103"/>
      <c r="Y120" s="157"/>
      <c r="Z120" s="157"/>
    </row>
    <row r="121" spans="1:26">
      <c r="A121" s="111" t="s">
        <v>1967</v>
      </c>
      <c r="B121" s="112" t="s">
        <v>1968</v>
      </c>
      <c r="C121" s="112" t="s">
        <v>546</v>
      </c>
      <c r="D121" s="114" t="s">
        <v>478</v>
      </c>
      <c r="E121" s="114" t="s">
        <v>1092</v>
      </c>
      <c r="F121" s="80">
        <v>45005</v>
      </c>
      <c r="G121" s="115" t="s">
        <v>1969</v>
      </c>
      <c r="H121" s="115" t="s">
        <v>820</v>
      </c>
      <c r="I121" s="80">
        <v>45015</v>
      </c>
      <c r="J121" s="114" t="s">
        <v>820</v>
      </c>
      <c r="K121" s="114" t="s">
        <v>18</v>
      </c>
      <c r="L121" s="114" t="s">
        <v>473</v>
      </c>
      <c r="M121" s="116"/>
      <c r="N121" s="114" t="s">
        <v>47</v>
      </c>
      <c r="O121" s="114" t="s">
        <v>490</v>
      </c>
      <c r="P121" s="114" t="s">
        <v>490</v>
      </c>
      <c r="Q121" s="114" t="s">
        <v>689</v>
      </c>
      <c r="R121" s="80">
        <v>45034</v>
      </c>
      <c r="S121" s="112" t="s">
        <v>1962</v>
      </c>
      <c r="T121" s="164" t="e">
        <v>#REF!</v>
      </c>
      <c r="U121" s="164" t="e">
        <v>#REF!</v>
      </c>
      <c r="V121" s="103"/>
      <c r="W121" s="103"/>
      <c r="X121" s="103"/>
      <c r="Y121" s="157"/>
      <c r="Z121" s="157"/>
    </row>
    <row r="122" spans="1:26">
      <c r="A122" s="111" t="s">
        <v>1970</v>
      </c>
      <c r="B122" s="112" t="s">
        <v>1971</v>
      </c>
      <c r="C122" s="116"/>
      <c r="D122" s="114" t="s">
        <v>478</v>
      </c>
      <c r="E122" s="114" t="s">
        <v>479</v>
      </c>
      <c r="F122" s="80">
        <v>45007</v>
      </c>
      <c r="G122" s="115" t="s">
        <v>895</v>
      </c>
      <c r="H122" s="116"/>
      <c r="I122" s="116"/>
      <c r="J122" s="116"/>
      <c r="K122" s="114" t="s">
        <v>18</v>
      </c>
      <c r="L122" s="114" t="s">
        <v>1567</v>
      </c>
      <c r="M122" s="116"/>
      <c r="N122" s="114" t="s">
        <v>47</v>
      </c>
      <c r="O122" s="116"/>
      <c r="P122" s="116"/>
      <c r="Q122" s="114" t="s">
        <v>950</v>
      </c>
      <c r="R122" s="80">
        <v>45029</v>
      </c>
      <c r="S122" s="116"/>
      <c r="T122" s="164" t="e">
        <v>#REF!</v>
      </c>
      <c r="U122" s="164" t="e">
        <v>#REF!</v>
      </c>
      <c r="V122" s="103"/>
      <c r="W122" s="103"/>
      <c r="X122" s="103"/>
      <c r="Y122" s="157"/>
      <c r="Z122" s="157"/>
    </row>
    <row r="123" spans="1:26">
      <c r="A123" s="119" t="s">
        <v>739</v>
      </c>
      <c r="B123" s="120" t="s">
        <v>740</v>
      </c>
      <c r="C123" s="120" t="s">
        <v>469</v>
      </c>
      <c r="D123" s="42" t="s">
        <v>478</v>
      </c>
      <c r="E123" s="42" t="s">
        <v>741</v>
      </c>
      <c r="F123" s="39">
        <v>45007</v>
      </c>
      <c r="G123" s="122" t="s">
        <v>742</v>
      </c>
      <c r="H123" s="39">
        <v>45546</v>
      </c>
      <c r="I123" s="39">
        <v>45540</v>
      </c>
      <c r="J123" s="123"/>
      <c r="K123" s="114" t="s">
        <v>30</v>
      </c>
      <c r="L123" s="114" t="s">
        <v>481</v>
      </c>
      <c r="M123" s="123"/>
      <c r="N123" s="42" t="s">
        <v>996</v>
      </c>
      <c r="O123" s="42" t="s">
        <v>743</v>
      </c>
      <c r="P123" s="42" t="s">
        <v>744</v>
      </c>
      <c r="Q123" s="115" t="s">
        <v>745</v>
      </c>
      <c r="R123" s="90">
        <v>45582</v>
      </c>
      <c r="S123" s="120" t="s">
        <v>1972</v>
      </c>
      <c r="T123" s="103"/>
      <c r="U123" s="103"/>
      <c r="V123" s="103"/>
      <c r="W123" s="103"/>
      <c r="X123" s="103"/>
      <c r="Y123" s="157"/>
      <c r="Z123" s="157"/>
    </row>
    <row r="124" spans="1:26">
      <c r="A124" s="111" t="s">
        <v>1973</v>
      </c>
      <c r="B124" s="112" t="s">
        <v>1974</v>
      </c>
      <c r="C124" s="112" t="s">
        <v>469</v>
      </c>
      <c r="D124" s="114" t="s">
        <v>478</v>
      </c>
      <c r="E124" s="114" t="s">
        <v>516</v>
      </c>
      <c r="F124" s="80">
        <v>45009</v>
      </c>
      <c r="G124" s="115" t="s">
        <v>1975</v>
      </c>
      <c r="H124" s="190">
        <v>45402</v>
      </c>
      <c r="I124" s="80">
        <v>45036</v>
      </c>
      <c r="J124" s="114" t="s">
        <v>1976</v>
      </c>
      <c r="K124" s="114" t="s">
        <v>18</v>
      </c>
      <c r="L124" s="114" t="s">
        <v>473</v>
      </c>
      <c r="M124" s="116"/>
      <c r="N124" s="114" t="s">
        <v>20</v>
      </c>
      <c r="O124" s="115" t="s">
        <v>627</v>
      </c>
      <c r="P124" s="115" t="s">
        <v>1977</v>
      </c>
      <c r="Q124" s="114" t="s">
        <v>491</v>
      </c>
      <c r="R124" s="80">
        <v>45499</v>
      </c>
      <c r="S124" s="112" t="s">
        <v>1978</v>
      </c>
      <c r="T124" s="103"/>
      <c r="U124" s="103"/>
      <c r="V124" s="103"/>
      <c r="W124" s="103"/>
      <c r="X124" s="103"/>
      <c r="Y124" s="157"/>
      <c r="Z124" s="157"/>
    </row>
    <row r="125" spans="1:26">
      <c r="A125" s="119" t="s">
        <v>1979</v>
      </c>
      <c r="B125" s="112" t="s">
        <v>1980</v>
      </c>
      <c r="C125" s="112" t="s">
        <v>1981</v>
      </c>
      <c r="D125" s="114" t="s">
        <v>478</v>
      </c>
      <c r="E125" s="114" t="s">
        <v>516</v>
      </c>
      <c r="F125" s="80">
        <v>45009</v>
      </c>
      <c r="G125" s="115" t="s">
        <v>1982</v>
      </c>
      <c r="H125" s="115" t="s">
        <v>820</v>
      </c>
      <c r="I125" s="80">
        <v>45121</v>
      </c>
      <c r="J125" s="124">
        <v>45194</v>
      </c>
      <c r="K125" s="114" t="s">
        <v>18</v>
      </c>
      <c r="L125" s="114" t="s">
        <v>1543</v>
      </c>
      <c r="M125" s="116"/>
      <c r="N125" s="114" t="s">
        <v>20</v>
      </c>
      <c r="O125" s="115" t="s">
        <v>519</v>
      </c>
      <c r="P125" s="114" t="s">
        <v>803</v>
      </c>
      <c r="Q125" s="115" t="s">
        <v>491</v>
      </c>
      <c r="R125" s="80">
        <v>45499</v>
      </c>
      <c r="S125" s="112" t="s">
        <v>1983</v>
      </c>
      <c r="T125" s="164" t="e">
        <v>#REF!</v>
      </c>
      <c r="U125" s="164" t="e">
        <v>#REF!</v>
      </c>
      <c r="V125" s="103"/>
      <c r="W125" s="103"/>
      <c r="X125" s="103"/>
      <c r="Y125" s="157"/>
      <c r="Z125" s="157"/>
    </row>
    <row r="126" spans="1:26">
      <c r="A126" s="111" t="s">
        <v>1984</v>
      </c>
      <c r="B126" s="112" t="s">
        <v>1985</v>
      </c>
      <c r="C126" s="113" t="s">
        <v>1390</v>
      </c>
      <c r="D126" s="114" t="s">
        <v>478</v>
      </c>
      <c r="E126" s="114" t="s">
        <v>479</v>
      </c>
      <c r="F126" s="80">
        <v>45014</v>
      </c>
      <c r="G126" s="115" t="s">
        <v>1986</v>
      </c>
      <c r="H126" s="116"/>
      <c r="I126" s="116"/>
      <c r="J126" s="116"/>
      <c r="K126" s="114" t="s">
        <v>18</v>
      </c>
      <c r="L126" s="114" t="s">
        <v>473</v>
      </c>
      <c r="M126" s="116"/>
      <c r="N126" s="114" t="s">
        <v>47</v>
      </c>
      <c r="O126" s="116"/>
      <c r="P126" s="116"/>
      <c r="Q126" s="114" t="s">
        <v>950</v>
      </c>
      <c r="R126" s="80">
        <v>45070</v>
      </c>
      <c r="S126" s="116"/>
      <c r="T126" s="103"/>
      <c r="U126" s="103"/>
      <c r="V126" s="103"/>
      <c r="W126" s="103"/>
      <c r="X126" s="103"/>
      <c r="Y126" s="157"/>
      <c r="Z126" s="157"/>
    </row>
    <row r="127" spans="1:26">
      <c r="A127" s="111" t="s">
        <v>1987</v>
      </c>
      <c r="B127" s="112" t="s">
        <v>1988</v>
      </c>
      <c r="C127" s="112" t="s">
        <v>1390</v>
      </c>
      <c r="D127" s="114" t="s">
        <v>1989</v>
      </c>
      <c r="E127" s="114" t="s">
        <v>479</v>
      </c>
      <c r="F127" s="80">
        <v>45005</v>
      </c>
      <c r="G127" s="115" t="s">
        <v>1990</v>
      </c>
      <c r="H127" s="115" t="s">
        <v>820</v>
      </c>
      <c r="I127" s="115" t="s">
        <v>1626</v>
      </c>
      <c r="J127" s="115" t="s">
        <v>556</v>
      </c>
      <c r="K127" s="114" t="s">
        <v>18</v>
      </c>
      <c r="L127" s="114" t="s">
        <v>473</v>
      </c>
      <c r="M127" s="116"/>
      <c r="N127" s="114" t="s">
        <v>47</v>
      </c>
      <c r="O127" s="114" t="s">
        <v>1991</v>
      </c>
      <c r="P127" s="116"/>
      <c r="Q127" s="115" t="s">
        <v>950</v>
      </c>
      <c r="R127" s="80">
        <v>45082</v>
      </c>
      <c r="S127" s="116"/>
      <c r="T127" s="103"/>
      <c r="U127" s="103"/>
      <c r="V127" s="103"/>
      <c r="W127" s="103"/>
      <c r="X127" s="103"/>
      <c r="Y127" s="157"/>
      <c r="Z127" s="157"/>
    </row>
    <row r="128" spans="1:26">
      <c r="A128" s="111" t="s">
        <v>1992</v>
      </c>
      <c r="B128" s="112" t="s">
        <v>1993</v>
      </c>
      <c r="C128" s="120" t="s">
        <v>624</v>
      </c>
      <c r="D128" s="114" t="s">
        <v>1241</v>
      </c>
      <c r="E128" s="114" t="s">
        <v>479</v>
      </c>
      <c r="F128" s="80">
        <v>45002</v>
      </c>
      <c r="G128" s="115" t="s">
        <v>1994</v>
      </c>
      <c r="H128" s="116"/>
      <c r="I128" s="116"/>
      <c r="J128" s="116"/>
      <c r="K128" s="114" t="s">
        <v>30</v>
      </c>
      <c r="L128" s="114" t="s">
        <v>1543</v>
      </c>
      <c r="M128" s="116"/>
      <c r="N128" s="114" t="s">
        <v>47</v>
      </c>
      <c r="O128" s="176" t="s">
        <v>874</v>
      </c>
      <c r="P128" s="188" t="s">
        <v>1254</v>
      </c>
      <c r="Q128" s="114" t="s">
        <v>1995</v>
      </c>
      <c r="R128" s="80">
        <v>45091</v>
      </c>
      <c r="S128" s="112" t="s">
        <v>1996</v>
      </c>
      <c r="T128" s="103"/>
      <c r="U128" s="103"/>
      <c r="V128" s="103"/>
      <c r="W128" s="103"/>
      <c r="X128" s="103"/>
      <c r="Y128" s="157"/>
      <c r="Z128" s="157"/>
    </row>
    <row r="129" spans="1:26">
      <c r="A129" s="119" t="s">
        <v>1997</v>
      </c>
      <c r="B129" s="112" t="s">
        <v>1998</v>
      </c>
      <c r="C129" s="112" t="s">
        <v>1390</v>
      </c>
      <c r="D129" s="114" t="s">
        <v>478</v>
      </c>
      <c r="E129" s="114" t="s">
        <v>479</v>
      </c>
      <c r="F129" s="80">
        <v>45002</v>
      </c>
      <c r="G129" s="115" t="s">
        <v>1999</v>
      </c>
      <c r="H129" s="116"/>
      <c r="I129" s="116"/>
      <c r="J129" s="116"/>
      <c r="K129" s="114" t="s">
        <v>18</v>
      </c>
      <c r="L129" s="114" t="s">
        <v>473</v>
      </c>
      <c r="M129" s="116"/>
      <c r="N129" s="114" t="s">
        <v>47</v>
      </c>
      <c r="O129" s="114" t="s">
        <v>1752</v>
      </c>
      <c r="P129" s="115" t="s">
        <v>627</v>
      </c>
      <c r="Q129" s="115" t="s">
        <v>950</v>
      </c>
      <c r="R129" s="80">
        <v>45040</v>
      </c>
      <c r="S129" s="116"/>
      <c r="T129" s="103"/>
      <c r="U129" s="103"/>
      <c r="V129" s="103"/>
      <c r="W129" s="103"/>
      <c r="X129" s="103"/>
      <c r="Y129" s="157"/>
      <c r="Z129" s="157"/>
    </row>
    <row r="130" spans="1:26">
      <c r="A130" s="119" t="s">
        <v>2000</v>
      </c>
      <c r="B130" s="112" t="s">
        <v>2001</v>
      </c>
      <c r="C130" s="112" t="s">
        <v>1640</v>
      </c>
      <c r="D130" s="114" t="s">
        <v>478</v>
      </c>
      <c r="E130" s="114" t="s">
        <v>2002</v>
      </c>
      <c r="F130" s="80">
        <v>45028</v>
      </c>
      <c r="G130" s="115" t="s">
        <v>2003</v>
      </c>
      <c r="H130" s="190">
        <v>45104</v>
      </c>
      <c r="I130" s="80">
        <v>45121</v>
      </c>
      <c r="J130" s="124">
        <v>45139</v>
      </c>
      <c r="K130" s="114" t="s">
        <v>18</v>
      </c>
      <c r="L130" s="114" t="s">
        <v>1543</v>
      </c>
      <c r="M130" s="116"/>
      <c r="N130" s="114" t="s">
        <v>20</v>
      </c>
      <c r="O130" s="114" t="s">
        <v>570</v>
      </c>
      <c r="P130" s="114" t="s">
        <v>571</v>
      </c>
      <c r="Q130" s="114" t="s">
        <v>491</v>
      </c>
      <c r="R130" s="80">
        <v>45499</v>
      </c>
      <c r="S130" s="112" t="s">
        <v>2004</v>
      </c>
      <c r="T130" s="103"/>
      <c r="U130" s="103"/>
      <c r="V130" s="103"/>
      <c r="W130" s="103"/>
      <c r="X130" s="103"/>
      <c r="Y130" s="157"/>
      <c r="Z130" s="157"/>
    </row>
    <row r="131" spans="1:26">
      <c r="A131" s="119" t="s">
        <v>2005</v>
      </c>
      <c r="B131" s="112" t="s">
        <v>2006</v>
      </c>
      <c r="C131" s="112" t="s">
        <v>1640</v>
      </c>
      <c r="D131" s="114" t="s">
        <v>2007</v>
      </c>
      <c r="E131" s="114" t="s">
        <v>479</v>
      </c>
      <c r="F131" s="80">
        <v>44985</v>
      </c>
      <c r="G131" s="115" t="s">
        <v>2008</v>
      </c>
      <c r="H131" s="116"/>
      <c r="I131" s="116"/>
      <c r="J131" s="116"/>
      <c r="K131" s="114" t="s">
        <v>30</v>
      </c>
      <c r="L131" s="114" t="s">
        <v>1543</v>
      </c>
      <c r="M131" s="116"/>
      <c r="N131" s="114" t="s">
        <v>47</v>
      </c>
      <c r="O131" s="114" t="s">
        <v>2009</v>
      </c>
      <c r="P131" s="114" t="s">
        <v>964</v>
      </c>
      <c r="Q131" s="114" t="s">
        <v>2010</v>
      </c>
      <c r="R131" s="80">
        <v>45068</v>
      </c>
      <c r="S131" s="112" t="s">
        <v>2011</v>
      </c>
      <c r="T131" s="164" t="e">
        <v>#REF!</v>
      </c>
      <c r="U131" s="164" t="e">
        <v>#REF!</v>
      </c>
      <c r="V131" s="103"/>
      <c r="W131" s="103"/>
      <c r="X131" s="103"/>
      <c r="Y131" s="157"/>
      <c r="Z131" s="157"/>
    </row>
    <row r="132" spans="1:26">
      <c r="A132" s="119" t="s">
        <v>2012</v>
      </c>
      <c r="B132" s="112" t="s">
        <v>2013</v>
      </c>
      <c r="C132" s="112" t="s">
        <v>1390</v>
      </c>
      <c r="D132" s="114" t="s">
        <v>478</v>
      </c>
      <c r="E132" s="114" t="s">
        <v>516</v>
      </c>
      <c r="F132" s="80">
        <v>45020</v>
      </c>
      <c r="G132" s="115" t="s">
        <v>2014</v>
      </c>
      <c r="H132" s="116"/>
      <c r="I132" s="116"/>
      <c r="J132" s="116"/>
      <c r="K132" s="114" t="s">
        <v>18</v>
      </c>
      <c r="L132" s="114" t="s">
        <v>1567</v>
      </c>
      <c r="M132" s="116"/>
      <c r="N132" s="114" t="s">
        <v>47</v>
      </c>
      <c r="O132" s="114" t="s">
        <v>1752</v>
      </c>
      <c r="P132" s="116"/>
      <c r="Q132" s="114" t="s">
        <v>950</v>
      </c>
      <c r="R132" s="80">
        <v>45135</v>
      </c>
      <c r="S132" s="116"/>
      <c r="T132" s="103"/>
      <c r="U132" s="103"/>
      <c r="V132" s="103"/>
      <c r="W132" s="103"/>
      <c r="X132" s="103"/>
      <c r="Y132" s="157"/>
      <c r="Z132" s="157"/>
    </row>
    <row r="133" spans="1:26">
      <c r="A133" s="199" t="s">
        <v>2015</v>
      </c>
      <c r="B133" s="112" t="s">
        <v>2016</v>
      </c>
      <c r="C133" s="112" t="s">
        <v>1390</v>
      </c>
      <c r="D133" s="114" t="s">
        <v>2007</v>
      </c>
      <c r="E133" s="114" t="s">
        <v>1553</v>
      </c>
      <c r="F133" s="80">
        <v>45000</v>
      </c>
      <c r="G133" s="115" t="s">
        <v>2017</v>
      </c>
      <c r="H133" s="80">
        <v>45441</v>
      </c>
      <c r="I133" s="80">
        <v>45441</v>
      </c>
      <c r="J133" s="114" t="s">
        <v>820</v>
      </c>
      <c r="K133" s="114" t="s">
        <v>18</v>
      </c>
      <c r="L133" s="114" t="s">
        <v>1567</v>
      </c>
      <c r="M133" s="116"/>
      <c r="N133" s="114" t="s">
        <v>20</v>
      </c>
      <c r="O133" s="116"/>
      <c r="P133" s="116"/>
      <c r="Q133" s="114" t="s">
        <v>2010</v>
      </c>
      <c r="R133" s="80">
        <v>45181</v>
      </c>
      <c r="S133" s="116"/>
      <c r="T133" s="103"/>
      <c r="U133" s="103"/>
      <c r="V133" s="103"/>
      <c r="W133" s="103"/>
      <c r="X133" s="103"/>
      <c r="Y133" s="157"/>
      <c r="Z133" s="157"/>
    </row>
    <row r="134" spans="1:26">
      <c r="A134" s="119" t="s">
        <v>2018</v>
      </c>
      <c r="B134" s="112" t="s">
        <v>2019</v>
      </c>
      <c r="C134" s="112" t="s">
        <v>546</v>
      </c>
      <c r="D134" s="114" t="s">
        <v>2020</v>
      </c>
      <c r="E134" s="114" t="s">
        <v>685</v>
      </c>
      <c r="F134" s="80">
        <v>45033</v>
      </c>
      <c r="G134" s="115" t="s">
        <v>2021</v>
      </c>
      <c r="H134" s="116"/>
      <c r="I134" s="116"/>
      <c r="J134" s="116"/>
      <c r="K134" s="114" t="s">
        <v>30</v>
      </c>
      <c r="L134" s="114" t="s">
        <v>1543</v>
      </c>
      <c r="M134" s="116"/>
      <c r="N134" s="114" t="s">
        <v>47</v>
      </c>
      <c r="O134" s="116"/>
      <c r="P134" s="116"/>
      <c r="Q134" s="114" t="s">
        <v>1045</v>
      </c>
      <c r="R134" s="80">
        <v>45414</v>
      </c>
      <c r="S134" s="112" t="s">
        <v>2022</v>
      </c>
      <c r="T134" s="164" t="e">
        <v>#REF!</v>
      </c>
      <c r="U134" s="164" t="e">
        <v>#REF!</v>
      </c>
      <c r="V134" s="103"/>
      <c r="W134" s="103"/>
      <c r="X134" s="103"/>
      <c r="Y134" s="157"/>
      <c r="Z134" s="157"/>
    </row>
    <row r="135" spans="1:26">
      <c r="A135" s="119" t="s">
        <v>2023</v>
      </c>
      <c r="B135" s="112" t="s">
        <v>2024</v>
      </c>
      <c r="C135" s="112" t="s">
        <v>546</v>
      </c>
      <c r="D135" s="114" t="s">
        <v>2020</v>
      </c>
      <c r="E135" s="114" t="s">
        <v>685</v>
      </c>
      <c r="F135" s="80">
        <v>45033</v>
      </c>
      <c r="G135" s="115" t="s">
        <v>2025</v>
      </c>
      <c r="H135" s="116"/>
      <c r="I135" s="116"/>
      <c r="J135" s="116"/>
      <c r="K135" s="114" t="s">
        <v>18</v>
      </c>
      <c r="L135" s="114" t="s">
        <v>1543</v>
      </c>
      <c r="M135" s="116"/>
      <c r="N135" s="114" t="s">
        <v>47</v>
      </c>
      <c r="O135" s="116"/>
      <c r="P135" s="116"/>
      <c r="Q135" s="114" t="s">
        <v>1045</v>
      </c>
      <c r="R135" s="80">
        <v>45414</v>
      </c>
      <c r="S135" s="112" t="s">
        <v>2022</v>
      </c>
      <c r="T135" s="164" t="e">
        <v>#REF!</v>
      </c>
      <c r="U135" s="164" t="e">
        <v>#REF!</v>
      </c>
      <c r="V135" s="103"/>
      <c r="W135" s="103"/>
      <c r="X135" s="103"/>
      <c r="Y135" s="157"/>
      <c r="Z135" s="157"/>
    </row>
    <row r="136" spans="1:26">
      <c r="A136" s="119" t="s">
        <v>800</v>
      </c>
      <c r="B136" s="120" t="s">
        <v>801</v>
      </c>
      <c r="C136" s="120" t="s">
        <v>469</v>
      </c>
      <c r="D136" s="42" t="s">
        <v>478</v>
      </c>
      <c r="E136" s="42" t="s">
        <v>516</v>
      </c>
      <c r="F136" s="39">
        <v>45033</v>
      </c>
      <c r="G136" s="122" t="s">
        <v>802</v>
      </c>
      <c r="H136" s="123"/>
      <c r="I136" s="123"/>
      <c r="J136" s="123"/>
      <c r="K136" s="114" t="s">
        <v>30</v>
      </c>
      <c r="L136" s="114" t="s">
        <v>481</v>
      </c>
      <c r="M136" s="42" t="s">
        <v>586</v>
      </c>
      <c r="N136" s="42" t="s">
        <v>47</v>
      </c>
      <c r="O136" s="42" t="s">
        <v>803</v>
      </c>
      <c r="P136" s="122" t="s">
        <v>519</v>
      </c>
      <c r="Q136" s="42" t="s">
        <v>645</v>
      </c>
      <c r="R136" s="39">
        <v>45516</v>
      </c>
      <c r="S136" s="120" t="s">
        <v>2026</v>
      </c>
      <c r="T136" s="103"/>
      <c r="U136" s="103"/>
      <c r="V136" s="103"/>
      <c r="W136" s="103"/>
      <c r="X136" s="103"/>
      <c r="Y136" s="157"/>
      <c r="Z136" s="157"/>
    </row>
    <row r="137" spans="1:26">
      <c r="A137" s="119" t="s">
        <v>2027</v>
      </c>
      <c r="B137" s="120" t="s">
        <v>2028</v>
      </c>
      <c r="C137" s="120" t="s">
        <v>546</v>
      </c>
      <c r="D137" s="42" t="s">
        <v>478</v>
      </c>
      <c r="E137" s="42" t="s">
        <v>516</v>
      </c>
      <c r="F137" s="39">
        <v>45036</v>
      </c>
      <c r="G137" s="122" t="s">
        <v>2029</v>
      </c>
      <c r="H137" s="39">
        <v>45406</v>
      </c>
      <c r="I137" s="39">
        <v>45419</v>
      </c>
      <c r="J137" s="123"/>
      <c r="K137" s="42" t="s">
        <v>18</v>
      </c>
      <c r="L137" s="114" t="s">
        <v>481</v>
      </c>
      <c r="M137" s="123"/>
      <c r="N137" s="42" t="s">
        <v>2030</v>
      </c>
      <c r="O137" s="42" t="s">
        <v>803</v>
      </c>
      <c r="P137" s="122" t="s">
        <v>519</v>
      </c>
      <c r="Q137" s="115" t="s">
        <v>521</v>
      </c>
      <c r="R137" s="39">
        <v>45532</v>
      </c>
      <c r="S137" s="120" t="s">
        <v>2031</v>
      </c>
      <c r="T137" s="103"/>
      <c r="U137" s="103"/>
      <c r="V137" s="103"/>
      <c r="W137" s="103"/>
      <c r="X137" s="103"/>
      <c r="Y137" s="157"/>
      <c r="Z137" s="157"/>
    </row>
    <row r="138" spans="1:26">
      <c r="A138" s="119" t="s">
        <v>2032</v>
      </c>
      <c r="B138" s="112" t="s">
        <v>2033</v>
      </c>
      <c r="C138" s="112" t="s">
        <v>1390</v>
      </c>
      <c r="D138" s="114" t="s">
        <v>478</v>
      </c>
      <c r="E138" s="114" t="s">
        <v>685</v>
      </c>
      <c r="F138" s="80">
        <v>45043</v>
      </c>
      <c r="G138" s="188" t="s">
        <v>2034</v>
      </c>
      <c r="H138" s="113" t="s">
        <v>2035</v>
      </c>
      <c r="I138" s="115" t="s">
        <v>2035</v>
      </c>
      <c r="J138" s="114" t="s">
        <v>2035</v>
      </c>
      <c r="K138" s="114" t="s">
        <v>18</v>
      </c>
      <c r="L138" s="114" t="s">
        <v>2036</v>
      </c>
      <c r="M138" s="116"/>
      <c r="N138" s="114" t="s">
        <v>47</v>
      </c>
      <c r="O138" s="114" t="s">
        <v>1278</v>
      </c>
      <c r="P138" s="114" t="s">
        <v>1562</v>
      </c>
      <c r="Q138" s="114" t="s">
        <v>950</v>
      </c>
      <c r="R138" s="80">
        <v>45386</v>
      </c>
      <c r="S138" s="112" t="s">
        <v>2037</v>
      </c>
      <c r="T138" s="103"/>
      <c r="U138" s="103"/>
      <c r="V138" s="103"/>
      <c r="W138" s="103"/>
      <c r="X138" s="103"/>
      <c r="Y138" s="157"/>
      <c r="Z138" s="157"/>
    </row>
    <row r="139" spans="1:26">
      <c r="A139" s="111" t="s">
        <v>2038</v>
      </c>
      <c r="B139" s="112" t="s">
        <v>2039</v>
      </c>
      <c r="C139" s="112" t="s">
        <v>1390</v>
      </c>
      <c r="D139" s="114" t="s">
        <v>478</v>
      </c>
      <c r="E139" s="200" t="s">
        <v>2040</v>
      </c>
      <c r="F139" s="80">
        <v>45042</v>
      </c>
      <c r="G139" s="188" t="s">
        <v>2041</v>
      </c>
      <c r="H139" s="115" t="s">
        <v>820</v>
      </c>
      <c r="I139" s="80">
        <v>45104</v>
      </c>
      <c r="J139" s="114" t="s">
        <v>556</v>
      </c>
      <c r="K139" s="114" t="s">
        <v>18</v>
      </c>
      <c r="L139" s="114" t="s">
        <v>2036</v>
      </c>
      <c r="M139" s="116"/>
      <c r="N139" s="114" t="s">
        <v>47</v>
      </c>
      <c r="O139" s="115" t="s">
        <v>1112</v>
      </c>
      <c r="P139" s="112" t="s">
        <v>2042</v>
      </c>
      <c r="Q139" s="114" t="s">
        <v>950</v>
      </c>
      <c r="R139" s="80">
        <v>45161</v>
      </c>
      <c r="S139" s="116"/>
      <c r="T139" s="103"/>
      <c r="U139" s="103"/>
      <c r="V139" s="103"/>
      <c r="W139" s="103"/>
      <c r="X139" s="103"/>
      <c r="Y139" s="157"/>
      <c r="Z139" s="157"/>
    </row>
    <row r="140" spans="1:26">
      <c r="A140" s="119" t="s">
        <v>2043</v>
      </c>
      <c r="B140" s="120" t="s">
        <v>2044</v>
      </c>
      <c r="C140" s="121" t="s">
        <v>469</v>
      </c>
      <c r="D140" s="42" t="s">
        <v>478</v>
      </c>
      <c r="E140" s="42" t="s">
        <v>685</v>
      </c>
      <c r="F140" s="39">
        <v>45041</v>
      </c>
      <c r="G140" s="122" t="s">
        <v>2045</v>
      </c>
      <c r="H140" s="39">
        <v>45092</v>
      </c>
      <c r="I140" s="39">
        <v>45107</v>
      </c>
      <c r="J140" s="90">
        <v>45215</v>
      </c>
      <c r="K140" s="42" t="s">
        <v>30</v>
      </c>
      <c r="L140" s="42" t="s">
        <v>473</v>
      </c>
      <c r="M140" s="123"/>
      <c r="N140" s="42" t="s">
        <v>20</v>
      </c>
      <c r="O140" s="122" t="s">
        <v>687</v>
      </c>
      <c r="P140" s="42" t="s">
        <v>1848</v>
      </c>
      <c r="Q140" s="42" t="s">
        <v>491</v>
      </c>
      <c r="R140" s="39">
        <v>45499</v>
      </c>
      <c r="S140" s="120" t="s">
        <v>2046</v>
      </c>
      <c r="T140" s="103"/>
      <c r="U140" s="103"/>
      <c r="V140" s="103"/>
      <c r="W140" s="103"/>
      <c r="X140" s="103"/>
      <c r="Y140" s="157"/>
      <c r="Z140" s="157"/>
    </row>
    <row r="141" spans="1:26">
      <c r="A141" s="119" t="s">
        <v>2047</v>
      </c>
      <c r="B141" s="112" t="s">
        <v>2048</v>
      </c>
      <c r="C141" s="113" t="s">
        <v>469</v>
      </c>
      <c r="D141" s="114" t="s">
        <v>478</v>
      </c>
      <c r="E141" s="114" t="s">
        <v>2049</v>
      </c>
      <c r="F141" s="80">
        <v>45055</v>
      </c>
      <c r="G141" s="115" t="s">
        <v>2050</v>
      </c>
      <c r="H141" s="190">
        <v>45117</v>
      </c>
      <c r="I141" s="80">
        <v>45148</v>
      </c>
      <c r="J141" s="124">
        <v>45174</v>
      </c>
      <c r="K141" s="114" t="s">
        <v>18</v>
      </c>
      <c r="L141" s="114" t="s">
        <v>1543</v>
      </c>
      <c r="M141" s="116"/>
      <c r="N141" s="114" t="s">
        <v>20</v>
      </c>
      <c r="O141" s="114" t="s">
        <v>1667</v>
      </c>
      <c r="P141" s="42" t="s">
        <v>2051</v>
      </c>
      <c r="Q141" s="114" t="s">
        <v>491</v>
      </c>
      <c r="R141" s="80">
        <v>45499</v>
      </c>
      <c r="S141" s="112" t="s">
        <v>2052</v>
      </c>
      <c r="T141" s="103"/>
      <c r="U141" s="103"/>
      <c r="V141" s="103"/>
      <c r="W141" s="103"/>
      <c r="X141" s="103"/>
      <c r="Y141" s="157"/>
      <c r="Z141" s="157"/>
    </row>
    <row r="142" spans="1:26">
      <c r="A142" s="111" t="s">
        <v>1539</v>
      </c>
      <c r="B142" s="112" t="s">
        <v>1540</v>
      </c>
      <c r="C142" s="113" t="s">
        <v>1473</v>
      </c>
      <c r="D142" s="114" t="s">
        <v>478</v>
      </c>
      <c r="E142" s="114" t="s">
        <v>516</v>
      </c>
      <c r="F142" s="80">
        <v>44760</v>
      </c>
      <c r="G142" s="115" t="s">
        <v>2053</v>
      </c>
      <c r="H142" s="116"/>
      <c r="I142" s="116"/>
      <c r="J142" s="116"/>
      <c r="K142" s="114" t="s">
        <v>30</v>
      </c>
      <c r="L142" s="114" t="s">
        <v>1543</v>
      </c>
      <c r="M142" s="116"/>
      <c r="N142" s="115" t="s">
        <v>47</v>
      </c>
      <c r="O142" s="116"/>
      <c r="P142" s="116"/>
      <c r="Q142" s="115" t="s">
        <v>1545</v>
      </c>
      <c r="R142" s="80">
        <v>45070</v>
      </c>
      <c r="S142" s="116"/>
      <c r="T142" s="103"/>
      <c r="U142" s="103"/>
      <c r="V142" s="103"/>
      <c r="W142" s="103"/>
      <c r="X142" s="103"/>
      <c r="Y142" s="157"/>
      <c r="Z142" s="157"/>
    </row>
    <row r="143" spans="1:26">
      <c r="A143" s="119" t="s">
        <v>582</v>
      </c>
      <c r="B143" s="120" t="s">
        <v>583</v>
      </c>
      <c r="C143" s="121" t="s">
        <v>584</v>
      </c>
      <c r="D143" s="42" t="s">
        <v>478</v>
      </c>
      <c r="E143" s="42" t="s">
        <v>479</v>
      </c>
      <c r="F143" s="39">
        <v>45049</v>
      </c>
      <c r="G143" s="122" t="s">
        <v>2054</v>
      </c>
      <c r="H143" s="123"/>
      <c r="I143" s="123"/>
      <c r="J143" s="123"/>
      <c r="K143" s="42" t="s">
        <v>30</v>
      </c>
      <c r="L143" s="114" t="s">
        <v>481</v>
      </c>
      <c r="M143" s="42" t="s">
        <v>586</v>
      </c>
      <c r="N143" s="42" t="s">
        <v>27</v>
      </c>
      <c r="O143" s="42" t="s">
        <v>577</v>
      </c>
      <c r="P143" s="42" t="s">
        <v>587</v>
      </c>
      <c r="Q143" s="18" t="s">
        <v>588</v>
      </c>
      <c r="R143" s="39">
        <v>45552</v>
      </c>
      <c r="S143" s="120" t="s">
        <v>2055</v>
      </c>
      <c r="T143" s="103"/>
      <c r="U143" s="103"/>
      <c r="V143" s="103"/>
      <c r="W143" s="103"/>
      <c r="X143" s="103"/>
      <c r="Y143" s="157"/>
      <c r="Z143" s="157"/>
    </row>
    <row r="144" spans="1:26">
      <c r="A144" s="119" t="s">
        <v>2056</v>
      </c>
      <c r="B144" s="120" t="s">
        <v>2057</v>
      </c>
      <c r="C144" s="121" t="s">
        <v>469</v>
      </c>
      <c r="D144" s="42" t="s">
        <v>478</v>
      </c>
      <c r="E144" s="42" t="s">
        <v>2058</v>
      </c>
      <c r="F144" s="39">
        <v>45068</v>
      </c>
      <c r="G144" s="122" t="s">
        <v>2059</v>
      </c>
      <c r="H144" s="123"/>
      <c r="I144" s="123"/>
      <c r="J144" s="123"/>
      <c r="K144" s="42" t="s">
        <v>18</v>
      </c>
      <c r="L144" s="42" t="s">
        <v>1326</v>
      </c>
      <c r="M144" s="123"/>
      <c r="N144" s="42" t="s">
        <v>47</v>
      </c>
      <c r="O144" s="42" t="s">
        <v>803</v>
      </c>
      <c r="P144" s="122" t="s">
        <v>519</v>
      </c>
      <c r="Q144" s="42" t="s">
        <v>645</v>
      </c>
      <c r="R144" s="39">
        <v>45141</v>
      </c>
      <c r="S144" s="120" t="s">
        <v>2060</v>
      </c>
      <c r="T144" s="103"/>
      <c r="U144" s="103"/>
      <c r="V144" s="103"/>
      <c r="W144" s="103"/>
      <c r="X144" s="103"/>
      <c r="Y144" s="157"/>
      <c r="Z144" s="157"/>
    </row>
    <row r="145" spans="1:26">
      <c r="A145" s="119" t="s">
        <v>2061</v>
      </c>
      <c r="B145" s="112" t="s">
        <v>2062</v>
      </c>
      <c r="C145" s="113" t="s">
        <v>469</v>
      </c>
      <c r="D145" s="114" t="s">
        <v>478</v>
      </c>
      <c r="E145" s="114" t="s">
        <v>2063</v>
      </c>
      <c r="F145" s="80">
        <v>45054</v>
      </c>
      <c r="G145" s="115" t="s">
        <v>2064</v>
      </c>
      <c r="H145" s="116"/>
      <c r="I145" s="116"/>
      <c r="J145" s="116"/>
      <c r="K145" s="114" t="s">
        <v>30</v>
      </c>
      <c r="L145" s="114" t="s">
        <v>481</v>
      </c>
      <c r="M145" s="116"/>
      <c r="N145" s="114" t="s">
        <v>47</v>
      </c>
      <c r="O145" s="114" t="s">
        <v>1400</v>
      </c>
      <c r="P145" s="113" t="s">
        <v>1660</v>
      </c>
      <c r="Q145" s="114" t="s">
        <v>511</v>
      </c>
      <c r="R145" s="80">
        <v>45149</v>
      </c>
      <c r="S145" s="112" t="s">
        <v>2065</v>
      </c>
      <c r="T145" s="103"/>
      <c r="U145" s="103"/>
      <c r="V145" s="103"/>
      <c r="W145" s="103"/>
      <c r="X145" s="103"/>
      <c r="Y145" s="157"/>
      <c r="Z145" s="157"/>
    </row>
    <row r="146" spans="1:26">
      <c r="A146" s="119" t="s">
        <v>2066</v>
      </c>
      <c r="B146" s="120" t="s">
        <v>2067</v>
      </c>
      <c r="C146" s="121" t="s">
        <v>469</v>
      </c>
      <c r="D146" s="42" t="s">
        <v>478</v>
      </c>
      <c r="E146" s="42" t="s">
        <v>2068</v>
      </c>
      <c r="F146" s="39">
        <v>45076</v>
      </c>
      <c r="G146" s="122" t="s">
        <v>2069</v>
      </c>
      <c r="H146" s="122" t="s">
        <v>820</v>
      </c>
      <c r="I146" s="39">
        <v>45365</v>
      </c>
      <c r="J146" s="123"/>
      <c r="K146" s="42" t="s">
        <v>18</v>
      </c>
      <c r="L146" s="114" t="s">
        <v>481</v>
      </c>
      <c r="M146" s="123"/>
      <c r="N146" s="42" t="s">
        <v>47</v>
      </c>
      <c r="O146" s="121" t="s">
        <v>793</v>
      </c>
      <c r="P146" s="121" t="s">
        <v>2070</v>
      </c>
      <c r="Q146" s="42" t="s">
        <v>950</v>
      </c>
      <c r="R146" s="90">
        <v>45383</v>
      </c>
      <c r="S146" s="120" t="s">
        <v>2071</v>
      </c>
      <c r="T146" s="103"/>
      <c r="U146" s="103"/>
      <c r="V146" s="103"/>
      <c r="W146" s="103"/>
      <c r="X146" s="103"/>
      <c r="Y146" s="157"/>
      <c r="Z146" s="157"/>
    </row>
    <row r="147" spans="1:26">
      <c r="A147" s="169" t="s">
        <v>2072</v>
      </c>
      <c r="B147" s="112" t="s">
        <v>2073</v>
      </c>
      <c r="C147" s="113" t="s">
        <v>546</v>
      </c>
      <c r="D147" s="115" t="s">
        <v>478</v>
      </c>
      <c r="E147" s="114" t="s">
        <v>479</v>
      </c>
      <c r="F147" s="80">
        <v>45075</v>
      </c>
      <c r="G147" s="115" t="s">
        <v>2074</v>
      </c>
      <c r="H147" s="80">
        <v>45079</v>
      </c>
      <c r="I147" s="80">
        <v>45099</v>
      </c>
      <c r="J147" s="127">
        <v>45223</v>
      </c>
      <c r="K147" s="114" t="s">
        <v>18</v>
      </c>
      <c r="L147" s="114" t="s">
        <v>473</v>
      </c>
      <c r="M147" s="116"/>
      <c r="N147" s="114" t="s">
        <v>20</v>
      </c>
      <c r="O147" s="113" t="s">
        <v>490</v>
      </c>
      <c r="P147" s="113" t="s">
        <v>490</v>
      </c>
      <c r="Q147" s="115" t="s">
        <v>491</v>
      </c>
      <c r="R147" s="80">
        <v>45499</v>
      </c>
      <c r="S147" s="112" t="s">
        <v>2075</v>
      </c>
      <c r="T147" s="103"/>
      <c r="U147" s="103"/>
      <c r="V147" s="103"/>
      <c r="W147" s="103"/>
      <c r="X147" s="103"/>
      <c r="Y147" s="157"/>
      <c r="Z147" s="157"/>
    </row>
    <row r="148" spans="1:26">
      <c r="A148" s="119" t="s">
        <v>2076</v>
      </c>
      <c r="B148" s="112" t="s">
        <v>2077</v>
      </c>
      <c r="C148" s="113" t="s">
        <v>1981</v>
      </c>
      <c r="D148" s="115" t="s">
        <v>478</v>
      </c>
      <c r="E148" s="114" t="s">
        <v>479</v>
      </c>
      <c r="F148" s="80">
        <v>45033</v>
      </c>
      <c r="G148" s="115" t="s">
        <v>2078</v>
      </c>
      <c r="H148" s="80">
        <v>45079</v>
      </c>
      <c r="I148" s="80">
        <v>45083</v>
      </c>
      <c r="J148" s="80">
        <v>45090</v>
      </c>
      <c r="K148" s="114" t="s">
        <v>18</v>
      </c>
      <c r="L148" s="114" t="s">
        <v>473</v>
      </c>
      <c r="M148" s="116"/>
      <c r="N148" s="114" t="s">
        <v>20</v>
      </c>
      <c r="O148" s="116"/>
      <c r="P148" s="116"/>
      <c r="Q148" s="115" t="s">
        <v>628</v>
      </c>
      <c r="R148" s="127">
        <v>45217</v>
      </c>
      <c r="S148" s="113" t="s">
        <v>2079</v>
      </c>
      <c r="T148" s="103"/>
      <c r="U148" s="103"/>
      <c r="V148" s="103"/>
      <c r="W148" s="103"/>
      <c r="X148" s="103"/>
      <c r="Y148" s="157"/>
      <c r="Z148" s="157"/>
    </row>
    <row r="149" spans="1:26">
      <c r="A149" s="119" t="s">
        <v>2080</v>
      </c>
      <c r="B149" s="120" t="s">
        <v>2081</v>
      </c>
      <c r="C149" s="121" t="s">
        <v>1981</v>
      </c>
      <c r="D149" s="122" t="s">
        <v>478</v>
      </c>
      <c r="E149" s="42" t="s">
        <v>478</v>
      </c>
      <c r="F149" s="39">
        <v>45019</v>
      </c>
      <c r="G149" s="123"/>
      <c r="H149" s="123"/>
      <c r="I149" s="123"/>
      <c r="J149" s="123"/>
      <c r="K149" s="42" t="s">
        <v>18</v>
      </c>
      <c r="L149" s="42" t="s">
        <v>1326</v>
      </c>
      <c r="M149" s="123"/>
      <c r="N149" s="42" t="s">
        <v>47</v>
      </c>
      <c r="O149" s="123"/>
      <c r="P149" s="123"/>
      <c r="Q149" s="122" t="s">
        <v>521</v>
      </c>
      <c r="R149" s="39">
        <v>45141</v>
      </c>
      <c r="S149" s="121" t="s">
        <v>2082</v>
      </c>
      <c r="T149" s="103"/>
      <c r="U149" s="103"/>
      <c r="V149" s="103"/>
      <c r="W149" s="103"/>
      <c r="X149" s="103"/>
      <c r="Y149" s="157"/>
      <c r="Z149" s="157"/>
    </row>
    <row r="150" spans="1:26">
      <c r="A150" s="119" t="s">
        <v>617</v>
      </c>
      <c r="B150" s="120" t="s">
        <v>2083</v>
      </c>
      <c r="C150" s="121" t="s">
        <v>774</v>
      </c>
      <c r="D150" s="122" t="s">
        <v>478</v>
      </c>
      <c r="E150" s="42" t="s">
        <v>479</v>
      </c>
      <c r="F150" s="39">
        <v>45062</v>
      </c>
      <c r="G150" s="122" t="s">
        <v>619</v>
      </c>
      <c r="H150" s="123"/>
      <c r="I150" s="123"/>
      <c r="J150" s="123"/>
      <c r="K150" s="42" t="s">
        <v>18</v>
      </c>
      <c r="L150" s="114" t="s">
        <v>481</v>
      </c>
      <c r="M150" s="123"/>
      <c r="N150" s="42" t="s">
        <v>27</v>
      </c>
      <c r="O150" s="120" t="s">
        <v>500</v>
      </c>
      <c r="P150" s="121" t="s">
        <v>501</v>
      </c>
      <c r="Q150" s="122" t="s">
        <v>597</v>
      </c>
      <c r="R150" s="39">
        <v>45539</v>
      </c>
      <c r="S150" s="120" t="s">
        <v>2084</v>
      </c>
      <c r="T150" s="103"/>
      <c r="U150" s="103"/>
      <c r="V150" s="103"/>
      <c r="W150" s="103"/>
      <c r="X150" s="103"/>
      <c r="Y150" s="157"/>
      <c r="Z150" s="157"/>
    </row>
    <row r="151" spans="1:26">
      <c r="A151" s="163" t="s">
        <v>2085</v>
      </c>
      <c r="B151" s="112" t="s">
        <v>2086</v>
      </c>
      <c r="C151" s="113" t="s">
        <v>774</v>
      </c>
      <c r="D151" s="115" t="s">
        <v>478</v>
      </c>
      <c r="E151" s="114" t="s">
        <v>479</v>
      </c>
      <c r="F151" s="80">
        <v>45063</v>
      </c>
      <c r="G151" s="115" t="s">
        <v>2087</v>
      </c>
      <c r="H151" s="116"/>
      <c r="I151" s="116"/>
      <c r="J151" s="116"/>
      <c r="K151" s="114" t="s">
        <v>18</v>
      </c>
      <c r="L151" s="114" t="s">
        <v>473</v>
      </c>
      <c r="M151" s="116"/>
      <c r="N151" s="115" t="s">
        <v>47</v>
      </c>
      <c r="O151" s="116"/>
      <c r="P151" s="116"/>
      <c r="Q151" s="115" t="s">
        <v>689</v>
      </c>
      <c r="R151" s="80">
        <v>45091</v>
      </c>
      <c r="S151" s="116"/>
      <c r="T151" s="103"/>
      <c r="U151" s="103"/>
      <c r="V151" s="103"/>
      <c r="W151" s="103"/>
      <c r="X151" s="103"/>
      <c r="Y151" s="157"/>
      <c r="Z151" s="157"/>
    </row>
    <row r="152" spans="1:26">
      <c r="A152" s="119" t="s">
        <v>2088</v>
      </c>
      <c r="B152" s="112" t="s">
        <v>2089</v>
      </c>
      <c r="C152" s="113" t="s">
        <v>469</v>
      </c>
      <c r="D152" s="115" t="s">
        <v>478</v>
      </c>
      <c r="E152" s="114" t="s">
        <v>1110</v>
      </c>
      <c r="F152" s="80">
        <v>45082</v>
      </c>
      <c r="G152" s="115" t="s">
        <v>2090</v>
      </c>
      <c r="H152" s="80">
        <v>45163</v>
      </c>
      <c r="I152" s="80">
        <v>45175</v>
      </c>
      <c r="J152" s="80">
        <v>45203</v>
      </c>
      <c r="K152" s="114" t="s">
        <v>18</v>
      </c>
      <c r="L152" s="114" t="s">
        <v>1543</v>
      </c>
      <c r="M152" s="116"/>
      <c r="N152" s="114" t="s">
        <v>20</v>
      </c>
      <c r="O152" s="114" t="s">
        <v>782</v>
      </c>
      <c r="P152" s="114" t="s">
        <v>783</v>
      </c>
      <c r="Q152" s="115" t="s">
        <v>491</v>
      </c>
      <c r="R152" s="80">
        <v>45499</v>
      </c>
      <c r="S152" s="112" t="s">
        <v>2091</v>
      </c>
      <c r="T152" s="103"/>
      <c r="U152" s="103"/>
      <c r="V152" s="103"/>
      <c r="W152" s="103"/>
      <c r="X152" s="103"/>
      <c r="Y152" s="157"/>
      <c r="Z152" s="157"/>
    </row>
    <row r="153" spans="1:26">
      <c r="A153" s="119" t="s">
        <v>2092</v>
      </c>
      <c r="B153" s="120" t="s">
        <v>2093</v>
      </c>
      <c r="C153" s="121" t="s">
        <v>469</v>
      </c>
      <c r="D153" s="122" t="s">
        <v>478</v>
      </c>
      <c r="E153" s="42" t="s">
        <v>2094</v>
      </c>
      <c r="F153" s="39">
        <v>45078</v>
      </c>
      <c r="G153" s="122" t="s">
        <v>2095</v>
      </c>
      <c r="H153" s="123"/>
      <c r="I153" s="123"/>
      <c r="J153" s="123"/>
      <c r="K153" s="42" t="s">
        <v>30</v>
      </c>
      <c r="L153" s="114" t="s">
        <v>481</v>
      </c>
      <c r="M153" s="123"/>
      <c r="N153" s="42" t="s">
        <v>27</v>
      </c>
      <c r="O153" s="42" t="s">
        <v>606</v>
      </c>
      <c r="P153" s="42" t="s">
        <v>2096</v>
      </c>
      <c r="Q153" s="42" t="s">
        <v>550</v>
      </c>
      <c r="R153" s="39">
        <v>45411</v>
      </c>
      <c r="S153" s="120" t="s">
        <v>2097</v>
      </c>
      <c r="T153" s="103"/>
      <c r="U153" s="103"/>
      <c r="V153" s="103"/>
      <c r="W153" s="103"/>
      <c r="X153" s="103"/>
      <c r="Y153" s="157"/>
      <c r="Z153" s="157"/>
    </row>
    <row r="154" spans="1:26">
      <c r="A154" s="119" t="s">
        <v>2098</v>
      </c>
      <c r="B154" s="120" t="s">
        <v>2099</v>
      </c>
      <c r="C154" s="121" t="s">
        <v>469</v>
      </c>
      <c r="D154" s="122" t="s">
        <v>823</v>
      </c>
      <c r="E154" s="42" t="s">
        <v>2100</v>
      </c>
      <c r="F154" s="39">
        <v>45072</v>
      </c>
      <c r="G154" s="122" t="s">
        <v>2101</v>
      </c>
      <c r="H154" s="90">
        <v>45273</v>
      </c>
      <c r="I154" s="39">
        <v>45295</v>
      </c>
      <c r="J154" s="39">
        <v>45378</v>
      </c>
      <c r="K154" s="42" t="s">
        <v>18</v>
      </c>
      <c r="L154" s="114" t="s">
        <v>481</v>
      </c>
      <c r="M154" s="123"/>
      <c r="N154" s="42" t="s">
        <v>20</v>
      </c>
      <c r="O154" s="122" t="s">
        <v>519</v>
      </c>
      <c r="P154" s="42" t="s">
        <v>803</v>
      </c>
      <c r="Q154" s="42" t="s">
        <v>491</v>
      </c>
      <c r="R154" s="39">
        <v>45485</v>
      </c>
      <c r="S154" s="120" t="s">
        <v>2102</v>
      </c>
      <c r="T154" s="118"/>
      <c r="U154" s="118"/>
      <c r="V154" s="118"/>
      <c r="W154" s="118"/>
      <c r="X154" s="118"/>
      <c r="Y154" s="157"/>
      <c r="Z154" s="157"/>
    </row>
    <row r="155" spans="1:26">
      <c r="A155" s="119" t="s">
        <v>2103</v>
      </c>
      <c r="B155" s="112" t="s">
        <v>2104</v>
      </c>
      <c r="C155" s="113" t="s">
        <v>469</v>
      </c>
      <c r="D155" s="115" t="s">
        <v>478</v>
      </c>
      <c r="E155" s="114" t="s">
        <v>479</v>
      </c>
      <c r="F155" s="80">
        <v>45089</v>
      </c>
      <c r="G155" s="115" t="s">
        <v>2105</v>
      </c>
      <c r="H155" s="80">
        <v>45114</v>
      </c>
      <c r="I155" s="80">
        <v>45131</v>
      </c>
      <c r="J155" s="124">
        <v>45182</v>
      </c>
      <c r="K155" s="114" t="s">
        <v>30</v>
      </c>
      <c r="L155" s="114" t="s">
        <v>473</v>
      </c>
      <c r="M155" s="116"/>
      <c r="N155" s="114" t="s">
        <v>20</v>
      </c>
      <c r="O155" s="114" t="s">
        <v>874</v>
      </c>
      <c r="P155" s="114" t="s">
        <v>875</v>
      </c>
      <c r="Q155" s="115" t="s">
        <v>491</v>
      </c>
      <c r="R155" s="80">
        <v>45499</v>
      </c>
      <c r="S155" s="112" t="s">
        <v>2106</v>
      </c>
      <c r="T155" s="103"/>
      <c r="U155" s="103"/>
      <c r="V155" s="103"/>
      <c r="W155" s="103"/>
      <c r="X155" s="103"/>
      <c r="Y155" s="157"/>
      <c r="Z155" s="157"/>
    </row>
    <row r="156" spans="1:26">
      <c r="A156" s="119" t="s">
        <v>1606</v>
      </c>
      <c r="B156" s="112" t="s">
        <v>2107</v>
      </c>
      <c r="C156" s="113" t="s">
        <v>469</v>
      </c>
      <c r="D156" s="115" t="s">
        <v>823</v>
      </c>
      <c r="E156" s="114" t="s">
        <v>2100</v>
      </c>
      <c r="F156" s="80">
        <v>44840</v>
      </c>
      <c r="G156" s="115" t="s">
        <v>2108</v>
      </c>
      <c r="H156" s="80">
        <v>45083</v>
      </c>
      <c r="I156" s="80">
        <v>45103</v>
      </c>
      <c r="J156" s="80">
        <v>45128</v>
      </c>
      <c r="K156" s="114" t="s">
        <v>30</v>
      </c>
      <c r="L156" s="114" t="s">
        <v>481</v>
      </c>
      <c r="M156" s="116"/>
      <c r="N156" s="114" t="s">
        <v>20</v>
      </c>
      <c r="O156" s="114" t="s">
        <v>803</v>
      </c>
      <c r="P156" s="113" t="s">
        <v>1132</v>
      </c>
      <c r="Q156" s="122" t="s">
        <v>1187</v>
      </c>
      <c r="R156" s="154">
        <v>45489</v>
      </c>
      <c r="S156" s="112" t="s">
        <v>2109</v>
      </c>
      <c r="T156" s="103"/>
      <c r="U156" s="103"/>
      <c r="V156" s="103"/>
      <c r="W156" s="103"/>
      <c r="X156" s="103"/>
      <c r="Y156" s="157"/>
      <c r="Z156" s="157"/>
    </row>
    <row r="157" spans="1:26">
      <c r="A157" s="119" t="s">
        <v>2110</v>
      </c>
      <c r="B157" s="112" t="s">
        <v>2111</v>
      </c>
      <c r="C157" s="113" t="s">
        <v>774</v>
      </c>
      <c r="D157" s="115" t="s">
        <v>478</v>
      </c>
      <c r="E157" s="114" t="s">
        <v>479</v>
      </c>
      <c r="F157" s="80">
        <v>45063</v>
      </c>
      <c r="G157" s="188" t="s">
        <v>2112</v>
      </c>
      <c r="H157" s="116"/>
      <c r="I157" s="116"/>
      <c r="J157" s="116"/>
      <c r="K157" s="114" t="s">
        <v>18</v>
      </c>
      <c r="L157" s="114" t="s">
        <v>481</v>
      </c>
      <c r="M157" s="116"/>
      <c r="N157" s="114" t="s">
        <v>47</v>
      </c>
      <c r="O157" s="114" t="s">
        <v>627</v>
      </c>
      <c r="P157" s="122" t="s">
        <v>1817</v>
      </c>
      <c r="Q157" s="115" t="s">
        <v>550</v>
      </c>
      <c r="R157" s="80">
        <v>45202</v>
      </c>
      <c r="S157" s="112" t="s">
        <v>2113</v>
      </c>
      <c r="T157" s="103"/>
      <c r="U157" s="103"/>
      <c r="V157" s="103"/>
      <c r="W157" s="103"/>
      <c r="X157" s="103"/>
      <c r="Y157" s="157"/>
      <c r="Z157" s="157"/>
    </row>
    <row r="158" spans="1:26">
      <c r="A158" s="119" t="s">
        <v>2114</v>
      </c>
      <c r="B158" s="112" t="s">
        <v>2115</v>
      </c>
      <c r="C158" s="113" t="s">
        <v>1390</v>
      </c>
      <c r="D158" s="115" t="s">
        <v>610</v>
      </c>
      <c r="E158" s="114" t="s">
        <v>610</v>
      </c>
      <c r="F158" s="80">
        <v>45096</v>
      </c>
      <c r="G158" s="115" t="s">
        <v>2116</v>
      </c>
      <c r="H158" s="115" t="s">
        <v>820</v>
      </c>
      <c r="I158" s="116"/>
      <c r="J158" s="116"/>
      <c r="K158" s="114" t="s">
        <v>30</v>
      </c>
      <c r="L158" s="114" t="s">
        <v>1567</v>
      </c>
      <c r="M158" s="113" t="s">
        <v>613</v>
      </c>
      <c r="N158" s="115" t="s">
        <v>47</v>
      </c>
      <c r="O158" s="116"/>
      <c r="P158" s="123"/>
      <c r="Q158" s="168" t="s">
        <v>485</v>
      </c>
      <c r="R158" s="154">
        <v>45355</v>
      </c>
      <c r="S158" s="112" t="s">
        <v>2117</v>
      </c>
      <c r="T158" s="103"/>
      <c r="U158" s="103"/>
      <c r="V158" s="103"/>
      <c r="W158" s="103"/>
      <c r="X158" s="103"/>
      <c r="Y158" s="157"/>
      <c r="Z158" s="157"/>
    </row>
    <row r="159" spans="1:26">
      <c r="A159" s="169" t="s">
        <v>2118</v>
      </c>
      <c r="B159" s="120" t="s">
        <v>2119</v>
      </c>
      <c r="C159" s="121" t="s">
        <v>774</v>
      </c>
      <c r="D159" s="122" t="s">
        <v>478</v>
      </c>
      <c r="E159" s="42" t="s">
        <v>479</v>
      </c>
      <c r="F159" s="39">
        <v>45090</v>
      </c>
      <c r="G159" s="122" t="s">
        <v>2120</v>
      </c>
      <c r="H159" s="39">
        <v>45146</v>
      </c>
      <c r="I159" s="39">
        <v>45148</v>
      </c>
      <c r="J159" s="39">
        <v>45149</v>
      </c>
      <c r="K159" s="42" t="s">
        <v>18</v>
      </c>
      <c r="L159" s="42" t="s">
        <v>1543</v>
      </c>
      <c r="M159" s="123"/>
      <c r="N159" s="120" t="s">
        <v>20</v>
      </c>
      <c r="O159" s="42" t="s">
        <v>627</v>
      </c>
      <c r="P159" s="122" t="s">
        <v>1817</v>
      </c>
      <c r="Q159" s="122" t="s">
        <v>628</v>
      </c>
      <c r="R159" s="90">
        <v>45219</v>
      </c>
      <c r="S159" s="120" t="s">
        <v>2121</v>
      </c>
      <c r="T159" s="118"/>
      <c r="U159" s="118"/>
      <c r="V159" s="118"/>
      <c r="W159" s="118"/>
      <c r="X159" s="118"/>
      <c r="Y159" s="157"/>
      <c r="Z159" s="157"/>
    </row>
    <row r="160" spans="1:26">
      <c r="A160" s="119" t="s">
        <v>529</v>
      </c>
      <c r="B160" s="120" t="s">
        <v>2122</v>
      </c>
      <c r="C160" s="121" t="s">
        <v>469</v>
      </c>
      <c r="D160" s="122" t="s">
        <v>478</v>
      </c>
      <c r="E160" s="42" t="s">
        <v>2123</v>
      </c>
      <c r="F160" s="39">
        <v>45084</v>
      </c>
      <c r="G160" s="122" t="s">
        <v>2124</v>
      </c>
      <c r="H160" s="123"/>
      <c r="I160" s="123"/>
      <c r="J160" s="123"/>
      <c r="K160" s="114" t="s">
        <v>30</v>
      </c>
      <c r="L160" s="114" t="s">
        <v>481</v>
      </c>
      <c r="M160" s="120" t="s">
        <v>586</v>
      </c>
      <c r="N160" s="120" t="s">
        <v>27</v>
      </c>
      <c r="O160" s="42" t="s">
        <v>832</v>
      </c>
      <c r="P160" s="122" t="s">
        <v>519</v>
      </c>
      <c r="Q160" s="201" t="s">
        <v>2125</v>
      </c>
      <c r="R160" s="154">
        <v>45568</v>
      </c>
      <c r="S160" s="120" t="s">
        <v>2126</v>
      </c>
      <c r="T160" s="118"/>
      <c r="U160" s="118"/>
      <c r="V160" s="118"/>
      <c r="W160" s="118"/>
      <c r="X160" s="118"/>
      <c r="Y160" s="157"/>
      <c r="Z160" s="157"/>
    </row>
    <row r="161" spans="1:26">
      <c r="A161" s="119" t="s">
        <v>2127</v>
      </c>
      <c r="B161" s="120" t="s">
        <v>2128</v>
      </c>
      <c r="C161" s="121" t="s">
        <v>469</v>
      </c>
      <c r="D161" s="122" t="s">
        <v>478</v>
      </c>
      <c r="E161" s="42" t="s">
        <v>479</v>
      </c>
      <c r="F161" s="39">
        <v>45084</v>
      </c>
      <c r="G161" s="202" t="s">
        <v>2129</v>
      </c>
      <c r="H161" s="39">
        <v>45163</v>
      </c>
      <c r="I161" s="39">
        <v>45182</v>
      </c>
      <c r="J161" s="90">
        <v>45274</v>
      </c>
      <c r="K161" s="42" t="s">
        <v>18</v>
      </c>
      <c r="L161" s="42" t="s">
        <v>1543</v>
      </c>
      <c r="M161" s="123"/>
      <c r="N161" s="120" t="s">
        <v>20</v>
      </c>
      <c r="O161" s="121" t="s">
        <v>548</v>
      </c>
      <c r="P161" s="122" t="s">
        <v>501</v>
      </c>
      <c r="Q161" s="122" t="s">
        <v>689</v>
      </c>
      <c r="R161" s="154">
        <v>45309</v>
      </c>
      <c r="S161" s="120" t="s">
        <v>2130</v>
      </c>
      <c r="T161" s="118"/>
      <c r="U161" s="118"/>
      <c r="V161" s="118"/>
      <c r="W161" s="118"/>
      <c r="X161" s="118"/>
      <c r="Y161" s="157"/>
      <c r="Z161" s="157"/>
    </row>
    <row r="162" spans="1:26">
      <c r="A162" s="119" t="s">
        <v>2131</v>
      </c>
      <c r="B162" s="120" t="s">
        <v>2132</v>
      </c>
      <c r="C162" s="121" t="s">
        <v>469</v>
      </c>
      <c r="D162" s="122" t="s">
        <v>478</v>
      </c>
      <c r="E162" s="42" t="s">
        <v>2133</v>
      </c>
      <c r="F162" s="39">
        <v>45099</v>
      </c>
      <c r="G162" s="202" t="s">
        <v>2134</v>
      </c>
      <c r="H162" s="39">
        <v>45195</v>
      </c>
      <c r="I162" s="90">
        <v>45215</v>
      </c>
      <c r="J162" s="39">
        <v>45309</v>
      </c>
      <c r="K162" s="42" t="s">
        <v>30</v>
      </c>
      <c r="L162" s="42" t="s">
        <v>1326</v>
      </c>
      <c r="M162" s="123"/>
      <c r="N162" s="120" t="s">
        <v>20</v>
      </c>
      <c r="O162" s="42" t="s">
        <v>606</v>
      </c>
      <c r="P162" s="42" t="s">
        <v>1394</v>
      </c>
      <c r="Q162" s="42" t="s">
        <v>491</v>
      </c>
      <c r="R162" s="154">
        <v>45485</v>
      </c>
      <c r="S162" s="120" t="s">
        <v>2135</v>
      </c>
      <c r="T162" s="118"/>
      <c r="U162" s="118"/>
      <c r="V162" s="118"/>
      <c r="W162" s="118"/>
      <c r="X162" s="118"/>
      <c r="Y162" s="157"/>
      <c r="Z162" s="157"/>
    </row>
    <row r="163" spans="1:26">
      <c r="A163" s="119" t="s">
        <v>2136</v>
      </c>
      <c r="B163" s="120" t="s">
        <v>1945</v>
      </c>
      <c r="C163" s="121" t="s">
        <v>469</v>
      </c>
      <c r="D163" s="42" t="s">
        <v>610</v>
      </c>
      <c r="E163" s="42" t="s">
        <v>611</v>
      </c>
      <c r="F163" s="39">
        <v>45098</v>
      </c>
      <c r="G163" s="122" t="s">
        <v>1946</v>
      </c>
      <c r="H163" s="39">
        <v>45170</v>
      </c>
      <c r="I163" s="39">
        <v>45201</v>
      </c>
      <c r="J163" s="39">
        <v>45208</v>
      </c>
      <c r="K163" s="42" t="s">
        <v>18</v>
      </c>
      <c r="L163" s="42" t="s">
        <v>1543</v>
      </c>
      <c r="M163" s="123"/>
      <c r="N163" s="120" t="s">
        <v>20</v>
      </c>
      <c r="O163" s="42" t="s">
        <v>1278</v>
      </c>
      <c r="P163" s="203" t="s">
        <v>615</v>
      </c>
      <c r="Q163" s="126" t="s">
        <v>491</v>
      </c>
      <c r="R163" s="154">
        <v>45485</v>
      </c>
      <c r="S163" s="120" t="s">
        <v>2137</v>
      </c>
      <c r="T163" s="118"/>
      <c r="U163" s="118"/>
      <c r="V163" s="118"/>
      <c r="W163" s="118"/>
      <c r="X163" s="118"/>
      <c r="Y163" s="157"/>
      <c r="Z163" s="157"/>
    </row>
    <row r="164" spans="1:26">
      <c r="A164" s="119" t="s">
        <v>608</v>
      </c>
      <c r="B164" s="120" t="s">
        <v>2138</v>
      </c>
      <c r="C164" s="121" t="s">
        <v>469</v>
      </c>
      <c r="D164" s="42" t="s">
        <v>610</v>
      </c>
      <c r="E164" s="42" t="s">
        <v>611</v>
      </c>
      <c r="F164" s="39">
        <v>45098</v>
      </c>
      <c r="G164" s="122" t="s">
        <v>612</v>
      </c>
      <c r="H164" s="123"/>
      <c r="I164" s="123"/>
      <c r="J164" s="123"/>
      <c r="K164" s="42" t="s">
        <v>30</v>
      </c>
      <c r="L164" s="42" t="s">
        <v>1543</v>
      </c>
      <c r="M164" s="42" t="s">
        <v>613</v>
      </c>
      <c r="N164" s="120" t="s">
        <v>47</v>
      </c>
      <c r="O164" s="42" t="s">
        <v>614</v>
      </c>
      <c r="P164" s="203" t="s">
        <v>615</v>
      </c>
      <c r="Q164" s="126" t="s">
        <v>485</v>
      </c>
      <c r="R164" s="90">
        <v>45355</v>
      </c>
      <c r="S164" s="120" t="s">
        <v>2139</v>
      </c>
      <c r="T164" s="118"/>
      <c r="U164" s="118"/>
      <c r="V164" s="118"/>
      <c r="W164" s="118"/>
      <c r="X164" s="118"/>
      <c r="Y164" s="157"/>
      <c r="Z164" s="157"/>
    </row>
    <row r="165" spans="1:26">
      <c r="A165" s="119" t="s">
        <v>2140</v>
      </c>
      <c r="B165" s="112" t="s">
        <v>2141</v>
      </c>
      <c r="C165" s="113" t="s">
        <v>469</v>
      </c>
      <c r="D165" s="114" t="s">
        <v>610</v>
      </c>
      <c r="E165" s="114" t="s">
        <v>611</v>
      </c>
      <c r="F165" s="80">
        <v>45097</v>
      </c>
      <c r="G165" s="115" t="s">
        <v>2142</v>
      </c>
      <c r="H165" s="116"/>
      <c r="I165" s="116"/>
      <c r="J165" s="116"/>
      <c r="K165" s="42" t="s">
        <v>30</v>
      </c>
      <c r="L165" s="114" t="s">
        <v>2143</v>
      </c>
      <c r="M165" s="114" t="s">
        <v>613</v>
      </c>
      <c r="N165" s="114" t="s">
        <v>47</v>
      </c>
      <c r="O165" s="114" t="s">
        <v>2144</v>
      </c>
      <c r="P165" s="176" t="s">
        <v>615</v>
      </c>
      <c r="Q165" s="115" t="s">
        <v>485</v>
      </c>
      <c r="R165" s="127">
        <v>45217</v>
      </c>
      <c r="S165" s="112" t="s">
        <v>2145</v>
      </c>
      <c r="T165" s="103"/>
      <c r="U165" s="103"/>
      <c r="V165" s="103"/>
      <c r="W165" s="103"/>
      <c r="X165" s="103"/>
      <c r="Y165" s="157"/>
      <c r="Z165" s="157"/>
    </row>
    <row r="166" spans="1:26">
      <c r="A166" s="119" t="s">
        <v>2146</v>
      </c>
      <c r="B166" s="120" t="s">
        <v>2147</v>
      </c>
      <c r="C166" s="121" t="s">
        <v>469</v>
      </c>
      <c r="D166" s="122" t="s">
        <v>823</v>
      </c>
      <c r="E166" s="42" t="s">
        <v>2148</v>
      </c>
      <c r="F166" s="39">
        <v>45102</v>
      </c>
      <c r="G166" s="122" t="s">
        <v>2149</v>
      </c>
      <c r="H166" s="39">
        <v>45125</v>
      </c>
      <c r="I166" s="39">
        <v>45126</v>
      </c>
      <c r="J166" s="39">
        <v>45155</v>
      </c>
      <c r="K166" s="42" t="s">
        <v>18</v>
      </c>
      <c r="L166" s="42" t="s">
        <v>1881</v>
      </c>
      <c r="M166" s="123"/>
      <c r="N166" s="42" t="s">
        <v>20</v>
      </c>
      <c r="O166" s="42" t="s">
        <v>1132</v>
      </c>
      <c r="P166" s="122" t="s">
        <v>519</v>
      </c>
      <c r="Q166" s="42" t="s">
        <v>491</v>
      </c>
      <c r="R166" s="39">
        <v>45499</v>
      </c>
      <c r="S166" s="120" t="s">
        <v>2150</v>
      </c>
      <c r="T166" s="118"/>
      <c r="U166" s="118"/>
      <c r="V166" s="118"/>
      <c r="W166" s="118"/>
      <c r="X166" s="118"/>
      <c r="Y166" s="157"/>
      <c r="Z166" s="157"/>
    </row>
    <row r="167" spans="1:26">
      <c r="A167" s="119" t="s">
        <v>2151</v>
      </c>
      <c r="B167" s="112" t="s">
        <v>2152</v>
      </c>
      <c r="C167" s="113" t="s">
        <v>2153</v>
      </c>
      <c r="D167" s="115" t="s">
        <v>1198</v>
      </c>
      <c r="E167" s="114" t="s">
        <v>2154</v>
      </c>
      <c r="F167" s="80">
        <v>44988</v>
      </c>
      <c r="G167" s="115" t="s">
        <v>2155</v>
      </c>
      <c r="H167" s="80">
        <v>45128</v>
      </c>
      <c r="I167" s="80">
        <v>45132</v>
      </c>
      <c r="J167" s="115" t="s">
        <v>820</v>
      </c>
      <c r="K167" s="114" t="s">
        <v>18</v>
      </c>
      <c r="L167" s="114" t="s">
        <v>1543</v>
      </c>
      <c r="M167" s="116"/>
      <c r="N167" s="114" t="s">
        <v>20</v>
      </c>
      <c r="O167" s="114" t="s">
        <v>1200</v>
      </c>
      <c r="P167" s="114" t="s">
        <v>1201</v>
      </c>
      <c r="Q167" s="115" t="s">
        <v>491</v>
      </c>
      <c r="R167" s="154">
        <v>45499</v>
      </c>
      <c r="S167" s="112" t="s">
        <v>2156</v>
      </c>
      <c r="T167" s="103"/>
      <c r="U167" s="103"/>
      <c r="V167" s="103"/>
      <c r="W167" s="103"/>
      <c r="X167" s="103"/>
      <c r="Y167" s="157"/>
      <c r="Z167" s="157"/>
    </row>
    <row r="168" spans="1:26">
      <c r="A168" s="119" t="s">
        <v>2157</v>
      </c>
      <c r="B168" s="112" t="s">
        <v>1795</v>
      </c>
      <c r="C168" s="113" t="s">
        <v>546</v>
      </c>
      <c r="D168" s="114" t="s">
        <v>610</v>
      </c>
      <c r="E168" s="114" t="s">
        <v>611</v>
      </c>
      <c r="F168" s="80">
        <v>45054</v>
      </c>
      <c r="G168" s="115" t="s">
        <v>1796</v>
      </c>
      <c r="H168" s="80">
        <v>45121</v>
      </c>
      <c r="I168" s="80">
        <v>45126</v>
      </c>
      <c r="J168" s="115" t="s">
        <v>556</v>
      </c>
      <c r="K168" s="114" t="s">
        <v>18</v>
      </c>
      <c r="L168" s="114" t="s">
        <v>1543</v>
      </c>
      <c r="M168" s="116"/>
      <c r="N168" s="114" t="s">
        <v>20</v>
      </c>
      <c r="O168" s="114" t="s">
        <v>483</v>
      </c>
      <c r="P168" s="176" t="s">
        <v>615</v>
      </c>
      <c r="Q168" s="115" t="s">
        <v>491</v>
      </c>
      <c r="R168" s="80">
        <v>45499</v>
      </c>
      <c r="S168" s="112" t="s">
        <v>2158</v>
      </c>
      <c r="T168" s="103"/>
      <c r="U168" s="103"/>
      <c r="V168" s="103"/>
      <c r="W168" s="103"/>
      <c r="X168" s="103"/>
      <c r="Y168" s="157"/>
      <c r="Z168" s="157"/>
    </row>
    <row r="169" spans="1:26">
      <c r="A169" s="119" t="s">
        <v>2159</v>
      </c>
      <c r="B169" s="112" t="s">
        <v>2160</v>
      </c>
      <c r="C169" s="113" t="s">
        <v>546</v>
      </c>
      <c r="D169" s="115" t="s">
        <v>910</v>
      </c>
      <c r="E169" s="114" t="s">
        <v>685</v>
      </c>
      <c r="F169" s="80">
        <v>45105</v>
      </c>
      <c r="G169" s="115" t="s">
        <v>2161</v>
      </c>
      <c r="H169" s="115" t="s">
        <v>820</v>
      </c>
      <c r="I169" s="80">
        <v>45160</v>
      </c>
      <c r="J169" s="115" t="s">
        <v>556</v>
      </c>
      <c r="K169" s="114" t="s">
        <v>18</v>
      </c>
      <c r="L169" s="114" t="s">
        <v>1543</v>
      </c>
      <c r="M169" s="116"/>
      <c r="N169" s="114" t="s">
        <v>47</v>
      </c>
      <c r="O169" s="114" t="s">
        <v>2162</v>
      </c>
      <c r="P169" s="114" t="s">
        <v>2163</v>
      </c>
      <c r="Q169" s="115" t="s">
        <v>550</v>
      </c>
      <c r="R169" s="127">
        <v>45219</v>
      </c>
      <c r="S169" s="112" t="s">
        <v>2164</v>
      </c>
      <c r="T169" s="103"/>
      <c r="U169" s="103"/>
      <c r="V169" s="103"/>
      <c r="W169" s="103"/>
      <c r="X169" s="103"/>
      <c r="Y169" s="157"/>
      <c r="Z169" s="157"/>
    </row>
    <row r="170" spans="1:26">
      <c r="A170" s="119" t="s">
        <v>2165</v>
      </c>
      <c r="B170" s="112" t="s">
        <v>2166</v>
      </c>
      <c r="C170" s="113" t="s">
        <v>546</v>
      </c>
      <c r="D170" s="114" t="s">
        <v>2167</v>
      </c>
      <c r="E170" s="114" t="s">
        <v>685</v>
      </c>
      <c r="F170" s="80">
        <v>45111</v>
      </c>
      <c r="G170" s="115" t="s">
        <v>2168</v>
      </c>
      <c r="H170" s="116"/>
      <c r="I170" s="116"/>
      <c r="J170" s="116"/>
      <c r="K170" s="42" t="s">
        <v>30</v>
      </c>
      <c r="L170" s="114" t="s">
        <v>481</v>
      </c>
      <c r="M170" s="116"/>
      <c r="N170" s="114" t="s">
        <v>1590</v>
      </c>
      <c r="O170" s="176" t="s">
        <v>1562</v>
      </c>
      <c r="P170" s="114" t="s">
        <v>1069</v>
      </c>
      <c r="Q170" s="115" t="s">
        <v>575</v>
      </c>
      <c r="R170" s="80">
        <v>45205</v>
      </c>
      <c r="S170" s="112" t="s">
        <v>2169</v>
      </c>
      <c r="T170" s="103"/>
      <c r="U170" s="103"/>
      <c r="V170" s="103"/>
      <c r="W170" s="103"/>
      <c r="X170" s="103"/>
      <c r="Y170" s="157"/>
      <c r="Z170" s="157"/>
    </row>
    <row r="171" spans="1:26">
      <c r="A171" s="119" t="s">
        <v>2170</v>
      </c>
      <c r="B171" s="120" t="s">
        <v>2171</v>
      </c>
      <c r="C171" s="121" t="s">
        <v>469</v>
      </c>
      <c r="D171" s="122" t="s">
        <v>823</v>
      </c>
      <c r="E171" s="42" t="s">
        <v>2172</v>
      </c>
      <c r="F171" s="39">
        <v>45112</v>
      </c>
      <c r="G171" s="122" t="s">
        <v>2173</v>
      </c>
      <c r="H171" s="90">
        <v>45244</v>
      </c>
      <c r="I171" s="90">
        <v>45258</v>
      </c>
      <c r="J171" s="39">
        <v>45308</v>
      </c>
      <c r="K171" s="42" t="s">
        <v>18</v>
      </c>
      <c r="L171" s="42" t="s">
        <v>1543</v>
      </c>
      <c r="M171" s="123"/>
      <c r="N171" s="42" t="s">
        <v>20</v>
      </c>
      <c r="O171" s="42" t="s">
        <v>2174</v>
      </c>
      <c r="P171" s="42" t="s">
        <v>700</v>
      </c>
      <c r="Q171" s="126" t="s">
        <v>491</v>
      </c>
      <c r="R171" s="154">
        <v>45485</v>
      </c>
      <c r="S171" s="120" t="s">
        <v>2175</v>
      </c>
      <c r="T171" s="118"/>
      <c r="U171" s="118"/>
      <c r="V171" s="118"/>
      <c r="W171" s="118"/>
      <c r="X171" s="118"/>
      <c r="Y171" s="157"/>
      <c r="Z171" s="157"/>
    </row>
    <row r="172" spans="1:26">
      <c r="A172" s="119" t="s">
        <v>2176</v>
      </c>
      <c r="B172" s="120" t="s">
        <v>2177</v>
      </c>
      <c r="C172" s="121" t="s">
        <v>546</v>
      </c>
      <c r="D172" s="122" t="s">
        <v>823</v>
      </c>
      <c r="E172" s="42" t="s">
        <v>516</v>
      </c>
      <c r="F172" s="39">
        <v>45113</v>
      </c>
      <c r="G172" s="122" t="s">
        <v>2178</v>
      </c>
      <c r="H172" s="123"/>
      <c r="I172" s="123"/>
      <c r="J172" s="123"/>
      <c r="K172" s="42" t="s">
        <v>30</v>
      </c>
      <c r="L172" s="114" t="s">
        <v>481</v>
      </c>
      <c r="M172" s="123"/>
      <c r="N172" s="42" t="s">
        <v>1716</v>
      </c>
      <c r="O172" s="42" t="s">
        <v>1412</v>
      </c>
      <c r="P172" s="42" t="s">
        <v>484</v>
      </c>
      <c r="Q172" s="18" t="s">
        <v>2179</v>
      </c>
      <c r="R172" s="39">
        <v>45302</v>
      </c>
      <c r="S172" s="120" t="s">
        <v>2180</v>
      </c>
      <c r="T172" s="118"/>
      <c r="U172" s="118"/>
      <c r="V172" s="118"/>
      <c r="W172" s="118"/>
      <c r="X172" s="118"/>
      <c r="Y172" s="157"/>
      <c r="Z172" s="157"/>
    </row>
    <row r="173" spans="1:26">
      <c r="A173" s="111" t="s">
        <v>2181</v>
      </c>
      <c r="B173" s="112" t="s">
        <v>2182</v>
      </c>
      <c r="C173" s="113" t="s">
        <v>546</v>
      </c>
      <c r="D173" s="115" t="s">
        <v>516</v>
      </c>
      <c r="E173" s="114" t="s">
        <v>516</v>
      </c>
      <c r="F173" s="80">
        <v>45117</v>
      </c>
      <c r="G173" s="115" t="s">
        <v>2183</v>
      </c>
      <c r="H173" s="116"/>
      <c r="I173" s="116"/>
      <c r="J173" s="116"/>
      <c r="K173" s="114" t="s">
        <v>18</v>
      </c>
      <c r="L173" s="114" t="s">
        <v>1543</v>
      </c>
      <c r="M173" s="116"/>
      <c r="N173" s="114" t="s">
        <v>2184</v>
      </c>
      <c r="O173" s="116"/>
      <c r="P173" s="116"/>
      <c r="Q173" s="115" t="s">
        <v>2179</v>
      </c>
      <c r="R173" s="80">
        <v>45149</v>
      </c>
      <c r="S173" s="112" t="s">
        <v>2185</v>
      </c>
      <c r="T173" s="103"/>
      <c r="U173" s="103"/>
      <c r="V173" s="103"/>
      <c r="W173" s="103"/>
      <c r="X173" s="103"/>
      <c r="Y173" s="157"/>
      <c r="Z173" s="157"/>
    </row>
    <row r="174" spans="1:26">
      <c r="A174" s="119" t="s">
        <v>821</v>
      </c>
      <c r="B174" s="120" t="s">
        <v>822</v>
      </c>
      <c r="C174" s="121" t="s">
        <v>546</v>
      </c>
      <c r="D174" s="122" t="s">
        <v>823</v>
      </c>
      <c r="E174" s="42" t="s">
        <v>824</v>
      </c>
      <c r="F174" s="39">
        <v>45117</v>
      </c>
      <c r="G174" s="122" t="s">
        <v>825</v>
      </c>
      <c r="H174" s="39">
        <v>45264</v>
      </c>
      <c r="I174" s="39">
        <v>45469</v>
      </c>
      <c r="J174" s="39">
        <v>45482</v>
      </c>
      <c r="K174" s="42" t="s">
        <v>30</v>
      </c>
      <c r="L174" s="42" t="s">
        <v>1326</v>
      </c>
      <c r="M174" s="123"/>
      <c r="N174" s="42" t="s">
        <v>20</v>
      </c>
      <c r="O174" s="203" t="s">
        <v>827</v>
      </c>
      <c r="P174" s="203" t="s">
        <v>651</v>
      </c>
      <c r="Q174" s="122" t="s">
        <v>668</v>
      </c>
      <c r="R174" s="39">
        <v>45474</v>
      </c>
      <c r="S174" s="120" t="s">
        <v>2186</v>
      </c>
      <c r="T174" s="118"/>
      <c r="U174" s="118"/>
      <c r="V174" s="118"/>
      <c r="W174" s="118"/>
      <c r="X174" s="118"/>
      <c r="Y174" s="157"/>
      <c r="Z174" s="157"/>
    </row>
    <row r="175" spans="1:26">
      <c r="A175" s="119" t="s">
        <v>2187</v>
      </c>
      <c r="B175" s="112" t="s">
        <v>2188</v>
      </c>
      <c r="C175" s="116"/>
      <c r="D175" s="114" t="s">
        <v>1241</v>
      </c>
      <c r="E175" s="114" t="s">
        <v>2189</v>
      </c>
      <c r="F175" s="116"/>
      <c r="G175" s="115" t="s">
        <v>2190</v>
      </c>
      <c r="H175" s="116"/>
      <c r="I175" s="116"/>
      <c r="J175" s="116"/>
      <c r="K175" s="114" t="s">
        <v>18</v>
      </c>
      <c r="L175" s="114" t="s">
        <v>481</v>
      </c>
      <c r="M175" s="116"/>
      <c r="N175" s="114" t="s">
        <v>47</v>
      </c>
      <c r="O175" s="116"/>
      <c r="P175" s="116"/>
      <c r="Q175" s="115" t="s">
        <v>1995</v>
      </c>
      <c r="R175" s="80">
        <v>45183</v>
      </c>
      <c r="S175" s="112" t="s">
        <v>2191</v>
      </c>
      <c r="T175" s="103"/>
      <c r="U175" s="103"/>
      <c r="V175" s="103"/>
      <c r="W175" s="103"/>
      <c r="X175" s="103"/>
      <c r="Y175" s="157"/>
      <c r="Z175" s="157"/>
    </row>
    <row r="176" spans="1:26">
      <c r="A176" s="119" t="s">
        <v>2192</v>
      </c>
      <c r="B176" s="112" t="s">
        <v>2193</v>
      </c>
      <c r="C176" s="116"/>
      <c r="D176" s="115" t="s">
        <v>823</v>
      </c>
      <c r="E176" s="116"/>
      <c r="F176" s="116"/>
      <c r="G176" s="115" t="s">
        <v>895</v>
      </c>
      <c r="H176" s="116"/>
      <c r="I176" s="116"/>
      <c r="J176" s="116"/>
      <c r="K176" s="114" t="s">
        <v>18</v>
      </c>
      <c r="L176" s="116"/>
      <c r="M176" s="116"/>
      <c r="N176" s="114" t="s">
        <v>47</v>
      </c>
      <c r="O176" s="116"/>
      <c r="P176" s="116"/>
      <c r="Q176" s="115" t="s">
        <v>550</v>
      </c>
      <c r="R176" s="80">
        <v>45134</v>
      </c>
      <c r="S176" s="112" t="s">
        <v>2194</v>
      </c>
      <c r="T176" s="103"/>
      <c r="U176" s="103"/>
      <c r="V176" s="103"/>
      <c r="W176" s="103"/>
      <c r="X176" s="103"/>
      <c r="Y176" s="157"/>
      <c r="Z176" s="157"/>
    </row>
    <row r="177" spans="1:26">
      <c r="A177" s="111" t="s">
        <v>2195</v>
      </c>
      <c r="B177" s="112" t="s">
        <v>2196</v>
      </c>
      <c r="C177" s="114" t="s">
        <v>2197</v>
      </c>
      <c r="D177" s="115" t="s">
        <v>910</v>
      </c>
      <c r="E177" s="114" t="s">
        <v>2198</v>
      </c>
      <c r="F177" s="80">
        <v>45104</v>
      </c>
      <c r="G177" s="115" t="s">
        <v>895</v>
      </c>
      <c r="H177" s="116"/>
      <c r="I177" s="116"/>
      <c r="J177" s="116"/>
      <c r="K177" s="114" t="s">
        <v>18</v>
      </c>
      <c r="L177" s="114" t="s">
        <v>2143</v>
      </c>
      <c r="M177" s="116"/>
      <c r="N177" s="114" t="s">
        <v>47</v>
      </c>
      <c r="O177" s="115" t="s">
        <v>490</v>
      </c>
      <c r="P177" s="115" t="s">
        <v>490</v>
      </c>
      <c r="Q177" s="114" t="s">
        <v>668</v>
      </c>
      <c r="R177" s="80">
        <v>45121</v>
      </c>
      <c r="S177" s="112" t="s">
        <v>2199</v>
      </c>
      <c r="T177" s="103"/>
      <c r="U177" s="103"/>
      <c r="V177" s="103"/>
      <c r="W177" s="103"/>
      <c r="X177" s="103"/>
      <c r="Y177" s="157"/>
      <c r="Z177" s="157"/>
    </row>
    <row r="178" spans="1:26">
      <c r="A178" s="111" t="s">
        <v>2200</v>
      </c>
      <c r="B178" s="112" t="s">
        <v>2201</v>
      </c>
      <c r="C178" s="114" t="s">
        <v>2197</v>
      </c>
      <c r="D178" s="115" t="s">
        <v>910</v>
      </c>
      <c r="E178" s="114" t="s">
        <v>2198</v>
      </c>
      <c r="F178" s="80">
        <v>45104</v>
      </c>
      <c r="G178" s="115" t="s">
        <v>895</v>
      </c>
      <c r="H178" s="116"/>
      <c r="I178" s="116"/>
      <c r="J178" s="116"/>
      <c r="K178" s="114" t="s">
        <v>18</v>
      </c>
      <c r="L178" s="114" t="s">
        <v>2143</v>
      </c>
      <c r="M178" s="116"/>
      <c r="N178" s="114" t="s">
        <v>47</v>
      </c>
      <c r="O178" s="115" t="s">
        <v>490</v>
      </c>
      <c r="P178" s="115" t="s">
        <v>490</v>
      </c>
      <c r="Q178" s="114" t="s">
        <v>668</v>
      </c>
      <c r="R178" s="80">
        <v>45121</v>
      </c>
      <c r="S178" s="112" t="s">
        <v>2199</v>
      </c>
      <c r="T178" s="103"/>
      <c r="U178" s="103"/>
      <c r="V178" s="103"/>
      <c r="W178" s="103"/>
      <c r="X178" s="103"/>
      <c r="Y178" s="157"/>
      <c r="Z178" s="157"/>
    </row>
    <row r="179" spans="1:26">
      <c r="A179" s="111" t="s">
        <v>2202</v>
      </c>
      <c r="B179" s="112" t="s">
        <v>2203</v>
      </c>
      <c r="C179" s="114" t="s">
        <v>2197</v>
      </c>
      <c r="D179" s="114" t="s">
        <v>478</v>
      </c>
      <c r="E179" s="114" t="s">
        <v>2198</v>
      </c>
      <c r="F179" s="80">
        <v>45104</v>
      </c>
      <c r="G179" s="115" t="s">
        <v>895</v>
      </c>
      <c r="H179" s="116"/>
      <c r="I179" s="116"/>
      <c r="J179" s="116"/>
      <c r="K179" s="114" t="s">
        <v>18</v>
      </c>
      <c r="L179" s="114" t="s">
        <v>2143</v>
      </c>
      <c r="M179" s="116"/>
      <c r="N179" s="114" t="s">
        <v>47</v>
      </c>
      <c r="O179" s="115" t="s">
        <v>490</v>
      </c>
      <c r="P179" s="115" t="s">
        <v>490</v>
      </c>
      <c r="Q179" s="114" t="s">
        <v>668</v>
      </c>
      <c r="R179" s="80">
        <v>45121</v>
      </c>
      <c r="S179" s="112" t="s">
        <v>2199</v>
      </c>
      <c r="T179" s="103"/>
      <c r="U179" s="103"/>
      <c r="V179" s="103"/>
      <c r="W179" s="103"/>
      <c r="X179" s="103"/>
      <c r="Y179" s="157"/>
      <c r="Z179" s="157"/>
    </row>
    <row r="180" spans="1:26">
      <c r="A180" s="111" t="s">
        <v>2204</v>
      </c>
      <c r="B180" s="112" t="s">
        <v>2205</v>
      </c>
      <c r="C180" s="114" t="s">
        <v>2197</v>
      </c>
      <c r="D180" s="114" t="s">
        <v>478</v>
      </c>
      <c r="E180" s="114" t="s">
        <v>2198</v>
      </c>
      <c r="F180" s="80">
        <v>45104</v>
      </c>
      <c r="G180" s="115" t="s">
        <v>895</v>
      </c>
      <c r="H180" s="116"/>
      <c r="I180" s="116"/>
      <c r="J180" s="116"/>
      <c r="K180" s="114" t="s">
        <v>18</v>
      </c>
      <c r="L180" s="114" t="s">
        <v>2143</v>
      </c>
      <c r="M180" s="116"/>
      <c r="N180" s="114" t="s">
        <v>47</v>
      </c>
      <c r="O180" s="115" t="s">
        <v>490</v>
      </c>
      <c r="P180" s="115" t="s">
        <v>490</v>
      </c>
      <c r="Q180" s="114" t="s">
        <v>668</v>
      </c>
      <c r="R180" s="80">
        <v>45121</v>
      </c>
      <c r="S180" s="112" t="s">
        <v>2199</v>
      </c>
      <c r="T180" s="103"/>
      <c r="U180" s="103"/>
      <c r="V180" s="103"/>
      <c r="W180" s="103"/>
      <c r="X180" s="103"/>
      <c r="Y180" s="157"/>
      <c r="Z180" s="157"/>
    </row>
    <row r="181" spans="1:26">
      <c r="A181" s="111" t="s">
        <v>2206</v>
      </c>
      <c r="B181" s="112" t="s">
        <v>2207</v>
      </c>
      <c r="C181" s="114" t="s">
        <v>2197</v>
      </c>
      <c r="D181" s="114" t="s">
        <v>478</v>
      </c>
      <c r="E181" s="114" t="s">
        <v>2198</v>
      </c>
      <c r="F181" s="80">
        <v>45104</v>
      </c>
      <c r="G181" s="115" t="s">
        <v>895</v>
      </c>
      <c r="H181" s="116"/>
      <c r="I181" s="116"/>
      <c r="J181" s="116"/>
      <c r="K181" s="114" t="s">
        <v>18</v>
      </c>
      <c r="L181" s="114" t="s">
        <v>2143</v>
      </c>
      <c r="M181" s="116"/>
      <c r="N181" s="114" t="s">
        <v>47</v>
      </c>
      <c r="O181" s="115" t="s">
        <v>490</v>
      </c>
      <c r="P181" s="115" t="s">
        <v>490</v>
      </c>
      <c r="Q181" s="114" t="s">
        <v>668</v>
      </c>
      <c r="R181" s="80">
        <v>45121</v>
      </c>
      <c r="S181" s="112" t="s">
        <v>2199</v>
      </c>
      <c r="T181" s="103"/>
      <c r="U181" s="103"/>
      <c r="V181" s="103"/>
      <c r="W181" s="103"/>
      <c r="X181" s="103"/>
      <c r="Y181" s="157"/>
      <c r="Z181" s="157"/>
    </row>
    <row r="182" spans="1:26">
      <c r="A182" s="111" t="s">
        <v>2208</v>
      </c>
      <c r="B182" s="112" t="s">
        <v>2209</v>
      </c>
      <c r="C182" s="114" t="s">
        <v>2197</v>
      </c>
      <c r="D182" s="114" t="s">
        <v>478</v>
      </c>
      <c r="E182" s="114" t="s">
        <v>2198</v>
      </c>
      <c r="F182" s="80">
        <v>45104</v>
      </c>
      <c r="G182" s="115" t="s">
        <v>895</v>
      </c>
      <c r="H182" s="116"/>
      <c r="I182" s="116"/>
      <c r="J182" s="116"/>
      <c r="K182" s="114" t="s">
        <v>18</v>
      </c>
      <c r="L182" s="114" t="s">
        <v>2143</v>
      </c>
      <c r="M182" s="116"/>
      <c r="N182" s="114" t="s">
        <v>47</v>
      </c>
      <c r="O182" s="115" t="s">
        <v>490</v>
      </c>
      <c r="P182" s="115" t="s">
        <v>490</v>
      </c>
      <c r="Q182" s="114" t="s">
        <v>668</v>
      </c>
      <c r="R182" s="80">
        <v>45121</v>
      </c>
      <c r="S182" s="112" t="s">
        <v>2199</v>
      </c>
      <c r="T182" s="103"/>
      <c r="U182" s="103"/>
      <c r="V182" s="103"/>
      <c r="W182" s="103"/>
      <c r="X182" s="103"/>
      <c r="Y182" s="157"/>
      <c r="Z182" s="157"/>
    </row>
    <row r="183" spans="1:26">
      <c r="A183" s="119" t="s">
        <v>2210</v>
      </c>
      <c r="B183" s="120" t="s">
        <v>2211</v>
      </c>
      <c r="C183" s="121" t="s">
        <v>469</v>
      </c>
      <c r="D183" s="122" t="s">
        <v>823</v>
      </c>
      <c r="E183" s="42" t="s">
        <v>2212</v>
      </c>
      <c r="F183" s="39">
        <v>45104</v>
      </c>
      <c r="G183" s="122" t="s">
        <v>2213</v>
      </c>
      <c r="H183" s="122" t="s">
        <v>556</v>
      </c>
      <c r="I183" s="39">
        <v>45310</v>
      </c>
      <c r="J183" s="39">
        <v>45397</v>
      </c>
      <c r="K183" s="42" t="s">
        <v>30</v>
      </c>
      <c r="L183" s="42" t="s">
        <v>1326</v>
      </c>
      <c r="M183" s="123"/>
      <c r="N183" s="42" t="s">
        <v>20</v>
      </c>
      <c r="O183" s="42" t="s">
        <v>803</v>
      </c>
      <c r="P183" s="203" t="s">
        <v>832</v>
      </c>
      <c r="Q183" s="122" t="s">
        <v>491</v>
      </c>
      <c r="R183" s="39">
        <v>45485</v>
      </c>
      <c r="S183" s="120" t="s">
        <v>2214</v>
      </c>
      <c r="T183" s="118"/>
      <c r="U183" s="118"/>
      <c r="V183" s="118"/>
      <c r="W183" s="118"/>
      <c r="X183" s="118"/>
      <c r="Y183" s="157"/>
      <c r="Z183" s="157"/>
    </row>
    <row r="184" spans="1:26">
      <c r="A184" s="119" t="s">
        <v>1182</v>
      </c>
      <c r="B184" s="120" t="s">
        <v>1183</v>
      </c>
      <c r="C184" s="121" t="s">
        <v>546</v>
      </c>
      <c r="D184" s="42" t="s">
        <v>610</v>
      </c>
      <c r="E184" s="42" t="s">
        <v>1184</v>
      </c>
      <c r="F184" s="39">
        <v>45111</v>
      </c>
      <c r="G184" s="122" t="s">
        <v>1185</v>
      </c>
      <c r="H184" s="39">
        <v>45525</v>
      </c>
      <c r="I184" s="39">
        <v>45530</v>
      </c>
      <c r="J184" s="39">
        <v>45541</v>
      </c>
      <c r="K184" s="42" t="s">
        <v>30</v>
      </c>
      <c r="L184" s="114" t="s">
        <v>481</v>
      </c>
      <c r="M184" s="42" t="s">
        <v>1186</v>
      </c>
      <c r="N184" s="42" t="s">
        <v>20</v>
      </c>
      <c r="O184" s="42" t="s">
        <v>997</v>
      </c>
      <c r="P184" s="121" t="s">
        <v>614</v>
      </c>
      <c r="Q184" s="122" t="s">
        <v>855</v>
      </c>
      <c r="R184" s="39">
        <v>45553</v>
      </c>
      <c r="S184" s="120" t="s">
        <v>2215</v>
      </c>
      <c r="T184" s="118"/>
      <c r="U184" s="118"/>
      <c r="V184" s="118"/>
      <c r="W184" s="118"/>
      <c r="X184" s="118"/>
      <c r="Y184" s="157"/>
      <c r="Z184" s="157"/>
    </row>
    <row r="185" spans="1:26">
      <c r="A185" s="119" t="s">
        <v>2216</v>
      </c>
      <c r="B185" s="120" t="s">
        <v>2217</v>
      </c>
      <c r="C185" s="121" t="s">
        <v>469</v>
      </c>
      <c r="D185" s="42" t="s">
        <v>610</v>
      </c>
      <c r="E185" s="42" t="s">
        <v>1184</v>
      </c>
      <c r="F185" s="39">
        <v>45121</v>
      </c>
      <c r="G185" s="122" t="s">
        <v>2218</v>
      </c>
      <c r="H185" s="123"/>
      <c r="I185" s="123"/>
      <c r="J185" s="123"/>
      <c r="K185" s="42" t="s">
        <v>30</v>
      </c>
      <c r="L185" s="42" t="s">
        <v>1543</v>
      </c>
      <c r="M185" s="42" t="s">
        <v>613</v>
      </c>
      <c r="N185" s="42" t="s">
        <v>47</v>
      </c>
      <c r="O185" s="121" t="s">
        <v>2144</v>
      </c>
      <c r="P185" s="203" t="s">
        <v>615</v>
      </c>
      <c r="Q185" s="122" t="s">
        <v>485</v>
      </c>
      <c r="R185" s="39">
        <v>45237</v>
      </c>
      <c r="S185" s="120" t="s">
        <v>2219</v>
      </c>
      <c r="T185" s="118"/>
      <c r="U185" s="118"/>
      <c r="V185" s="118"/>
      <c r="W185" s="118"/>
      <c r="X185" s="118"/>
      <c r="Y185" s="157"/>
      <c r="Z185" s="157"/>
    </row>
    <row r="186" spans="1:26">
      <c r="A186" s="119" t="s">
        <v>2220</v>
      </c>
      <c r="B186" s="120" t="s">
        <v>2221</v>
      </c>
      <c r="C186" s="120" t="s">
        <v>624</v>
      </c>
      <c r="D186" s="122" t="s">
        <v>479</v>
      </c>
      <c r="E186" s="42" t="s">
        <v>479</v>
      </c>
      <c r="F186" s="39">
        <v>45091</v>
      </c>
      <c r="G186" s="122" t="s">
        <v>2222</v>
      </c>
      <c r="H186" s="123"/>
      <c r="I186" s="123"/>
      <c r="J186" s="123"/>
      <c r="K186" s="42" t="s">
        <v>30</v>
      </c>
      <c r="L186" s="114" t="s">
        <v>481</v>
      </c>
      <c r="M186" s="123"/>
      <c r="N186" s="42" t="s">
        <v>27</v>
      </c>
      <c r="O186" s="121" t="s">
        <v>931</v>
      </c>
      <c r="P186" s="121" t="s">
        <v>2223</v>
      </c>
      <c r="Q186" s="42" t="s">
        <v>2224</v>
      </c>
      <c r="R186" s="90">
        <v>45589</v>
      </c>
      <c r="S186" s="120" t="s">
        <v>2225</v>
      </c>
      <c r="T186" s="118"/>
      <c r="U186" s="118"/>
      <c r="V186" s="118"/>
      <c r="W186" s="118"/>
      <c r="X186" s="118"/>
      <c r="Y186" s="157"/>
      <c r="Z186" s="157"/>
    </row>
    <row r="187" spans="1:26">
      <c r="A187" s="119" t="s">
        <v>789</v>
      </c>
      <c r="B187" s="120" t="s">
        <v>790</v>
      </c>
      <c r="C187" s="121" t="s">
        <v>546</v>
      </c>
      <c r="D187" s="122" t="s">
        <v>479</v>
      </c>
      <c r="E187" s="42" t="s">
        <v>479</v>
      </c>
      <c r="F187" s="39">
        <v>45124</v>
      </c>
      <c r="G187" s="122" t="s">
        <v>791</v>
      </c>
      <c r="H187" s="39">
        <v>45364</v>
      </c>
      <c r="I187" s="39">
        <v>45366</v>
      </c>
      <c r="J187" s="39">
        <v>45435</v>
      </c>
      <c r="K187" s="42" t="s">
        <v>18</v>
      </c>
      <c r="L187" s="114" t="s">
        <v>481</v>
      </c>
      <c r="M187" s="123"/>
      <c r="N187" s="42" t="s">
        <v>20</v>
      </c>
      <c r="O187" s="121" t="s">
        <v>793</v>
      </c>
      <c r="P187" s="121" t="s">
        <v>794</v>
      </c>
      <c r="Q187" s="42" t="s">
        <v>491</v>
      </c>
      <c r="R187" s="39">
        <v>45498</v>
      </c>
      <c r="S187" s="120" t="s">
        <v>2226</v>
      </c>
      <c r="T187" s="118"/>
      <c r="U187" s="118"/>
      <c r="V187" s="118"/>
      <c r="W187" s="118"/>
      <c r="X187" s="118"/>
      <c r="Y187" s="157"/>
      <c r="Z187" s="157"/>
    </row>
    <row r="188" spans="1:26">
      <c r="A188" s="119" t="s">
        <v>2227</v>
      </c>
      <c r="B188" s="120" t="s">
        <v>2228</v>
      </c>
      <c r="C188" s="121" t="s">
        <v>469</v>
      </c>
      <c r="D188" s="122" t="s">
        <v>1174</v>
      </c>
      <c r="E188" s="122" t="s">
        <v>1174</v>
      </c>
      <c r="F188" s="39">
        <v>45124</v>
      </c>
      <c r="G188" s="122" t="s">
        <v>2229</v>
      </c>
      <c r="H188" s="39">
        <v>45167</v>
      </c>
      <c r="I188" s="39">
        <v>45180</v>
      </c>
      <c r="J188" s="90">
        <v>45265</v>
      </c>
      <c r="K188" s="42" t="s">
        <v>18</v>
      </c>
      <c r="L188" s="42" t="s">
        <v>1543</v>
      </c>
      <c r="M188" s="123"/>
      <c r="N188" s="42" t="s">
        <v>47</v>
      </c>
      <c r="O188" s="121" t="s">
        <v>548</v>
      </c>
      <c r="P188" s="121" t="s">
        <v>1498</v>
      </c>
      <c r="Q188" s="204" t="s">
        <v>689</v>
      </c>
      <c r="R188" s="170">
        <v>45362</v>
      </c>
      <c r="S188" s="120" t="s">
        <v>2230</v>
      </c>
      <c r="T188" s="118"/>
      <c r="U188" s="118"/>
      <c r="V188" s="118"/>
      <c r="W188" s="118"/>
      <c r="X188" s="118"/>
      <c r="Y188" s="157"/>
      <c r="Z188" s="157"/>
    </row>
    <row r="189" spans="1:26">
      <c r="A189" s="119" t="s">
        <v>2231</v>
      </c>
      <c r="B189" s="120" t="s">
        <v>2232</v>
      </c>
      <c r="C189" s="121" t="s">
        <v>469</v>
      </c>
      <c r="D189" s="122" t="s">
        <v>479</v>
      </c>
      <c r="E189" s="42" t="s">
        <v>479</v>
      </c>
      <c r="F189" s="39">
        <v>45126</v>
      </c>
      <c r="G189" s="122" t="s">
        <v>2233</v>
      </c>
      <c r="H189" s="39">
        <v>45188</v>
      </c>
      <c r="I189" s="39">
        <v>45202</v>
      </c>
      <c r="J189" s="90">
        <v>45247</v>
      </c>
      <c r="K189" s="42" t="s">
        <v>30</v>
      </c>
      <c r="L189" s="42" t="s">
        <v>473</v>
      </c>
      <c r="M189" s="123"/>
      <c r="N189" s="42" t="s">
        <v>20</v>
      </c>
      <c r="O189" s="121" t="s">
        <v>548</v>
      </c>
      <c r="P189" s="121" t="s">
        <v>557</v>
      </c>
      <c r="Q189" s="115" t="s">
        <v>491</v>
      </c>
      <c r="R189" s="154">
        <v>45499</v>
      </c>
      <c r="S189" s="120" t="s">
        <v>2234</v>
      </c>
      <c r="T189" s="118"/>
      <c r="U189" s="118"/>
      <c r="V189" s="118"/>
      <c r="W189" s="118"/>
      <c r="X189" s="118"/>
      <c r="Y189" s="157"/>
      <c r="Z189" s="157"/>
    </row>
    <row r="190" spans="1:26">
      <c r="A190" s="119" t="s">
        <v>2235</v>
      </c>
      <c r="B190" s="120" t="s">
        <v>2236</v>
      </c>
      <c r="C190" s="121" t="s">
        <v>469</v>
      </c>
      <c r="D190" s="122" t="s">
        <v>823</v>
      </c>
      <c r="E190" s="42" t="s">
        <v>649</v>
      </c>
      <c r="F190" s="39">
        <v>45126</v>
      </c>
      <c r="G190" s="122" t="s">
        <v>2237</v>
      </c>
      <c r="H190" s="122" t="s">
        <v>556</v>
      </c>
      <c r="I190" s="39">
        <v>45327</v>
      </c>
      <c r="J190" s="39">
        <v>45421</v>
      </c>
      <c r="K190" s="42" t="s">
        <v>18</v>
      </c>
      <c r="L190" s="42" t="s">
        <v>1326</v>
      </c>
      <c r="M190" s="123"/>
      <c r="N190" s="42" t="s">
        <v>47</v>
      </c>
      <c r="O190" s="122" t="s">
        <v>519</v>
      </c>
      <c r="P190" s="42" t="s">
        <v>803</v>
      </c>
      <c r="Q190" s="115" t="s">
        <v>491</v>
      </c>
      <c r="R190" s="39">
        <v>45509</v>
      </c>
      <c r="S190" s="120" t="s">
        <v>2238</v>
      </c>
      <c r="T190" s="118"/>
      <c r="U190" s="118"/>
      <c r="V190" s="118"/>
      <c r="W190" s="118"/>
      <c r="X190" s="118"/>
      <c r="Y190" s="157"/>
      <c r="Z190" s="157"/>
    </row>
    <row r="191" spans="1:26">
      <c r="A191" s="111" t="s">
        <v>2239</v>
      </c>
      <c r="B191" s="112" t="s">
        <v>2240</v>
      </c>
      <c r="C191" s="113" t="s">
        <v>469</v>
      </c>
      <c r="D191" s="115" t="s">
        <v>823</v>
      </c>
      <c r="E191" s="114" t="s">
        <v>506</v>
      </c>
      <c r="F191" s="80">
        <v>45126</v>
      </c>
      <c r="G191" s="115" t="s">
        <v>2241</v>
      </c>
      <c r="H191" s="116"/>
      <c r="I191" s="116"/>
      <c r="J191" s="116"/>
      <c r="K191" s="114" t="s">
        <v>18</v>
      </c>
      <c r="L191" s="114" t="s">
        <v>1881</v>
      </c>
      <c r="M191" s="116"/>
      <c r="N191" s="114" t="s">
        <v>47</v>
      </c>
      <c r="O191" s="115" t="s">
        <v>490</v>
      </c>
      <c r="P191" s="115" t="s">
        <v>490</v>
      </c>
      <c r="Q191" s="115" t="s">
        <v>668</v>
      </c>
      <c r="R191" s="39">
        <v>45156</v>
      </c>
      <c r="S191" s="112" t="s">
        <v>2242</v>
      </c>
      <c r="T191" s="103"/>
      <c r="U191" s="103"/>
      <c r="V191" s="103"/>
      <c r="W191" s="103"/>
      <c r="X191" s="103"/>
      <c r="Y191" s="157"/>
      <c r="Z191" s="157"/>
    </row>
    <row r="192" spans="1:26">
      <c r="A192" s="119" t="s">
        <v>2243</v>
      </c>
      <c r="B192" s="120" t="s">
        <v>2244</v>
      </c>
      <c r="C192" s="121" t="s">
        <v>469</v>
      </c>
      <c r="D192" s="122" t="s">
        <v>823</v>
      </c>
      <c r="E192" s="42" t="s">
        <v>2245</v>
      </c>
      <c r="F192" s="39">
        <v>45126</v>
      </c>
      <c r="G192" s="122" t="s">
        <v>2246</v>
      </c>
      <c r="H192" s="39">
        <v>45160</v>
      </c>
      <c r="I192" s="39">
        <v>45161</v>
      </c>
      <c r="J192" s="39">
        <v>45168</v>
      </c>
      <c r="K192" s="42" t="s">
        <v>18</v>
      </c>
      <c r="L192" s="42" t="s">
        <v>473</v>
      </c>
      <c r="M192" s="123"/>
      <c r="N192" s="42" t="s">
        <v>20</v>
      </c>
      <c r="O192" s="122" t="s">
        <v>490</v>
      </c>
      <c r="P192" s="122" t="s">
        <v>490</v>
      </c>
      <c r="Q192" s="122" t="s">
        <v>491</v>
      </c>
      <c r="R192" s="39">
        <v>45499</v>
      </c>
      <c r="S192" s="120" t="s">
        <v>2247</v>
      </c>
      <c r="T192" s="118"/>
      <c r="U192" s="118"/>
      <c r="V192" s="118"/>
      <c r="W192" s="118"/>
      <c r="X192" s="118"/>
      <c r="Y192" s="157"/>
      <c r="Z192" s="157"/>
    </row>
    <row r="193" spans="1:26">
      <c r="A193" s="119" t="s">
        <v>2248</v>
      </c>
      <c r="B193" s="120" t="s">
        <v>2249</v>
      </c>
      <c r="C193" s="121" t="s">
        <v>469</v>
      </c>
      <c r="D193" s="122" t="s">
        <v>1174</v>
      </c>
      <c r="E193" s="42" t="s">
        <v>684</v>
      </c>
      <c r="F193" s="39">
        <v>45127</v>
      </c>
      <c r="G193" s="122" t="s">
        <v>2250</v>
      </c>
      <c r="H193" s="45">
        <v>45198</v>
      </c>
      <c r="I193" s="90">
        <v>45216</v>
      </c>
      <c r="J193" s="90">
        <v>45218</v>
      </c>
      <c r="K193" s="42" t="s">
        <v>30</v>
      </c>
      <c r="L193" s="42" t="s">
        <v>473</v>
      </c>
      <c r="M193" s="123"/>
      <c r="N193" s="42" t="s">
        <v>20</v>
      </c>
      <c r="O193" s="202" t="s">
        <v>743</v>
      </c>
      <c r="P193" s="203" t="s">
        <v>1722</v>
      </c>
      <c r="Q193" s="122" t="s">
        <v>491</v>
      </c>
      <c r="R193" s="80">
        <v>45499</v>
      </c>
      <c r="S193" s="120" t="s">
        <v>2251</v>
      </c>
      <c r="T193" s="118"/>
      <c r="U193" s="118"/>
      <c r="V193" s="118"/>
      <c r="W193" s="118"/>
      <c r="X193" s="118"/>
      <c r="Y193" s="157"/>
      <c r="Z193" s="157"/>
    </row>
    <row r="194" spans="1:26">
      <c r="A194" s="111" t="s">
        <v>2252</v>
      </c>
      <c r="B194" s="112" t="s">
        <v>2253</v>
      </c>
      <c r="C194" s="116"/>
      <c r="D194" s="115" t="s">
        <v>823</v>
      </c>
      <c r="E194" s="114" t="s">
        <v>506</v>
      </c>
      <c r="F194" s="80">
        <v>45127</v>
      </c>
      <c r="G194" s="115" t="s">
        <v>2254</v>
      </c>
      <c r="H194" s="116"/>
      <c r="I194" s="116"/>
      <c r="J194" s="116"/>
      <c r="K194" s="114" t="s">
        <v>18</v>
      </c>
      <c r="L194" s="114" t="s">
        <v>473</v>
      </c>
      <c r="M194" s="116"/>
      <c r="N194" s="114" t="s">
        <v>47</v>
      </c>
      <c r="O194" s="115" t="s">
        <v>490</v>
      </c>
      <c r="P194" s="115" t="s">
        <v>490</v>
      </c>
      <c r="Q194" s="115" t="s">
        <v>668</v>
      </c>
      <c r="R194" s="80">
        <v>45141</v>
      </c>
      <c r="S194" s="112" t="s">
        <v>2255</v>
      </c>
      <c r="T194" s="103"/>
      <c r="U194" s="103"/>
      <c r="V194" s="103"/>
      <c r="W194" s="103"/>
      <c r="X194" s="103"/>
      <c r="Y194" s="157"/>
      <c r="Z194" s="157"/>
    </row>
    <row r="195" spans="1:26">
      <c r="A195" s="119" t="s">
        <v>2256</v>
      </c>
      <c r="B195" s="120" t="s">
        <v>2257</v>
      </c>
      <c r="C195" s="121" t="s">
        <v>469</v>
      </c>
      <c r="D195" s="122" t="s">
        <v>823</v>
      </c>
      <c r="E195" s="42" t="s">
        <v>479</v>
      </c>
      <c r="F195" s="39">
        <v>45127</v>
      </c>
      <c r="G195" s="122" t="s">
        <v>2258</v>
      </c>
      <c r="H195" s="39">
        <v>45156</v>
      </c>
      <c r="I195" s="39">
        <v>45159</v>
      </c>
      <c r="J195" s="39">
        <v>45170</v>
      </c>
      <c r="K195" s="42" t="s">
        <v>18</v>
      </c>
      <c r="L195" s="42" t="s">
        <v>1881</v>
      </c>
      <c r="M195" s="123"/>
      <c r="N195" s="42" t="s">
        <v>20</v>
      </c>
      <c r="O195" s="122" t="s">
        <v>490</v>
      </c>
      <c r="P195" s="122" t="s">
        <v>490</v>
      </c>
      <c r="Q195" s="122" t="s">
        <v>491</v>
      </c>
      <c r="R195" s="39">
        <v>45499</v>
      </c>
      <c r="S195" s="120" t="s">
        <v>2259</v>
      </c>
      <c r="T195" s="118"/>
      <c r="U195" s="118"/>
      <c r="V195" s="118"/>
      <c r="W195" s="118"/>
      <c r="X195" s="118"/>
      <c r="Y195" s="157"/>
      <c r="Z195" s="157"/>
    </row>
    <row r="196" spans="1:26">
      <c r="A196" s="111" t="s">
        <v>2260</v>
      </c>
      <c r="B196" s="120" t="s">
        <v>2261</v>
      </c>
      <c r="C196" s="121" t="s">
        <v>469</v>
      </c>
      <c r="D196" s="122" t="s">
        <v>823</v>
      </c>
      <c r="E196" s="42" t="s">
        <v>506</v>
      </c>
      <c r="F196" s="39">
        <v>45131</v>
      </c>
      <c r="G196" s="122" t="s">
        <v>2262</v>
      </c>
      <c r="H196" s="39">
        <v>45168</v>
      </c>
      <c r="I196" s="39">
        <v>45182</v>
      </c>
      <c r="J196" s="122" t="s">
        <v>556</v>
      </c>
      <c r="K196" s="42" t="s">
        <v>18</v>
      </c>
      <c r="L196" s="42" t="s">
        <v>473</v>
      </c>
      <c r="M196" s="123"/>
      <c r="N196" s="42" t="s">
        <v>47</v>
      </c>
      <c r="O196" s="122" t="s">
        <v>490</v>
      </c>
      <c r="P196" s="122" t="s">
        <v>490</v>
      </c>
      <c r="Q196" s="122" t="s">
        <v>1649</v>
      </c>
      <c r="R196" s="39">
        <v>45306</v>
      </c>
      <c r="S196" s="120" t="s">
        <v>2263</v>
      </c>
      <c r="T196" s="118"/>
      <c r="U196" s="118"/>
      <c r="V196" s="118"/>
      <c r="W196" s="118"/>
      <c r="X196" s="118"/>
      <c r="Y196" s="157"/>
      <c r="Z196" s="157"/>
    </row>
    <row r="197" spans="1:26">
      <c r="A197" s="111" t="s">
        <v>2264</v>
      </c>
      <c r="B197" s="120" t="s">
        <v>2265</v>
      </c>
      <c r="C197" s="121" t="s">
        <v>469</v>
      </c>
      <c r="D197" s="122" t="s">
        <v>823</v>
      </c>
      <c r="E197" s="42" t="s">
        <v>506</v>
      </c>
      <c r="F197" s="39">
        <v>45135</v>
      </c>
      <c r="G197" s="122" t="s">
        <v>2266</v>
      </c>
      <c r="H197" s="123"/>
      <c r="I197" s="123"/>
      <c r="J197" s="123"/>
      <c r="K197" s="42" t="s">
        <v>30</v>
      </c>
      <c r="L197" s="42" t="s">
        <v>1881</v>
      </c>
      <c r="M197" s="123"/>
      <c r="N197" s="42" t="s">
        <v>47</v>
      </c>
      <c r="O197" s="122" t="s">
        <v>519</v>
      </c>
      <c r="P197" s="42" t="s">
        <v>803</v>
      </c>
      <c r="Q197" s="122" t="s">
        <v>668</v>
      </c>
      <c r="R197" s="39">
        <v>45174</v>
      </c>
      <c r="S197" s="120" t="s">
        <v>2267</v>
      </c>
      <c r="T197" s="118"/>
      <c r="U197" s="118"/>
      <c r="V197" s="118"/>
      <c r="W197" s="118"/>
      <c r="X197" s="118"/>
      <c r="Y197" s="157"/>
      <c r="Z197" s="157"/>
    </row>
    <row r="198" spans="1:26">
      <c r="A198" s="111" t="s">
        <v>2268</v>
      </c>
      <c r="B198" s="120" t="s">
        <v>2269</v>
      </c>
      <c r="C198" s="121" t="s">
        <v>469</v>
      </c>
      <c r="D198" s="122" t="s">
        <v>823</v>
      </c>
      <c r="E198" s="42" t="s">
        <v>506</v>
      </c>
      <c r="F198" s="39">
        <v>45135</v>
      </c>
      <c r="G198" s="122" t="s">
        <v>2270</v>
      </c>
      <c r="H198" s="123"/>
      <c r="I198" s="123"/>
      <c r="J198" s="123"/>
      <c r="K198" s="42" t="s">
        <v>30</v>
      </c>
      <c r="L198" s="42" t="s">
        <v>1881</v>
      </c>
      <c r="M198" s="123"/>
      <c r="N198" s="42" t="s">
        <v>47</v>
      </c>
      <c r="O198" s="122" t="s">
        <v>519</v>
      </c>
      <c r="P198" s="42" t="s">
        <v>803</v>
      </c>
      <c r="Q198" s="122" t="s">
        <v>668</v>
      </c>
      <c r="R198" s="39">
        <v>45174</v>
      </c>
      <c r="S198" s="120" t="s">
        <v>2271</v>
      </c>
      <c r="T198" s="118"/>
      <c r="U198" s="118"/>
      <c r="V198" s="118"/>
      <c r="W198" s="118"/>
      <c r="X198" s="118"/>
      <c r="Y198" s="157"/>
      <c r="Z198" s="157"/>
    </row>
    <row r="199" spans="1:26">
      <c r="A199" s="111" t="s">
        <v>2272</v>
      </c>
      <c r="B199" s="112" t="s">
        <v>2273</v>
      </c>
      <c r="C199" s="113" t="s">
        <v>546</v>
      </c>
      <c r="D199" s="115" t="s">
        <v>1057</v>
      </c>
      <c r="E199" s="114" t="s">
        <v>1057</v>
      </c>
      <c r="F199" s="80">
        <v>45135</v>
      </c>
      <c r="G199" s="115" t="s">
        <v>2274</v>
      </c>
      <c r="H199" s="116"/>
      <c r="I199" s="116"/>
      <c r="J199" s="116"/>
      <c r="K199" s="114" t="s">
        <v>18</v>
      </c>
      <c r="L199" s="114" t="s">
        <v>1326</v>
      </c>
      <c r="M199" s="116"/>
      <c r="N199" s="114" t="s">
        <v>47</v>
      </c>
      <c r="O199" s="113" t="s">
        <v>2275</v>
      </c>
      <c r="P199" s="113" t="s">
        <v>2276</v>
      </c>
      <c r="Q199" s="115" t="s">
        <v>550</v>
      </c>
      <c r="R199" s="127">
        <v>45225</v>
      </c>
      <c r="S199" s="112" t="s">
        <v>2277</v>
      </c>
      <c r="T199" s="103"/>
      <c r="U199" s="103"/>
      <c r="V199" s="103"/>
      <c r="W199" s="103"/>
      <c r="X199" s="103"/>
      <c r="Y199" s="157"/>
      <c r="Z199" s="157"/>
    </row>
    <row r="200" spans="1:26">
      <c r="A200" s="119" t="s">
        <v>2278</v>
      </c>
      <c r="B200" s="112" t="s">
        <v>2279</v>
      </c>
      <c r="C200" s="112" t="s">
        <v>546</v>
      </c>
      <c r="D200" s="115" t="s">
        <v>479</v>
      </c>
      <c r="E200" s="115" t="s">
        <v>479</v>
      </c>
      <c r="F200" s="80">
        <v>45135</v>
      </c>
      <c r="G200" s="115" t="s">
        <v>2280</v>
      </c>
      <c r="H200" s="80">
        <v>45175</v>
      </c>
      <c r="I200" s="80">
        <v>45183</v>
      </c>
      <c r="J200" s="127">
        <v>45218</v>
      </c>
      <c r="K200" s="114" t="s">
        <v>18</v>
      </c>
      <c r="L200" s="114" t="s">
        <v>1543</v>
      </c>
      <c r="M200" s="116"/>
      <c r="N200" s="114" t="s">
        <v>20</v>
      </c>
      <c r="O200" s="114" t="s">
        <v>1400</v>
      </c>
      <c r="P200" s="113" t="s">
        <v>2223</v>
      </c>
      <c r="Q200" s="115" t="s">
        <v>491</v>
      </c>
      <c r="R200" s="80">
        <v>45499</v>
      </c>
      <c r="S200" s="112" t="s">
        <v>2281</v>
      </c>
      <c r="T200" s="103"/>
      <c r="U200" s="103"/>
      <c r="V200" s="103"/>
      <c r="W200" s="103"/>
      <c r="X200" s="103"/>
      <c r="Y200" s="157"/>
      <c r="Z200" s="157"/>
    </row>
    <row r="201" spans="1:26">
      <c r="A201" s="111" t="s">
        <v>2282</v>
      </c>
      <c r="B201" s="112" t="s">
        <v>2283</v>
      </c>
      <c r="C201" s="113" t="s">
        <v>469</v>
      </c>
      <c r="D201" s="115" t="s">
        <v>823</v>
      </c>
      <c r="E201" s="114" t="s">
        <v>2284</v>
      </c>
      <c r="F201" s="80">
        <v>45138</v>
      </c>
      <c r="G201" s="115" t="s">
        <v>2285</v>
      </c>
      <c r="H201" s="114" t="s">
        <v>556</v>
      </c>
      <c r="I201" s="127">
        <v>45226</v>
      </c>
      <c r="J201" s="127">
        <v>45250</v>
      </c>
      <c r="K201" s="42" t="s">
        <v>30</v>
      </c>
      <c r="L201" s="114" t="s">
        <v>1881</v>
      </c>
      <c r="M201" s="116"/>
      <c r="N201" s="114" t="s">
        <v>47</v>
      </c>
      <c r="O201" s="176" t="s">
        <v>827</v>
      </c>
      <c r="P201" s="176" t="s">
        <v>651</v>
      </c>
      <c r="Q201" s="115" t="s">
        <v>1649</v>
      </c>
      <c r="R201" s="80">
        <v>45308</v>
      </c>
      <c r="S201" s="112" t="s">
        <v>2286</v>
      </c>
      <c r="T201" s="103"/>
      <c r="U201" s="103"/>
      <c r="V201" s="103"/>
      <c r="W201" s="103"/>
      <c r="X201" s="103"/>
      <c r="Y201" s="157"/>
      <c r="Z201" s="157"/>
    </row>
    <row r="202" spans="1:26">
      <c r="A202" s="119" t="s">
        <v>2287</v>
      </c>
      <c r="B202" s="112" t="s">
        <v>2288</v>
      </c>
      <c r="C202" s="113" t="s">
        <v>469</v>
      </c>
      <c r="D202" s="115" t="s">
        <v>823</v>
      </c>
      <c r="E202" s="114" t="s">
        <v>823</v>
      </c>
      <c r="F202" s="80">
        <v>45108</v>
      </c>
      <c r="G202" s="115" t="s">
        <v>2289</v>
      </c>
      <c r="H202" s="116"/>
      <c r="I202" s="116"/>
      <c r="J202" s="116"/>
      <c r="K202" s="42" t="s">
        <v>30</v>
      </c>
      <c r="L202" s="114" t="s">
        <v>1881</v>
      </c>
      <c r="M202" s="116"/>
      <c r="N202" s="114" t="s">
        <v>47</v>
      </c>
      <c r="O202" s="115" t="s">
        <v>519</v>
      </c>
      <c r="P202" s="114" t="s">
        <v>803</v>
      </c>
      <c r="Q202" s="115" t="s">
        <v>668</v>
      </c>
      <c r="R202" s="80">
        <v>45190</v>
      </c>
      <c r="S202" s="112" t="s">
        <v>2290</v>
      </c>
      <c r="T202" s="103"/>
      <c r="U202" s="103"/>
      <c r="V202" s="103"/>
      <c r="W202" s="103"/>
      <c r="X202" s="103"/>
      <c r="Y202" s="157"/>
      <c r="Z202" s="157"/>
    </row>
    <row r="203" spans="1:26">
      <c r="A203" s="119" t="s">
        <v>2291</v>
      </c>
      <c r="B203" s="112" t="s">
        <v>2292</v>
      </c>
      <c r="C203" s="113" t="s">
        <v>469</v>
      </c>
      <c r="D203" s="115" t="s">
        <v>823</v>
      </c>
      <c r="E203" s="114" t="s">
        <v>506</v>
      </c>
      <c r="F203" s="80">
        <v>45108</v>
      </c>
      <c r="G203" s="115" t="s">
        <v>2293</v>
      </c>
      <c r="H203" s="116"/>
      <c r="I203" s="116"/>
      <c r="J203" s="116"/>
      <c r="K203" s="42" t="s">
        <v>30</v>
      </c>
      <c r="L203" s="114" t="s">
        <v>1881</v>
      </c>
      <c r="M203" s="116"/>
      <c r="N203" s="114" t="s">
        <v>47</v>
      </c>
      <c r="O203" s="115" t="s">
        <v>519</v>
      </c>
      <c r="P203" s="114" t="s">
        <v>803</v>
      </c>
      <c r="Q203" s="115" t="s">
        <v>668</v>
      </c>
      <c r="R203" s="80">
        <v>45190</v>
      </c>
      <c r="S203" s="112" t="s">
        <v>2294</v>
      </c>
      <c r="T203" s="103"/>
      <c r="U203" s="103"/>
      <c r="V203" s="103"/>
      <c r="W203" s="103"/>
      <c r="X203" s="103"/>
      <c r="Y203" s="157"/>
      <c r="Z203" s="157"/>
    </row>
    <row r="204" spans="1:26">
      <c r="A204" s="111" t="s">
        <v>2295</v>
      </c>
      <c r="B204" s="112" t="s">
        <v>2296</v>
      </c>
      <c r="C204" s="113" t="s">
        <v>546</v>
      </c>
      <c r="D204" s="115" t="s">
        <v>823</v>
      </c>
      <c r="E204" s="114" t="s">
        <v>823</v>
      </c>
      <c r="F204" s="80">
        <v>45108</v>
      </c>
      <c r="G204" s="115" t="s">
        <v>2297</v>
      </c>
      <c r="H204" s="80">
        <v>45160</v>
      </c>
      <c r="I204" s="80">
        <v>45166</v>
      </c>
      <c r="J204" s="127">
        <v>45243</v>
      </c>
      <c r="K204" s="114" t="s">
        <v>18</v>
      </c>
      <c r="L204" s="114" t="s">
        <v>473</v>
      </c>
      <c r="M204" s="116"/>
      <c r="N204" s="114" t="s">
        <v>20</v>
      </c>
      <c r="O204" s="113" t="s">
        <v>490</v>
      </c>
      <c r="P204" s="113" t="s">
        <v>490</v>
      </c>
      <c r="Q204" s="115" t="s">
        <v>491</v>
      </c>
      <c r="R204" s="80">
        <v>45485</v>
      </c>
      <c r="S204" s="112" t="s">
        <v>2298</v>
      </c>
      <c r="T204" s="103"/>
      <c r="U204" s="103"/>
      <c r="V204" s="103"/>
      <c r="W204" s="103"/>
      <c r="X204" s="103"/>
      <c r="Y204" s="157"/>
      <c r="Z204" s="157"/>
    </row>
    <row r="205" spans="1:26">
      <c r="A205" s="111" t="s">
        <v>2299</v>
      </c>
      <c r="B205" s="112" t="s">
        <v>2300</v>
      </c>
      <c r="C205" s="113" t="s">
        <v>546</v>
      </c>
      <c r="D205" s="115" t="s">
        <v>1057</v>
      </c>
      <c r="E205" s="114" t="s">
        <v>2301</v>
      </c>
      <c r="F205" s="80">
        <v>45149</v>
      </c>
      <c r="G205" s="115" t="s">
        <v>2302</v>
      </c>
      <c r="H205" s="114" t="s">
        <v>820</v>
      </c>
      <c r="I205" s="127">
        <v>45209</v>
      </c>
      <c r="J205" s="115" t="s">
        <v>2303</v>
      </c>
      <c r="K205" s="42" t="s">
        <v>30</v>
      </c>
      <c r="L205" s="114" t="s">
        <v>473</v>
      </c>
      <c r="M205" s="116"/>
      <c r="N205" s="114" t="s">
        <v>47</v>
      </c>
      <c r="O205" s="113" t="s">
        <v>490</v>
      </c>
      <c r="P205" s="113" t="s">
        <v>490</v>
      </c>
      <c r="Q205" s="115" t="s">
        <v>1649</v>
      </c>
      <c r="R205" s="80">
        <v>45425</v>
      </c>
      <c r="S205" s="112" t="s">
        <v>2304</v>
      </c>
      <c r="T205" s="103"/>
      <c r="U205" s="103"/>
      <c r="V205" s="103"/>
      <c r="W205" s="103"/>
      <c r="X205" s="103"/>
      <c r="Y205" s="157"/>
      <c r="Z205" s="157"/>
    </row>
    <row r="206" spans="1:26">
      <c r="A206" s="119" t="s">
        <v>2305</v>
      </c>
      <c r="B206" s="112" t="s">
        <v>2306</v>
      </c>
      <c r="C206" s="113" t="s">
        <v>469</v>
      </c>
      <c r="D206" s="115" t="s">
        <v>823</v>
      </c>
      <c r="E206" s="114" t="s">
        <v>823</v>
      </c>
      <c r="F206" s="205">
        <v>45152</v>
      </c>
      <c r="G206" s="115" t="s">
        <v>2307</v>
      </c>
      <c r="H206" s="80">
        <v>45163</v>
      </c>
      <c r="I206" s="80">
        <v>45197</v>
      </c>
      <c r="J206" s="127">
        <v>45215</v>
      </c>
      <c r="K206" s="114" t="s">
        <v>18</v>
      </c>
      <c r="L206" s="114" t="s">
        <v>1881</v>
      </c>
      <c r="M206" s="116"/>
      <c r="N206" s="114" t="s">
        <v>20</v>
      </c>
      <c r="O206" s="113" t="s">
        <v>490</v>
      </c>
      <c r="P206" s="113" t="s">
        <v>490</v>
      </c>
      <c r="Q206" s="115" t="s">
        <v>491</v>
      </c>
      <c r="R206" s="80">
        <v>45499</v>
      </c>
      <c r="S206" s="112" t="s">
        <v>2308</v>
      </c>
      <c r="T206" s="103"/>
      <c r="U206" s="103"/>
      <c r="V206" s="103"/>
      <c r="W206" s="103"/>
      <c r="X206" s="103"/>
      <c r="Y206" s="157"/>
      <c r="Z206" s="157"/>
    </row>
    <row r="207" spans="1:26">
      <c r="A207" s="111" t="s">
        <v>2309</v>
      </c>
      <c r="B207" s="112" t="s">
        <v>2310</v>
      </c>
      <c r="C207" s="113" t="s">
        <v>546</v>
      </c>
      <c r="D207" s="114" t="s">
        <v>2167</v>
      </c>
      <c r="E207" s="114" t="s">
        <v>685</v>
      </c>
      <c r="F207" s="80">
        <v>45149</v>
      </c>
      <c r="G207" s="115" t="s">
        <v>2311</v>
      </c>
      <c r="H207" s="80">
        <v>45166</v>
      </c>
      <c r="I207" s="80">
        <v>45173</v>
      </c>
      <c r="J207" s="80">
        <v>45198</v>
      </c>
      <c r="K207" s="114" t="s">
        <v>18</v>
      </c>
      <c r="L207" s="114" t="s">
        <v>2143</v>
      </c>
      <c r="M207" s="116"/>
      <c r="N207" s="114" t="s">
        <v>20</v>
      </c>
      <c r="O207" s="114" t="s">
        <v>1456</v>
      </c>
      <c r="P207" s="113" t="s">
        <v>782</v>
      </c>
      <c r="Q207" s="115" t="s">
        <v>491</v>
      </c>
      <c r="R207" s="80">
        <v>45499</v>
      </c>
      <c r="S207" s="112" t="s">
        <v>2312</v>
      </c>
      <c r="T207" s="103"/>
      <c r="U207" s="103"/>
      <c r="V207" s="103"/>
      <c r="W207" s="103"/>
      <c r="X207" s="103"/>
      <c r="Y207" s="157"/>
      <c r="Z207" s="157"/>
    </row>
    <row r="208" spans="1:26">
      <c r="A208" s="111" t="s">
        <v>2313</v>
      </c>
      <c r="B208" s="112" t="s">
        <v>2314</v>
      </c>
      <c r="C208" s="113" t="s">
        <v>546</v>
      </c>
      <c r="D208" s="115" t="s">
        <v>933</v>
      </c>
      <c r="E208" s="114" t="s">
        <v>933</v>
      </c>
      <c r="F208" s="80">
        <v>45152</v>
      </c>
      <c r="G208" s="115" t="s">
        <v>2315</v>
      </c>
      <c r="H208" s="116"/>
      <c r="I208" s="116"/>
      <c r="J208" s="116"/>
      <c r="K208" s="114" t="s">
        <v>18</v>
      </c>
      <c r="L208" s="114" t="s">
        <v>1543</v>
      </c>
      <c r="M208" s="116"/>
      <c r="N208" s="114" t="s">
        <v>47</v>
      </c>
      <c r="O208" s="113" t="s">
        <v>490</v>
      </c>
      <c r="P208" s="113" t="s">
        <v>490</v>
      </c>
      <c r="Q208" s="115" t="s">
        <v>1395</v>
      </c>
      <c r="R208" s="80">
        <v>45266</v>
      </c>
      <c r="S208" s="112" t="s">
        <v>2316</v>
      </c>
      <c r="T208" s="103"/>
      <c r="U208" s="103"/>
      <c r="V208" s="103"/>
      <c r="W208" s="103"/>
      <c r="X208" s="103"/>
      <c r="Y208" s="157"/>
      <c r="Z208" s="157"/>
    </row>
    <row r="209" spans="1:26">
      <c r="A209" s="111" t="s">
        <v>2317</v>
      </c>
      <c r="B209" s="112" t="s">
        <v>2318</v>
      </c>
      <c r="C209" s="113" t="s">
        <v>469</v>
      </c>
      <c r="D209" s="115" t="s">
        <v>823</v>
      </c>
      <c r="E209" s="114" t="s">
        <v>685</v>
      </c>
      <c r="F209" s="80">
        <v>45155</v>
      </c>
      <c r="G209" s="115" t="s">
        <v>2319</v>
      </c>
      <c r="H209" s="116"/>
      <c r="I209" s="116"/>
      <c r="J209" s="116"/>
      <c r="K209" s="42" t="s">
        <v>30</v>
      </c>
      <c r="L209" s="114" t="s">
        <v>1881</v>
      </c>
      <c r="M209" s="116"/>
      <c r="N209" s="114" t="s">
        <v>27</v>
      </c>
      <c r="O209" s="114" t="s">
        <v>803</v>
      </c>
      <c r="P209" s="115" t="s">
        <v>519</v>
      </c>
      <c r="Q209" s="115" t="s">
        <v>491</v>
      </c>
      <c r="R209" s="80">
        <v>45499</v>
      </c>
      <c r="S209" s="112" t="s">
        <v>2320</v>
      </c>
      <c r="T209" s="103"/>
      <c r="U209" s="103"/>
      <c r="V209" s="103"/>
      <c r="W209" s="103"/>
      <c r="X209" s="103"/>
      <c r="Y209" s="157"/>
      <c r="Z209" s="157"/>
    </row>
    <row r="210" spans="1:26">
      <c r="A210" s="119" t="s">
        <v>2321</v>
      </c>
      <c r="B210" s="112" t="s">
        <v>2322</v>
      </c>
      <c r="C210" s="113" t="s">
        <v>1390</v>
      </c>
      <c r="D210" s="115" t="s">
        <v>471</v>
      </c>
      <c r="E210" s="114" t="s">
        <v>471</v>
      </c>
      <c r="F210" s="80">
        <v>45155</v>
      </c>
      <c r="G210" s="115" t="s">
        <v>2323</v>
      </c>
      <c r="H210" s="115" t="s">
        <v>1626</v>
      </c>
      <c r="I210" s="115" t="s">
        <v>1626</v>
      </c>
      <c r="J210" s="115" t="s">
        <v>556</v>
      </c>
      <c r="K210" s="114" t="s">
        <v>18</v>
      </c>
      <c r="L210" s="114" t="s">
        <v>2324</v>
      </c>
      <c r="M210" s="116"/>
      <c r="N210" s="114" t="s">
        <v>47</v>
      </c>
      <c r="O210" s="113" t="s">
        <v>490</v>
      </c>
      <c r="P210" s="113" t="s">
        <v>490</v>
      </c>
      <c r="Q210" s="115" t="s">
        <v>950</v>
      </c>
      <c r="R210" s="80">
        <v>45204</v>
      </c>
      <c r="S210" s="113" t="s">
        <v>2325</v>
      </c>
      <c r="T210" s="103"/>
      <c r="U210" s="103"/>
      <c r="V210" s="103"/>
      <c r="W210" s="103"/>
      <c r="X210" s="103"/>
      <c r="Y210" s="157"/>
      <c r="Z210" s="157"/>
    </row>
    <row r="211" spans="1:26">
      <c r="A211" s="111" t="s">
        <v>2326</v>
      </c>
      <c r="B211" s="112" t="s">
        <v>2327</v>
      </c>
      <c r="C211" s="113" t="s">
        <v>469</v>
      </c>
      <c r="D211" s="115" t="s">
        <v>823</v>
      </c>
      <c r="E211" s="114" t="s">
        <v>685</v>
      </c>
      <c r="F211" s="80">
        <v>45155</v>
      </c>
      <c r="G211" s="115" t="s">
        <v>2328</v>
      </c>
      <c r="H211" s="130">
        <v>45243</v>
      </c>
      <c r="I211" s="127">
        <v>45250</v>
      </c>
      <c r="J211" s="127">
        <v>45273</v>
      </c>
      <c r="K211" s="42" t="s">
        <v>30</v>
      </c>
      <c r="L211" s="114" t="s">
        <v>1881</v>
      </c>
      <c r="M211" s="116"/>
      <c r="N211" s="114" t="s">
        <v>20</v>
      </c>
      <c r="O211" s="114" t="s">
        <v>1400</v>
      </c>
      <c r="P211" s="114" t="s">
        <v>1132</v>
      </c>
      <c r="Q211" s="115" t="s">
        <v>491</v>
      </c>
      <c r="R211" s="80">
        <v>45499</v>
      </c>
      <c r="S211" s="112" t="s">
        <v>2329</v>
      </c>
      <c r="T211" s="103"/>
      <c r="U211" s="103"/>
      <c r="V211" s="103"/>
      <c r="W211" s="103"/>
      <c r="X211" s="103"/>
      <c r="Y211" s="157"/>
      <c r="Z211" s="157"/>
    </row>
    <row r="212" spans="1:26">
      <c r="A212" s="111" t="s">
        <v>2330</v>
      </c>
      <c r="B212" s="112" t="s">
        <v>2331</v>
      </c>
      <c r="C212" s="113" t="s">
        <v>546</v>
      </c>
      <c r="D212" s="114" t="s">
        <v>610</v>
      </c>
      <c r="E212" s="114" t="s">
        <v>611</v>
      </c>
      <c r="F212" s="80">
        <v>45159</v>
      </c>
      <c r="G212" s="115" t="s">
        <v>2332</v>
      </c>
      <c r="H212" s="124">
        <v>45182</v>
      </c>
      <c r="I212" s="80">
        <v>45268</v>
      </c>
      <c r="J212" s="127">
        <v>45274</v>
      </c>
      <c r="K212" s="114" t="s">
        <v>18</v>
      </c>
      <c r="L212" s="114" t="s">
        <v>1543</v>
      </c>
      <c r="M212" s="116"/>
      <c r="N212" s="114" t="s">
        <v>20</v>
      </c>
      <c r="O212" s="112" t="s">
        <v>627</v>
      </c>
      <c r="P212" s="176" t="s">
        <v>615</v>
      </c>
      <c r="Q212" s="115" t="s">
        <v>491</v>
      </c>
      <c r="R212" s="80">
        <v>45485</v>
      </c>
      <c r="S212" s="112" t="s">
        <v>2333</v>
      </c>
      <c r="T212" s="103"/>
      <c r="U212" s="103"/>
      <c r="V212" s="103"/>
      <c r="W212" s="103"/>
      <c r="X212" s="103"/>
      <c r="Y212" s="157"/>
      <c r="Z212" s="157"/>
    </row>
    <row r="213" spans="1:26">
      <c r="A213" s="111" t="s">
        <v>2334</v>
      </c>
      <c r="B213" s="112" t="s">
        <v>2335</v>
      </c>
      <c r="C213" s="113" t="s">
        <v>469</v>
      </c>
      <c r="D213" s="115" t="s">
        <v>823</v>
      </c>
      <c r="E213" s="114" t="s">
        <v>506</v>
      </c>
      <c r="F213" s="80">
        <v>45166</v>
      </c>
      <c r="G213" s="115" t="s">
        <v>2336</v>
      </c>
      <c r="H213" s="114" t="s">
        <v>556</v>
      </c>
      <c r="I213" s="80">
        <v>45189</v>
      </c>
      <c r="J213" s="116"/>
      <c r="K213" s="114" t="s">
        <v>18</v>
      </c>
      <c r="L213" s="114" t="s">
        <v>473</v>
      </c>
      <c r="M213" s="116"/>
      <c r="N213" s="114" t="s">
        <v>47</v>
      </c>
      <c r="O213" s="113" t="s">
        <v>490</v>
      </c>
      <c r="P213" s="113" t="s">
        <v>490</v>
      </c>
      <c r="Q213" s="126" t="s">
        <v>521</v>
      </c>
      <c r="R213" s="80">
        <v>45264</v>
      </c>
      <c r="S213" s="112" t="s">
        <v>2337</v>
      </c>
      <c r="T213" s="103"/>
      <c r="U213" s="103"/>
      <c r="V213" s="103"/>
      <c r="W213" s="103"/>
      <c r="X213" s="103"/>
      <c r="Y213" s="157"/>
      <c r="Z213" s="157"/>
    </row>
    <row r="214" spans="1:26">
      <c r="A214" s="119" t="s">
        <v>2338</v>
      </c>
      <c r="B214" s="112" t="s">
        <v>2339</v>
      </c>
      <c r="C214" s="116"/>
      <c r="D214" s="114" t="s">
        <v>478</v>
      </c>
      <c r="E214" s="114" t="s">
        <v>1174</v>
      </c>
      <c r="F214" s="80">
        <v>45163</v>
      </c>
      <c r="G214" s="115" t="s">
        <v>2340</v>
      </c>
      <c r="H214" s="116"/>
      <c r="I214" s="116"/>
      <c r="J214" s="116"/>
      <c r="K214" s="42" t="s">
        <v>30</v>
      </c>
      <c r="L214" s="114" t="s">
        <v>1881</v>
      </c>
      <c r="M214" s="116"/>
      <c r="N214" s="114" t="s">
        <v>47</v>
      </c>
      <c r="O214" s="113" t="s">
        <v>548</v>
      </c>
      <c r="P214" s="113" t="s">
        <v>557</v>
      </c>
      <c r="Q214" s="115" t="s">
        <v>2341</v>
      </c>
      <c r="R214" s="80">
        <v>45175</v>
      </c>
      <c r="S214" s="112" t="s">
        <v>2342</v>
      </c>
      <c r="T214" s="103"/>
      <c r="U214" s="103"/>
      <c r="V214" s="103"/>
      <c r="W214" s="103"/>
      <c r="X214" s="103"/>
      <c r="Y214" s="157"/>
      <c r="Z214" s="157"/>
    </row>
    <row r="215" spans="1:26">
      <c r="A215" s="119" t="s">
        <v>2343</v>
      </c>
      <c r="B215" s="112" t="s">
        <v>103</v>
      </c>
      <c r="C215" s="113" t="s">
        <v>469</v>
      </c>
      <c r="D215" s="114" t="s">
        <v>2167</v>
      </c>
      <c r="E215" s="114" t="s">
        <v>479</v>
      </c>
      <c r="F215" s="80">
        <v>45161</v>
      </c>
      <c r="G215" s="115" t="s">
        <v>2344</v>
      </c>
      <c r="H215" s="124">
        <v>45208</v>
      </c>
      <c r="I215" s="127">
        <v>45210</v>
      </c>
      <c r="J215" s="127">
        <v>45225</v>
      </c>
      <c r="K215" s="114" t="s">
        <v>18</v>
      </c>
      <c r="L215" s="114" t="s">
        <v>1543</v>
      </c>
      <c r="M215" s="116"/>
      <c r="N215" s="114" t="s">
        <v>20</v>
      </c>
      <c r="O215" s="114" t="s">
        <v>1456</v>
      </c>
      <c r="P215" s="113" t="s">
        <v>782</v>
      </c>
      <c r="Q215" s="115" t="s">
        <v>491</v>
      </c>
      <c r="R215" s="80">
        <v>45499</v>
      </c>
      <c r="S215" s="112" t="s">
        <v>2345</v>
      </c>
      <c r="T215" s="103"/>
      <c r="U215" s="103"/>
      <c r="V215" s="103"/>
      <c r="W215" s="103"/>
      <c r="X215" s="103"/>
      <c r="Y215" s="157"/>
      <c r="Z215" s="157"/>
    </row>
    <row r="216" spans="1:26">
      <c r="A216" s="119" t="s">
        <v>2346</v>
      </c>
      <c r="B216" s="120" t="s">
        <v>2347</v>
      </c>
      <c r="C216" s="123"/>
      <c r="D216" s="42" t="s">
        <v>814</v>
      </c>
      <c r="E216" s="42" t="s">
        <v>1231</v>
      </c>
      <c r="F216" s="39">
        <v>45120</v>
      </c>
      <c r="G216" s="122" t="s">
        <v>2348</v>
      </c>
      <c r="H216" s="45">
        <v>45155</v>
      </c>
      <c r="I216" s="39">
        <v>45168</v>
      </c>
      <c r="J216" s="90">
        <v>45223</v>
      </c>
      <c r="K216" s="42" t="s">
        <v>30</v>
      </c>
      <c r="L216" s="42" t="s">
        <v>1567</v>
      </c>
      <c r="M216" s="123"/>
      <c r="N216" s="42" t="s">
        <v>20</v>
      </c>
      <c r="O216" s="42" t="s">
        <v>794</v>
      </c>
      <c r="P216" s="123"/>
      <c r="Q216" s="18" t="s">
        <v>491</v>
      </c>
      <c r="R216" s="39">
        <v>45499</v>
      </c>
      <c r="S216" s="121" t="s">
        <v>2349</v>
      </c>
      <c r="T216" s="103"/>
      <c r="U216" s="103"/>
      <c r="V216" s="103"/>
      <c r="W216" s="103"/>
      <c r="X216" s="103"/>
      <c r="Y216" s="157"/>
      <c r="Z216" s="157"/>
    </row>
    <row r="217" spans="1:26">
      <c r="A217" s="119" t="s">
        <v>2350</v>
      </c>
      <c r="B217" s="120" t="s">
        <v>2351</v>
      </c>
      <c r="C217" s="121" t="s">
        <v>469</v>
      </c>
      <c r="D217" s="42" t="s">
        <v>610</v>
      </c>
      <c r="E217" s="42" t="s">
        <v>611</v>
      </c>
      <c r="F217" s="39">
        <v>45155</v>
      </c>
      <c r="G217" s="122" t="s">
        <v>2352</v>
      </c>
      <c r="H217" s="123"/>
      <c r="I217" s="39">
        <v>45390</v>
      </c>
      <c r="J217" s="39">
        <v>45485</v>
      </c>
      <c r="K217" s="42" t="s">
        <v>18</v>
      </c>
      <c r="L217" s="42" t="s">
        <v>1326</v>
      </c>
      <c r="M217" s="123"/>
      <c r="N217" s="42" t="s">
        <v>20</v>
      </c>
      <c r="O217" s="42" t="s">
        <v>997</v>
      </c>
      <c r="P217" s="122" t="s">
        <v>614</v>
      </c>
      <c r="Q217" s="18" t="s">
        <v>491</v>
      </c>
      <c r="R217" s="39">
        <v>45532</v>
      </c>
      <c r="S217" s="120" t="s">
        <v>2353</v>
      </c>
      <c r="T217" s="103"/>
      <c r="U217" s="103"/>
      <c r="V217" s="103"/>
      <c r="W217" s="103"/>
      <c r="X217" s="103"/>
      <c r="Y217" s="157"/>
      <c r="Z217" s="157"/>
    </row>
    <row r="218" spans="1:26">
      <c r="A218" s="119" t="s">
        <v>2354</v>
      </c>
      <c r="B218" s="112" t="s">
        <v>2355</v>
      </c>
      <c r="C218" s="116"/>
      <c r="D218" s="115" t="s">
        <v>823</v>
      </c>
      <c r="E218" s="114" t="s">
        <v>2356</v>
      </c>
      <c r="F218" s="80">
        <v>45057</v>
      </c>
      <c r="G218" s="115" t="s">
        <v>2357</v>
      </c>
      <c r="H218" s="116"/>
      <c r="I218" s="116"/>
      <c r="J218" s="116"/>
      <c r="K218" s="114" t="s">
        <v>18</v>
      </c>
      <c r="L218" s="114" t="s">
        <v>1543</v>
      </c>
      <c r="M218" s="116"/>
      <c r="N218" s="114" t="s">
        <v>47</v>
      </c>
      <c r="O218" s="116"/>
      <c r="P218" s="116"/>
      <c r="Q218" s="115" t="s">
        <v>645</v>
      </c>
      <c r="R218" s="80">
        <v>45203</v>
      </c>
      <c r="S218" s="116"/>
      <c r="T218" s="103"/>
      <c r="U218" s="103"/>
      <c r="V218" s="103"/>
      <c r="W218" s="103"/>
      <c r="X218" s="103"/>
      <c r="Y218" s="157"/>
      <c r="Z218" s="157"/>
    </row>
    <row r="219" spans="1:26">
      <c r="A219" s="119" t="s">
        <v>682</v>
      </c>
      <c r="B219" s="120" t="s">
        <v>683</v>
      </c>
      <c r="C219" s="121" t="s">
        <v>546</v>
      </c>
      <c r="D219" s="42" t="s">
        <v>684</v>
      </c>
      <c r="E219" s="42" t="s">
        <v>685</v>
      </c>
      <c r="F219" s="39">
        <v>45173</v>
      </c>
      <c r="G219" s="122" t="s">
        <v>686</v>
      </c>
      <c r="H219" s="123"/>
      <c r="I219" s="123"/>
      <c r="J219" s="123"/>
      <c r="K219" s="42" t="s">
        <v>30</v>
      </c>
      <c r="L219" s="114" t="s">
        <v>481</v>
      </c>
      <c r="M219" s="123"/>
      <c r="N219" s="42" t="s">
        <v>27</v>
      </c>
      <c r="O219" s="42" t="s">
        <v>687</v>
      </c>
      <c r="P219" s="120" t="s">
        <v>688</v>
      </c>
      <c r="Q219" s="122" t="s">
        <v>597</v>
      </c>
      <c r="R219" s="90">
        <v>45588</v>
      </c>
      <c r="S219" s="120" t="s">
        <v>2358</v>
      </c>
      <c r="T219" s="103"/>
      <c r="U219" s="103"/>
      <c r="V219" s="103"/>
      <c r="W219" s="103"/>
      <c r="X219" s="103"/>
      <c r="Y219" s="157"/>
      <c r="Z219" s="157"/>
    </row>
    <row r="220" spans="1:26">
      <c r="A220" s="119" t="s">
        <v>2359</v>
      </c>
      <c r="B220" s="120" t="s">
        <v>2360</v>
      </c>
      <c r="C220" s="121" t="s">
        <v>469</v>
      </c>
      <c r="D220" s="42" t="s">
        <v>1057</v>
      </c>
      <c r="E220" s="42" t="s">
        <v>2361</v>
      </c>
      <c r="F220" s="39">
        <v>45174</v>
      </c>
      <c r="G220" s="122" t="s">
        <v>2362</v>
      </c>
      <c r="H220" s="42" t="s">
        <v>820</v>
      </c>
      <c r="I220" s="122" t="s">
        <v>820</v>
      </c>
      <c r="J220" s="123"/>
      <c r="K220" s="42" t="s">
        <v>18</v>
      </c>
      <c r="L220" s="42" t="s">
        <v>473</v>
      </c>
      <c r="M220" s="123"/>
      <c r="N220" s="42" t="s">
        <v>47</v>
      </c>
      <c r="O220" s="42" t="s">
        <v>1991</v>
      </c>
      <c r="P220" s="42" t="s">
        <v>2363</v>
      </c>
      <c r="Q220" s="115" t="s">
        <v>950</v>
      </c>
      <c r="R220" s="39">
        <v>45484</v>
      </c>
      <c r="S220" s="120" t="s">
        <v>2364</v>
      </c>
      <c r="T220" s="103"/>
      <c r="U220" s="103"/>
      <c r="V220" s="103"/>
      <c r="W220" s="103"/>
      <c r="X220" s="103"/>
      <c r="Y220" s="157"/>
      <c r="Z220" s="157"/>
    </row>
    <row r="221" spans="1:26">
      <c r="A221" s="111" t="s">
        <v>2365</v>
      </c>
      <c r="B221" s="112" t="s">
        <v>2366</v>
      </c>
      <c r="C221" s="113" t="s">
        <v>469</v>
      </c>
      <c r="D221" s="114" t="s">
        <v>1057</v>
      </c>
      <c r="E221" s="114" t="s">
        <v>685</v>
      </c>
      <c r="F221" s="80">
        <v>45174</v>
      </c>
      <c r="G221" s="115" t="s">
        <v>2367</v>
      </c>
      <c r="H221" s="124">
        <v>45204</v>
      </c>
      <c r="I221" s="80">
        <v>45205</v>
      </c>
      <c r="J221" s="127">
        <v>45216</v>
      </c>
      <c r="K221" s="114" t="s">
        <v>18</v>
      </c>
      <c r="L221" s="114" t="s">
        <v>473</v>
      </c>
      <c r="M221" s="116"/>
      <c r="N221" s="114" t="s">
        <v>20</v>
      </c>
      <c r="O221" s="114" t="s">
        <v>1161</v>
      </c>
      <c r="P221" s="114" t="s">
        <v>1161</v>
      </c>
      <c r="Q221" s="115" t="s">
        <v>491</v>
      </c>
      <c r="R221" s="80">
        <v>45499</v>
      </c>
      <c r="S221" s="112" t="s">
        <v>2368</v>
      </c>
      <c r="T221" s="103"/>
      <c r="U221" s="103"/>
      <c r="V221" s="103"/>
      <c r="W221" s="103"/>
      <c r="X221" s="103"/>
      <c r="Y221" s="157"/>
      <c r="Z221" s="157"/>
    </row>
    <row r="222" spans="1:26">
      <c r="A222" s="121" t="s">
        <v>2369</v>
      </c>
      <c r="B222" s="120" t="s">
        <v>2370</v>
      </c>
      <c r="C222" s="121" t="s">
        <v>2153</v>
      </c>
      <c r="D222" s="42" t="s">
        <v>1057</v>
      </c>
      <c r="E222" s="42" t="s">
        <v>479</v>
      </c>
      <c r="F222" s="39">
        <v>45181</v>
      </c>
      <c r="G222" s="122" t="s">
        <v>2371</v>
      </c>
      <c r="H222" s="45">
        <v>45201</v>
      </c>
      <c r="I222" s="39">
        <v>45202</v>
      </c>
      <c r="J222" s="39">
        <v>45205</v>
      </c>
      <c r="K222" s="42" t="s">
        <v>18</v>
      </c>
      <c r="L222" s="42" t="s">
        <v>473</v>
      </c>
      <c r="M222" s="123"/>
      <c r="N222" s="42" t="s">
        <v>20</v>
      </c>
      <c r="O222" s="42" t="s">
        <v>1161</v>
      </c>
      <c r="P222" s="42" t="s">
        <v>1161</v>
      </c>
      <c r="Q222" s="122" t="s">
        <v>491</v>
      </c>
      <c r="R222" s="39">
        <v>45499</v>
      </c>
      <c r="S222" s="120" t="s">
        <v>2372</v>
      </c>
      <c r="T222" s="103"/>
      <c r="U222" s="103"/>
      <c r="V222" s="103"/>
      <c r="W222" s="103"/>
      <c r="X222" s="103"/>
      <c r="Y222" s="157"/>
      <c r="Z222" s="157"/>
    </row>
    <row r="223" spans="1:26">
      <c r="A223" s="119" t="s">
        <v>2373</v>
      </c>
      <c r="B223" s="112" t="s">
        <v>2374</v>
      </c>
      <c r="C223" s="113" t="s">
        <v>469</v>
      </c>
      <c r="D223" s="114" t="s">
        <v>1057</v>
      </c>
      <c r="E223" s="114" t="s">
        <v>685</v>
      </c>
      <c r="F223" s="80">
        <v>45181</v>
      </c>
      <c r="G223" s="115" t="s">
        <v>2375</v>
      </c>
      <c r="H223" s="124">
        <v>45201</v>
      </c>
      <c r="I223" s="80">
        <v>45203</v>
      </c>
      <c r="J223" s="80">
        <v>45208</v>
      </c>
      <c r="K223" s="114" t="s">
        <v>18</v>
      </c>
      <c r="L223" s="114" t="s">
        <v>473</v>
      </c>
      <c r="M223" s="116"/>
      <c r="N223" s="114" t="s">
        <v>20</v>
      </c>
      <c r="O223" s="114" t="s">
        <v>1161</v>
      </c>
      <c r="P223" s="114" t="s">
        <v>1161</v>
      </c>
      <c r="Q223" s="115" t="s">
        <v>491</v>
      </c>
      <c r="R223" s="80">
        <v>45499</v>
      </c>
      <c r="S223" s="112" t="s">
        <v>2376</v>
      </c>
      <c r="T223" s="103"/>
      <c r="U223" s="103"/>
      <c r="V223" s="103"/>
      <c r="W223" s="103"/>
      <c r="X223" s="103"/>
      <c r="Y223" s="157"/>
      <c r="Z223" s="157"/>
    </row>
    <row r="224" spans="1:26">
      <c r="A224" s="121" t="s">
        <v>1239</v>
      </c>
      <c r="B224" s="120" t="s">
        <v>1240</v>
      </c>
      <c r="C224" s="121" t="s">
        <v>546</v>
      </c>
      <c r="D224" s="42" t="s">
        <v>1241</v>
      </c>
      <c r="E224" s="42" t="s">
        <v>1242</v>
      </c>
      <c r="F224" s="39">
        <v>45187</v>
      </c>
      <c r="G224" s="122" t="s">
        <v>1243</v>
      </c>
      <c r="H224" s="123"/>
      <c r="I224" s="123"/>
      <c r="J224" s="123"/>
      <c r="K224" s="42" t="s">
        <v>18</v>
      </c>
      <c r="L224" s="114" t="s">
        <v>481</v>
      </c>
      <c r="M224" s="123"/>
      <c r="N224" s="42" t="s">
        <v>27</v>
      </c>
      <c r="O224" s="42" t="s">
        <v>1244</v>
      </c>
      <c r="P224" s="42" t="s">
        <v>1245</v>
      </c>
      <c r="Q224" s="42" t="s">
        <v>597</v>
      </c>
      <c r="R224" s="39">
        <v>45567</v>
      </c>
      <c r="S224" s="120" t="s">
        <v>1246</v>
      </c>
      <c r="T224" s="103"/>
      <c r="U224" s="103"/>
      <c r="V224" s="103"/>
      <c r="W224" s="103"/>
      <c r="X224" s="103"/>
      <c r="Y224" s="157"/>
      <c r="Z224" s="157"/>
    </row>
    <row r="225" spans="1:26">
      <c r="A225" s="119" t="s">
        <v>2377</v>
      </c>
      <c r="B225" s="120" t="s">
        <v>2378</v>
      </c>
      <c r="C225" s="121" t="s">
        <v>2379</v>
      </c>
      <c r="D225" s="42" t="s">
        <v>1241</v>
      </c>
      <c r="E225" s="42" t="s">
        <v>1241</v>
      </c>
      <c r="F225" s="39">
        <v>45187</v>
      </c>
      <c r="G225" s="122" t="s">
        <v>2380</v>
      </c>
      <c r="H225" s="45">
        <v>45267</v>
      </c>
      <c r="I225" s="39">
        <v>45268</v>
      </c>
      <c r="J225" s="39">
        <v>45314</v>
      </c>
      <c r="K225" s="42" t="s">
        <v>30</v>
      </c>
      <c r="L225" s="42" t="s">
        <v>1543</v>
      </c>
      <c r="M225" s="123"/>
      <c r="N225" s="42" t="s">
        <v>20</v>
      </c>
      <c r="O225" s="42" t="s">
        <v>875</v>
      </c>
      <c r="P225" s="121" t="s">
        <v>2381</v>
      </c>
      <c r="Q225" s="115" t="s">
        <v>491</v>
      </c>
      <c r="R225" s="39">
        <v>45495</v>
      </c>
      <c r="S225" s="120" t="s">
        <v>2382</v>
      </c>
      <c r="T225" s="103"/>
      <c r="U225" s="103"/>
      <c r="V225" s="103"/>
      <c r="W225" s="103"/>
      <c r="X225" s="103"/>
      <c r="Y225" s="157"/>
      <c r="Z225" s="157"/>
    </row>
    <row r="226" spans="1:26">
      <c r="A226" s="111" t="s">
        <v>2383</v>
      </c>
      <c r="B226" s="112" t="s">
        <v>2384</v>
      </c>
      <c r="C226" s="113" t="s">
        <v>469</v>
      </c>
      <c r="D226" s="114" t="s">
        <v>1057</v>
      </c>
      <c r="E226" s="116"/>
      <c r="F226" s="80">
        <v>45190</v>
      </c>
      <c r="G226" s="115" t="s">
        <v>2385</v>
      </c>
      <c r="H226" s="116"/>
      <c r="I226" s="116"/>
      <c r="J226" s="116"/>
      <c r="K226" s="42" t="s">
        <v>30</v>
      </c>
      <c r="L226" s="114" t="s">
        <v>2143</v>
      </c>
      <c r="M226" s="114" t="s">
        <v>482</v>
      </c>
      <c r="N226" s="114" t="s">
        <v>47</v>
      </c>
      <c r="O226" s="114" t="s">
        <v>500</v>
      </c>
      <c r="P226" s="114" t="s">
        <v>501</v>
      </c>
      <c r="Q226" s="115" t="s">
        <v>550</v>
      </c>
      <c r="R226" s="80">
        <v>45208</v>
      </c>
      <c r="S226" s="112" t="s">
        <v>2386</v>
      </c>
      <c r="T226" s="103"/>
      <c r="U226" s="103"/>
      <c r="V226" s="103"/>
      <c r="W226" s="103"/>
      <c r="X226" s="103"/>
      <c r="Y226" s="157"/>
      <c r="Z226" s="157"/>
    </row>
    <row r="227" spans="1:26">
      <c r="A227" s="119" t="s">
        <v>2387</v>
      </c>
      <c r="B227" s="120" t="s">
        <v>2388</v>
      </c>
      <c r="C227" s="121" t="s">
        <v>469</v>
      </c>
      <c r="D227" s="42" t="s">
        <v>2389</v>
      </c>
      <c r="E227" s="42" t="s">
        <v>685</v>
      </c>
      <c r="F227" s="39">
        <v>45190</v>
      </c>
      <c r="G227" s="122" t="s">
        <v>2390</v>
      </c>
      <c r="H227" s="123"/>
      <c r="I227" s="123"/>
      <c r="J227" s="123"/>
      <c r="K227" s="42" t="s">
        <v>30</v>
      </c>
      <c r="L227" s="42" t="s">
        <v>473</v>
      </c>
      <c r="M227" s="123"/>
      <c r="N227" s="42" t="s">
        <v>47</v>
      </c>
      <c r="O227" s="42" t="s">
        <v>1278</v>
      </c>
      <c r="P227" s="42" t="s">
        <v>1562</v>
      </c>
      <c r="Q227" s="122" t="s">
        <v>2391</v>
      </c>
      <c r="R227" s="39">
        <v>45208</v>
      </c>
      <c r="S227" s="120" t="s">
        <v>2392</v>
      </c>
      <c r="T227" s="103"/>
      <c r="U227" s="103"/>
      <c r="V227" s="103"/>
      <c r="W227" s="103"/>
      <c r="X227" s="103"/>
      <c r="Y227" s="157"/>
      <c r="Z227" s="157"/>
    </row>
    <row r="228" spans="1:26">
      <c r="A228" s="119" t="s">
        <v>2393</v>
      </c>
      <c r="B228" s="120" t="s">
        <v>2394</v>
      </c>
      <c r="C228" s="121" t="s">
        <v>2153</v>
      </c>
      <c r="D228" s="18" t="s">
        <v>1057</v>
      </c>
      <c r="E228" s="42" t="s">
        <v>2301</v>
      </c>
      <c r="F228" s="39">
        <v>45190</v>
      </c>
      <c r="G228" s="122" t="s">
        <v>2395</v>
      </c>
      <c r="H228" s="18" t="s">
        <v>556</v>
      </c>
      <c r="I228" s="48">
        <v>45259</v>
      </c>
      <c r="J228" s="70">
        <v>45267</v>
      </c>
      <c r="K228" s="42" t="s">
        <v>18</v>
      </c>
      <c r="L228" s="42" t="s">
        <v>1543</v>
      </c>
      <c r="M228" s="123"/>
      <c r="N228" s="42" t="s">
        <v>47</v>
      </c>
      <c r="O228" s="121" t="s">
        <v>509</v>
      </c>
      <c r="P228" s="121" t="s">
        <v>577</v>
      </c>
      <c r="Q228" s="122" t="s">
        <v>1649</v>
      </c>
      <c r="R228" s="90">
        <v>45302</v>
      </c>
      <c r="S228" s="120" t="s">
        <v>2396</v>
      </c>
      <c r="T228" s="103"/>
      <c r="U228" s="103"/>
      <c r="V228" s="103"/>
      <c r="W228" s="103"/>
      <c r="X228" s="103"/>
      <c r="Y228" s="157"/>
      <c r="Z228" s="157"/>
    </row>
    <row r="229" spans="1:26">
      <c r="A229" s="119" t="s">
        <v>2397</v>
      </c>
      <c r="B229" s="120" t="s">
        <v>2398</v>
      </c>
      <c r="C229" s="121" t="s">
        <v>469</v>
      </c>
      <c r="D229" s="18" t="s">
        <v>1057</v>
      </c>
      <c r="E229" s="122" t="s">
        <v>910</v>
      </c>
      <c r="F229" s="39">
        <v>45195</v>
      </c>
      <c r="G229" s="122" t="s">
        <v>2399</v>
      </c>
      <c r="H229" s="48">
        <v>45209</v>
      </c>
      <c r="I229" s="48">
        <v>45210</v>
      </c>
      <c r="J229" s="206" t="s">
        <v>2400</v>
      </c>
      <c r="K229" s="42" t="s">
        <v>18</v>
      </c>
      <c r="L229" s="42" t="s">
        <v>473</v>
      </c>
      <c r="M229" s="123"/>
      <c r="N229" s="120" t="s">
        <v>20</v>
      </c>
      <c r="O229" s="121" t="s">
        <v>490</v>
      </c>
      <c r="P229" s="121" t="s">
        <v>490</v>
      </c>
      <c r="Q229" s="122" t="s">
        <v>550</v>
      </c>
      <c r="R229" s="39">
        <v>45306</v>
      </c>
      <c r="S229" s="120" t="s">
        <v>2401</v>
      </c>
      <c r="T229" s="103"/>
      <c r="U229" s="103"/>
      <c r="V229" s="103"/>
      <c r="W229" s="103"/>
      <c r="X229" s="103"/>
      <c r="Y229" s="157"/>
      <c r="Z229" s="157"/>
    </row>
    <row r="230" spans="1:26">
      <c r="A230" s="119" t="s">
        <v>2402</v>
      </c>
      <c r="B230" s="112" t="s">
        <v>2403</v>
      </c>
      <c r="C230" s="113" t="s">
        <v>469</v>
      </c>
      <c r="D230" s="126" t="s">
        <v>1057</v>
      </c>
      <c r="E230" s="114" t="s">
        <v>2404</v>
      </c>
      <c r="F230" s="80">
        <v>45195</v>
      </c>
      <c r="G230" s="115" t="s">
        <v>2405</v>
      </c>
      <c r="H230" s="153">
        <v>45210</v>
      </c>
      <c r="I230" s="153">
        <v>45215</v>
      </c>
      <c r="J230" s="116"/>
      <c r="K230" s="114" t="s">
        <v>18</v>
      </c>
      <c r="L230" s="114" t="s">
        <v>473</v>
      </c>
      <c r="M230" s="116"/>
      <c r="N230" s="112" t="s">
        <v>1716</v>
      </c>
      <c r="O230" s="113" t="s">
        <v>490</v>
      </c>
      <c r="P230" s="113" t="s">
        <v>490</v>
      </c>
      <c r="Q230" s="115" t="s">
        <v>550</v>
      </c>
      <c r="R230" s="127">
        <v>45229</v>
      </c>
      <c r="S230" s="120" t="s">
        <v>2406</v>
      </c>
      <c r="T230" s="103"/>
      <c r="U230" s="103"/>
      <c r="V230" s="103"/>
      <c r="W230" s="103"/>
      <c r="X230" s="103"/>
      <c r="Y230" s="157"/>
      <c r="Z230" s="157"/>
    </row>
    <row r="231" spans="1:26">
      <c r="A231" s="119" t="s">
        <v>2407</v>
      </c>
      <c r="B231" s="112" t="s">
        <v>2408</v>
      </c>
      <c r="C231" s="113" t="s">
        <v>469</v>
      </c>
      <c r="D231" s="126" t="s">
        <v>1057</v>
      </c>
      <c r="E231" s="114" t="s">
        <v>2409</v>
      </c>
      <c r="F231" s="80">
        <v>45195</v>
      </c>
      <c r="G231" s="115" t="s">
        <v>2410</v>
      </c>
      <c r="H231" s="153">
        <v>45209</v>
      </c>
      <c r="I231" s="153">
        <v>45215</v>
      </c>
      <c r="J231" s="207" t="s">
        <v>2411</v>
      </c>
      <c r="K231" s="114" t="s">
        <v>18</v>
      </c>
      <c r="L231" s="114" t="s">
        <v>473</v>
      </c>
      <c r="M231" s="116"/>
      <c r="N231" s="112" t="s">
        <v>20</v>
      </c>
      <c r="O231" s="113" t="s">
        <v>490</v>
      </c>
      <c r="P231" s="113" t="s">
        <v>490</v>
      </c>
      <c r="Q231" s="115" t="s">
        <v>689</v>
      </c>
      <c r="R231" s="80">
        <v>45313</v>
      </c>
      <c r="S231" s="120" t="s">
        <v>2412</v>
      </c>
      <c r="T231" s="103"/>
      <c r="U231" s="103"/>
      <c r="V231" s="103"/>
      <c r="W231" s="103"/>
      <c r="X231" s="103"/>
      <c r="Y231" s="157"/>
      <c r="Z231" s="157"/>
    </row>
    <row r="232" spans="1:26">
      <c r="A232" s="119" t="s">
        <v>2413</v>
      </c>
      <c r="B232" s="112" t="s">
        <v>2414</v>
      </c>
      <c r="C232" s="113" t="s">
        <v>469</v>
      </c>
      <c r="D232" s="126" t="s">
        <v>1057</v>
      </c>
      <c r="E232" s="114" t="s">
        <v>2415</v>
      </c>
      <c r="F232" s="80">
        <v>45195</v>
      </c>
      <c r="G232" s="115" t="s">
        <v>2416</v>
      </c>
      <c r="H232" s="153">
        <v>45209</v>
      </c>
      <c r="I232" s="153">
        <v>45215</v>
      </c>
      <c r="J232" s="153">
        <v>45274</v>
      </c>
      <c r="K232" s="114" t="s">
        <v>18</v>
      </c>
      <c r="L232" s="114" t="s">
        <v>473</v>
      </c>
      <c r="M232" s="116"/>
      <c r="N232" s="112" t="s">
        <v>20</v>
      </c>
      <c r="O232" s="113" t="s">
        <v>490</v>
      </c>
      <c r="P232" s="113" t="s">
        <v>490</v>
      </c>
      <c r="Q232" s="115" t="s">
        <v>491</v>
      </c>
      <c r="R232" s="80">
        <v>45485</v>
      </c>
      <c r="S232" s="120" t="s">
        <v>2417</v>
      </c>
      <c r="T232" s="103"/>
      <c r="U232" s="103"/>
      <c r="V232" s="103"/>
      <c r="W232" s="103"/>
      <c r="X232" s="103"/>
      <c r="Y232" s="157"/>
      <c r="Z232" s="157"/>
    </row>
    <row r="233" spans="1:26">
      <c r="A233" s="119" t="s">
        <v>2418</v>
      </c>
      <c r="B233" s="112" t="s">
        <v>2419</v>
      </c>
      <c r="C233" s="113" t="s">
        <v>469</v>
      </c>
      <c r="D233" s="126" t="s">
        <v>1057</v>
      </c>
      <c r="E233" s="114" t="s">
        <v>2420</v>
      </c>
      <c r="F233" s="80">
        <v>45195</v>
      </c>
      <c r="G233" s="115" t="s">
        <v>2421</v>
      </c>
      <c r="H233" s="126" t="s">
        <v>1666</v>
      </c>
      <c r="I233" s="153">
        <v>45215</v>
      </c>
      <c r="J233" s="116"/>
      <c r="K233" s="114" t="s">
        <v>18</v>
      </c>
      <c r="L233" s="114" t="s">
        <v>473</v>
      </c>
      <c r="M233" s="116"/>
      <c r="N233" s="112" t="s">
        <v>47</v>
      </c>
      <c r="O233" s="113" t="s">
        <v>490</v>
      </c>
      <c r="P233" s="113" t="s">
        <v>490</v>
      </c>
      <c r="Q233" s="115" t="s">
        <v>689</v>
      </c>
      <c r="R233" s="127">
        <v>45546</v>
      </c>
      <c r="S233" s="120" t="s">
        <v>2422</v>
      </c>
      <c r="T233" s="103"/>
      <c r="U233" s="103"/>
      <c r="V233" s="103"/>
      <c r="W233" s="103"/>
      <c r="X233" s="103"/>
      <c r="Y233" s="157"/>
      <c r="Z233" s="157"/>
    </row>
    <row r="234" spans="1:26">
      <c r="A234" s="119" t="s">
        <v>2423</v>
      </c>
      <c r="B234" s="112" t="s">
        <v>2424</v>
      </c>
      <c r="C234" s="113" t="s">
        <v>469</v>
      </c>
      <c r="D234" s="126" t="s">
        <v>1057</v>
      </c>
      <c r="E234" s="114" t="s">
        <v>2425</v>
      </c>
      <c r="F234" s="80">
        <v>45195</v>
      </c>
      <c r="G234" s="115" t="s">
        <v>2426</v>
      </c>
      <c r="H234" s="153">
        <v>45209</v>
      </c>
      <c r="I234" s="153">
        <v>45215</v>
      </c>
      <c r="J234" s="208" t="s">
        <v>2427</v>
      </c>
      <c r="K234" s="114" t="s">
        <v>18</v>
      </c>
      <c r="L234" s="114" t="s">
        <v>473</v>
      </c>
      <c r="M234" s="116"/>
      <c r="N234" s="112" t="s">
        <v>996</v>
      </c>
      <c r="O234" s="113" t="s">
        <v>490</v>
      </c>
      <c r="P234" s="113" t="s">
        <v>490</v>
      </c>
      <c r="Q234" s="115" t="s">
        <v>550</v>
      </c>
      <c r="R234" s="80">
        <v>45306</v>
      </c>
      <c r="S234" s="120" t="s">
        <v>2428</v>
      </c>
      <c r="T234" s="103"/>
      <c r="U234" s="103"/>
      <c r="V234" s="103"/>
      <c r="W234" s="103"/>
      <c r="X234" s="103"/>
      <c r="Y234" s="157"/>
      <c r="Z234" s="157"/>
    </row>
    <row r="235" spans="1:26">
      <c r="A235" s="119" t="s">
        <v>2429</v>
      </c>
      <c r="B235" s="112" t="s">
        <v>2430</v>
      </c>
      <c r="C235" s="113" t="s">
        <v>469</v>
      </c>
      <c r="D235" s="126" t="s">
        <v>1057</v>
      </c>
      <c r="E235" s="114" t="s">
        <v>2431</v>
      </c>
      <c r="F235" s="80">
        <v>45195</v>
      </c>
      <c r="G235" s="115" t="s">
        <v>2432</v>
      </c>
      <c r="H235" s="153">
        <v>45209</v>
      </c>
      <c r="I235" s="153">
        <v>45215</v>
      </c>
      <c r="J235" s="207" t="s">
        <v>2433</v>
      </c>
      <c r="K235" s="114" t="s">
        <v>18</v>
      </c>
      <c r="L235" s="114" t="s">
        <v>473</v>
      </c>
      <c r="M235" s="116"/>
      <c r="N235" s="112" t="s">
        <v>20</v>
      </c>
      <c r="O235" s="113" t="s">
        <v>490</v>
      </c>
      <c r="P235" s="113" t="s">
        <v>490</v>
      </c>
      <c r="Q235" s="115" t="s">
        <v>491</v>
      </c>
      <c r="R235" s="80">
        <v>45485</v>
      </c>
      <c r="S235" s="120" t="s">
        <v>2434</v>
      </c>
      <c r="T235" s="103"/>
      <c r="U235" s="103"/>
      <c r="V235" s="103"/>
      <c r="W235" s="103"/>
      <c r="X235" s="103"/>
      <c r="Y235" s="157"/>
      <c r="Z235" s="157"/>
    </row>
    <row r="236" spans="1:26">
      <c r="A236" s="119" t="s">
        <v>2435</v>
      </c>
      <c r="B236" s="112" t="s">
        <v>2436</v>
      </c>
      <c r="C236" s="113" t="s">
        <v>2153</v>
      </c>
      <c r="D236" s="126" t="s">
        <v>1057</v>
      </c>
      <c r="E236" s="114" t="s">
        <v>685</v>
      </c>
      <c r="F236" s="80">
        <v>45198</v>
      </c>
      <c r="G236" s="115" t="s">
        <v>2437</v>
      </c>
      <c r="H236" s="153">
        <v>45209</v>
      </c>
      <c r="I236" s="153">
        <v>45209</v>
      </c>
      <c r="J236" s="116"/>
      <c r="K236" s="114" t="s">
        <v>18</v>
      </c>
      <c r="L236" s="114" t="s">
        <v>473</v>
      </c>
      <c r="M236" s="116"/>
      <c r="N236" s="112" t="s">
        <v>20</v>
      </c>
      <c r="O236" s="113" t="s">
        <v>490</v>
      </c>
      <c r="P236" s="113" t="s">
        <v>490</v>
      </c>
      <c r="Q236" s="115" t="s">
        <v>491</v>
      </c>
      <c r="R236" s="127">
        <v>45499</v>
      </c>
      <c r="S236" s="120" t="s">
        <v>2438</v>
      </c>
      <c r="T236" s="103"/>
      <c r="U236" s="103"/>
      <c r="V236" s="103"/>
      <c r="W236" s="103"/>
      <c r="X236" s="103"/>
      <c r="Y236" s="157"/>
      <c r="Z236" s="157"/>
    </row>
    <row r="237" spans="1:26">
      <c r="A237" s="119" t="s">
        <v>2439</v>
      </c>
      <c r="B237" s="112" t="s">
        <v>2440</v>
      </c>
      <c r="C237" s="113" t="s">
        <v>546</v>
      </c>
      <c r="D237" s="115" t="s">
        <v>1057</v>
      </c>
      <c r="E237" s="114" t="s">
        <v>685</v>
      </c>
      <c r="F237" s="80">
        <v>45204</v>
      </c>
      <c r="G237" s="115" t="s">
        <v>2441</v>
      </c>
      <c r="H237" s="80">
        <v>45238</v>
      </c>
      <c r="I237" s="127">
        <v>45257</v>
      </c>
      <c r="J237" s="127">
        <v>45279</v>
      </c>
      <c r="K237" s="114" t="s">
        <v>18</v>
      </c>
      <c r="L237" s="114" t="s">
        <v>2143</v>
      </c>
      <c r="M237" s="116"/>
      <c r="N237" s="114" t="s">
        <v>20</v>
      </c>
      <c r="O237" s="112" t="s">
        <v>1406</v>
      </c>
      <c r="P237" s="112" t="s">
        <v>854</v>
      </c>
      <c r="Q237" s="115" t="s">
        <v>491</v>
      </c>
      <c r="R237" s="127">
        <v>45498</v>
      </c>
      <c r="S237" s="120" t="s">
        <v>2442</v>
      </c>
      <c r="T237" s="103"/>
      <c r="U237" s="103"/>
      <c r="V237" s="103"/>
      <c r="W237" s="103"/>
      <c r="X237" s="103"/>
      <c r="Y237" s="157"/>
      <c r="Z237" s="157"/>
    </row>
    <row r="238" spans="1:26">
      <c r="A238" s="119" t="s">
        <v>2443</v>
      </c>
      <c r="B238" s="112" t="s">
        <v>2444</v>
      </c>
      <c r="C238" s="113" t="s">
        <v>469</v>
      </c>
      <c r="D238" s="115" t="s">
        <v>1057</v>
      </c>
      <c r="E238" s="114" t="s">
        <v>910</v>
      </c>
      <c r="F238" s="80">
        <v>45204</v>
      </c>
      <c r="G238" s="115" t="s">
        <v>2445</v>
      </c>
      <c r="H238" s="127">
        <v>45252</v>
      </c>
      <c r="I238" s="127">
        <v>45275</v>
      </c>
      <c r="J238" s="80">
        <v>45363</v>
      </c>
      <c r="K238" s="114" t="s">
        <v>18</v>
      </c>
      <c r="L238" s="114" t="s">
        <v>1543</v>
      </c>
      <c r="M238" s="116"/>
      <c r="N238" s="114" t="s">
        <v>20</v>
      </c>
      <c r="O238" s="114" t="s">
        <v>719</v>
      </c>
      <c r="P238" s="115" t="s">
        <v>1977</v>
      </c>
      <c r="Q238" s="115" t="s">
        <v>491</v>
      </c>
      <c r="R238" s="127">
        <v>45498</v>
      </c>
      <c r="S238" s="120" t="s">
        <v>2446</v>
      </c>
      <c r="T238" s="103"/>
      <c r="U238" s="103"/>
      <c r="V238" s="103"/>
      <c r="W238" s="103"/>
      <c r="X238" s="103"/>
      <c r="Y238" s="157"/>
      <c r="Z238" s="157"/>
    </row>
    <row r="239" spans="1:26">
      <c r="A239" s="119" t="s">
        <v>2447</v>
      </c>
      <c r="B239" s="112" t="s">
        <v>2448</v>
      </c>
      <c r="C239" s="113" t="s">
        <v>2153</v>
      </c>
      <c r="D239" s="114" t="s">
        <v>1057</v>
      </c>
      <c r="E239" s="114" t="s">
        <v>479</v>
      </c>
      <c r="F239" s="80">
        <v>45201</v>
      </c>
      <c r="G239" s="115" t="s">
        <v>2449</v>
      </c>
      <c r="H239" s="130">
        <v>45217</v>
      </c>
      <c r="I239" s="127">
        <v>45222</v>
      </c>
      <c r="J239" s="116"/>
      <c r="K239" s="114" t="s">
        <v>18</v>
      </c>
      <c r="L239" s="114" t="s">
        <v>473</v>
      </c>
      <c r="M239" s="116"/>
      <c r="N239" s="114" t="s">
        <v>20</v>
      </c>
      <c r="O239" s="114" t="s">
        <v>1161</v>
      </c>
      <c r="P239" s="114" t="s">
        <v>1161</v>
      </c>
      <c r="Q239" s="115" t="s">
        <v>689</v>
      </c>
      <c r="R239" s="80">
        <v>45337</v>
      </c>
      <c r="S239" s="120" t="s">
        <v>2450</v>
      </c>
      <c r="T239" s="103"/>
      <c r="U239" s="103"/>
      <c r="V239" s="103"/>
      <c r="W239" s="103"/>
      <c r="X239" s="103"/>
      <c r="Y239" s="157"/>
      <c r="Z239" s="157"/>
    </row>
    <row r="240" spans="1:26">
      <c r="A240" s="119" t="s">
        <v>2451</v>
      </c>
      <c r="B240" s="112" t="s">
        <v>2452</v>
      </c>
      <c r="C240" s="113" t="s">
        <v>539</v>
      </c>
      <c r="D240" s="126" t="s">
        <v>1057</v>
      </c>
      <c r="E240" s="114" t="s">
        <v>479</v>
      </c>
      <c r="F240" s="127">
        <v>45209</v>
      </c>
      <c r="G240" s="115" t="s">
        <v>2453</v>
      </c>
      <c r="H240" s="153">
        <v>45230</v>
      </c>
      <c r="I240" s="153">
        <v>45243</v>
      </c>
      <c r="J240" s="154">
        <v>45348</v>
      </c>
      <c r="K240" s="207" t="s">
        <v>18</v>
      </c>
      <c r="L240" s="114" t="s">
        <v>1881</v>
      </c>
      <c r="M240" s="116"/>
      <c r="N240" s="112" t="s">
        <v>20</v>
      </c>
      <c r="O240" s="114" t="s">
        <v>1161</v>
      </c>
      <c r="P240" s="114" t="s">
        <v>1161</v>
      </c>
      <c r="Q240" s="115" t="s">
        <v>491</v>
      </c>
      <c r="R240" s="39">
        <v>45485</v>
      </c>
      <c r="S240" s="209" t="s">
        <v>2454</v>
      </c>
      <c r="T240" s="103"/>
      <c r="U240" s="103"/>
      <c r="V240" s="103"/>
      <c r="W240" s="103"/>
      <c r="X240" s="103"/>
      <c r="Y240" s="157"/>
      <c r="Z240" s="157"/>
    </row>
    <row r="241" spans="1:26">
      <c r="A241" s="111" t="s">
        <v>2455</v>
      </c>
      <c r="B241" s="112" t="s">
        <v>2456</v>
      </c>
      <c r="C241" s="116"/>
      <c r="D241" s="126" t="s">
        <v>2457</v>
      </c>
      <c r="E241" s="114" t="s">
        <v>479</v>
      </c>
      <c r="F241" s="127">
        <v>45209</v>
      </c>
      <c r="G241" s="115" t="s">
        <v>2458</v>
      </c>
      <c r="H241" s="154">
        <v>45352</v>
      </c>
      <c r="I241" s="154">
        <v>45356</v>
      </c>
      <c r="J241" s="154">
        <v>45371</v>
      </c>
      <c r="K241" s="42" t="s">
        <v>30</v>
      </c>
      <c r="L241" s="114" t="s">
        <v>481</v>
      </c>
      <c r="M241" s="116"/>
      <c r="N241" s="42" t="s">
        <v>20</v>
      </c>
      <c r="O241" s="114" t="s">
        <v>1265</v>
      </c>
      <c r="P241" s="114" t="s">
        <v>1498</v>
      </c>
      <c r="Q241" s="42" t="s">
        <v>491</v>
      </c>
      <c r="R241" s="39">
        <v>45498</v>
      </c>
      <c r="S241" s="146" t="s">
        <v>2459</v>
      </c>
      <c r="T241" s="103"/>
      <c r="U241" s="103"/>
      <c r="V241" s="103"/>
      <c r="W241" s="103"/>
      <c r="X241" s="103"/>
      <c r="Y241" s="157"/>
      <c r="Z241" s="157"/>
    </row>
    <row r="242" spans="1:26">
      <c r="A242" s="119" t="s">
        <v>2460</v>
      </c>
      <c r="B242" s="112" t="s">
        <v>2461</v>
      </c>
      <c r="C242" s="113" t="s">
        <v>2153</v>
      </c>
      <c r="D242" s="126" t="s">
        <v>1057</v>
      </c>
      <c r="E242" s="114" t="s">
        <v>479</v>
      </c>
      <c r="F242" s="127">
        <v>45210</v>
      </c>
      <c r="G242" s="115" t="s">
        <v>2462</v>
      </c>
      <c r="H242" s="127">
        <v>45217</v>
      </c>
      <c r="I242" s="127">
        <v>45279</v>
      </c>
      <c r="J242" s="154">
        <v>45330</v>
      </c>
      <c r="K242" s="207" t="s">
        <v>18</v>
      </c>
      <c r="L242" s="114" t="s">
        <v>1881</v>
      </c>
      <c r="M242" s="116"/>
      <c r="N242" s="112" t="s">
        <v>20</v>
      </c>
      <c r="O242" s="114" t="s">
        <v>1161</v>
      </c>
      <c r="P242" s="114" t="s">
        <v>1161</v>
      </c>
      <c r="Q242" s="115" t="s">
        <v>491</v>
      </c>
      <c r="R242" s="39">
        <v>45485</v>
      </c>
      <c r="S242" s="100" t="s">
        <v>2463</v>
      </c>
      <c r="T242" s="103"/>
      <c r="U242" s="103"/>
      <c r="V242" s="103"/>
      <c r="W242" s="103"/>
      <c r="X242" s="103"/>
      <c r="Y242" s="157"/>
      <c r="Z242" s="157"/>
    </row>
    <row r="243" spans="1:26">
      <c r="A243" s="119" t="s">
        <v>2464</v>
      </c>
      <c r="B243" s="120" t="s">
        <v>2465</v>
      </c>
      <c r="C243" s="121" t="s">
        <v>539</v>
      </c>
      <c r="D243" s="42" t="s">
        <v>516</v>
      </c>
      <c r="E243" s="42" t="s">
        <v>516</v>
      </c>
      <c r="F243" s="90">
        <v>45215</v>
      </c>
      <c r="G243" s="122" t="s">
        <v>2466</v>
      </c>
      <c r="H243" s="210">
        <v>45265</v>
      </c>
      <c r="I243" s="70">
        <v>45267</v>
      </c>
      <c r="J243" s="70">
        <v>45301</v>
      </c>
      <c r="K243" s="42" t="s">
        <v>30</v>
      </c>
      <c r="L243" s="42" t="s">
        <v>2467</v>
      </c>
      <c r="M243" s="123"/>
      <c r="N243" s="42" t="s">
        <v>20</v>
      </c>
      <c r="O243" s="42" t="s">
        <v>484</v>
      </c>
      <c r="P243" s="42" t="s">
        <v>587</v>
      </c>
      <c r="Q243" s="115" t="s">
        <v>491</v>
      </c>
      <c r="R243" s="39">
        <v>45485</v>
      </c>
      <c r="S243" s="100" t="s">
        <v>2468</v>
      </c>
      <c r="T243" s="103"/>
      <c r="U243" s="103"/>
      <c r="V243" s="103"/>
      <c r="W243" s="103"/>
      <c r="X243" s="103"/>
      <c r="Y243" s="157"/>
      <c r="Z243" s="157"/>
    </row>
    <row r="244" spans="1:26">
      <c r="A244" s="119" t="s">
        <v>2455</v>
      </c>
      <c r="B244" s="120" t="s">
        <v>2469</v>
      </c>
      <c r="C244" s="121" t="s">
        <v>546</v>
      </c>
      <c r="D244" s="18" t="s">
        <v>1057</v>
      </c>
      <c r="E244" s="42" t="s">
        <v>479</v>
      </c>
      <c r="F244" s="39">
        <v>45175</v>
      </c>
      <c r="G244" s="122" t="s">
        <v>2458</v>
      </c>
      <c r="H244" s="70">
        <v>45350</v>
      </c>
      <c r="I244" s="70">
        <v>45356</v>
      </c>
      <c r="J244" s="70">
        <v>45371</v>
      </c>
      <c r="K244" s="42" t="s">
        <v>30</v>
      </c>
      <c r="L244" s="114" t="s">
        <v>481</v>
      </c>
      <c r="M244" s="123"/>
      <c r="N244" s="42" t="s">
        <v>20</v>
      </c>
      <c r="O244" s="42" t="s">
        <v>1265</v>
      </c>
      <c r="P244" s="122" t="s">
        <v>1498</v>
      </c>
      <c r="Q244" s="42" t="s">
        <v>491</v>
      </c>
      <c r="R244" s="39">
        <v>45498</v>
      </c>
      <c r="S244" s="211" t="s">
        <v>2470</v>
      </c>
      <c r="T244" s="103"/>
      <c r="U244" s="103"/>
      <c r="V244" s="103"/>
      <c r="W244" s="103"/>
      <c r="X244" s="103"/>
      <c r="Y244" s="157"/>
      <c r="Z244" s="157"/>
    </row>
    <row r="245" spans="1:26">
      <c r="A245" s="119" t="s">
        <v>2471</v>
      </c>
      <c r="B245" s="120" t="s">
        <v>2472</v>
      </c>
      <c r="C245" s="121" t="s">
        <v>2153</v>
      </c>
      <c r="D245" s="18" t="s">
        <v>1057</v>
      </c>
      <c r="E245" s="42" t="s">
        <v>479</v>
      </c>
      <c r="F245" s="90">
        <v>45216</v>
      </c>
      <c r="G245" s="122" t="s">
        <v>2473</v>
      </c>
      <c r="H245" s="90">
        <v>45246</v>
      </c>
      <c r="I245" s="48">
        <v>45247</v>
      </c>
      <c r="J245" s="42" t="s">
        <v>2474</v>
      </c>
      <c r="K245" s="42" t="s">
        <v>18</v>
      </c>
      <c r="L245" s="42" t="s">
        <v>473</v>
      </c>
      <c r="M245" s="123"/>
      <c r="N245" s="42" t="s">
        <v>20</v>
      </c>
      <c r="O245" s="42" t="s">
        <v>1161</v>
      </c>
      <c r="P245" s="42" t="s">
        <v>1161</v>
      </c>
      <c r="Q245" s="126" t="s">
        <v>628</v>
      </c>
      <c r="R245" s="90">
        <v>45272</v>
      </c>
      <c r="S245" s="120" t="s">
        <v>2475</v>
      </c>
      <c r="T245" s="103"/>
      <c r="U245" s="103"/>
      <c r="V245" s="103"/>
      <c r="W245" s="103"/>
      <c r="X245" s="103"/>
      <c r="Y245" s="157"/>
      <c r="Z245" s="157"/>
    </row>
    <row r="246" spans="1:26">
      <c r="A246" s="119" t="s">
        <v>2476</v>
      </c>
      <c r="B246" s="120" t="s">
        <v>2477</v>
      </c>
      <c r="C246" s="121" t="s">
        <v>539</v>
      </c>
      <c r="D246" s="18" t="s">
        <v>1057</v>
      </c>
      <c r="E246" s="42" t="s">
        <v>479</v>
      </c>
      <c r="F246" s="90">
        <v>45219</v>
      </c>
      <c r="G246" s="122" t="s">
        <v>2478</v>
      </c>
      <c r="H246" s="90">
        <v>45230</v>
      </c>
      <c r="I246" s="122" t="s">
        <v>2479</v>
      </c>
      <c r="J246" s="70">
        <v>45261</v>
      </c>
      <c r="K246" s="42" t="s">
        <v>18</v>
      </c>
      <c r="L246" s="42" t="s">
        <v>473</v>
      </c>
      <c r="M246" s="123"/>
      <c r="N246" s="42" t="s">
        <v>20</v>
      </c>
      <c r="O246" s="42" t="s">
        <v>1161</v>
      </c>
      <c r="P246" s="42" t="s">
        <v>1161</v>
      </c>
      <c r="Q246" s="122" t="s">
        <v>491</v>
      </c>
      <c r="R246" s="39">
        <v>45485</v>
      </c>
      <c r="S246" s="120" t="s">
        <v>2480</v>
      </c>
      <c r="T246" s="103"/>
      <c r="U246" s="103"/>
      <c r="V246" s="103"/>
      <c r="W246" s="103"/>
      <c r="X246" s="103"/>
      <c r="Y246" s="157"/>
      <c r="Z246" s="157"/>
    </row>
    <row r="247" spans="1:26">
      <c r="A247" s="119" t="s">
        <v>2481</v>
      </c>
      <c r="B247" s="120" t="s">
        <v>2482</v>
      </c>
      <c r="C247" s="121" t="s">
        <v>1390</v>
      </c>
      <c r="D247" s="18" t="s">
        <v>1057</v>
      </c>
      <c r="E247" s="42" t="s">
        <v>1174</v>
      </c>
      <c r="F247" s="39">
        <v>45187</v>
      </c>
      <c r="G247" s="122" t="s">
        <v>2483</v>
      </c>
      <c r="H247" s="39">
        <v>45266</v>
      </c>
      <c r="I247" s="70">
        <v>45295</v>
      </c>
      <c r="J247" s="70">
        <v>45313</v>
      </c>
      <c r="K247" s="42" t="s">
        <v>18</v>
      </c>
      <c r="L247" s="42" t="s">
        <v>1543</v>
      </c>
      <c r="M247" s="123"/>
      <c r="N247" s="42" t="s">
        <v>20</v>
      </c>
      <c r="O247" s="42" t="s">
        <v>548</v>
      </c>
      <c r="P247" s="121" t="s">
        <v>557</v>
      </c>
      <c r="Q247" s="122" t="s">
        <v>491</v>
      </c>
      <c r="R247" s="39">
        <v>45485</v>
      </c>
      <c r="S247" s="100" t="s">
        <v>2484</v>
      </c>
      <c r="T247" s="103"/>
      <c r="U247" s="103"/>
      <c r="V247" s="103"/>
      <c r="W247" s="103"/>
      <c r="X247" s="103"/>
      <c r="Y247" s="157"/>
      <c r="Z247" s="157"/>
    </row>
    <row r="248" spans="1:26">
      <c r="A248" s="119" t="s">
        <v>2485</v>
      </c>
      <c r="B248" s="120" t="s">
        <v>2486</v>
      </c>
      <c r="C248" s="121" t="s">
        <v>469</v>
      </c>
      <c r="D248" s="42" t="s">
        <v>516</v>
      </c>
      <c r="E248" s="42" t="s">
        <v>516</v>
      </c>
      <c r="F248" s="90">
        <v>45224</v>
      </c>
      <c r="G248" s="122" t="s">
        <v>2487</v>
      </c>
      <c r="H248" s="123"/>
      <c r="I248" s="123"/>
      <c r="J248" s="123"/>
      <c r="K248" s="42" t="s">
        <v>30</v>
      </c>
      <c r="L248" s="42" t="s">
        <v>2467</v>
      </c>
      <c r="M248" s="123"/>
      <c r="N248" s="42" t="s">
        <v>47</v>
      </c>
      <c r="O248" s="42" t="s">
        <v>1161</v>
      </c>
      <c r="P248" s="42" t="s">
        <v>1161</v>
      </c>
      <c r="Q248" s="122" t="s">
        <v>668</v>
      </c>
      <c r="R248" s="39">
        <v>45239</v>
      </c>
      <c r="S248" s="120" t="s">
        <v>2488</v>
      </c>
      <c r="T248" s="103"/>
      <c r="U248" s="103"/>
      <c r="V248" s="103"/>
      <c r="W248" s="103"/>
      <c r="X248" s="103"/>
      <c r="Y248" s="157"/>
      <c r="Z248" s="157"/>
    </row>
    <row r="249" spans="1:26">
      <c r="A249" s="119" t="s">
        <v>2489</v>
      </c>
      <c r="B249" s="120" t="s">
        <v>2490</v>
      </c>
      <c r="C249" s="121" t="s">
        <v>539</v>
      </c>
      <c r="D249" s="18" t="s">
        <v>780</v>
      </c>
      <c r="E249" s="42" t="s">
        <v>479</v>
      </c>
      <c r="F249" s="90">
        <v>45230</v>
      </c>
      <c r="G249" s="122" t="s">
        <v>1751</v>
      </c>
      <c r="H249" s="90">
        <v>45587</v>
      </c>
      <c r="I249" s="90">
        <v>45280</v>
      </c>
      <c r="J249" s="39">
        <v>45293</v>
      </c>
      <c r="K249" s="42" t="s">
        <v>18</v>
      </c>
      <c r="L249" s="42" t="s">
        <v>1543</v>
      </c>
      <c r="M249" s="123"/>
      <c r="N249" s="42" t="s">
        <v>20</v>
      </c>
      <c r="O249" s="42" t="s">
        <v>706</v>
      </c>
      <c r="P249" s="122" t="s">
        <v>680</v>
      </c>
      <c r="Q249" s="122" t="s">
        <v>491</v>
      </c>
      <c r="R249" s="90">
        <v>45588</v>
      </c>
      <c r="S249" s="120" t="s">
        <v>2491</v>
      </c>
      <c r="T249" s="103"/>
      <c r="U249" s="103"/>
      <c r="V249" s="103"/>
      <c r="W249" s="103"/>
      <c r="X249" s="103"/>
      <c r="Y249" s="157"/>
      <c r="Z249" s="157"/>
    </row>
    <row r="250" spans="1:26">
      <c r="A250" s="119" t="s">
        <v>778</v>
      </c>
      <c r="B250" s="120" t="s">
        <v>779</v>
      </c>
      <c r="C250" s="121" t="s">
        <v>469</v>
      </c>
      <c r="D250" s="122" t="s">
        <v>780</v>
      </c>
      <c r="E250" s="42" t="s">
        <v>685</v>
      </c>
      <c r="F250" s="90">
        <v>45226</v>
      </c>
      <c r="G250" s="122" t="s">
        <v>781</v>
      </c>
      <c r="H250" s="39">
        <v>45489</v>
      </c>
      <c r="I250" s="39">
        <v>45492</v>
      </c>
      <c r="J250" s="39">
        <v>45506</v>
      </c>
      <c r="K250" s="42" t="s">
        <v>18</v>
      </c>
      <c r="L250" s="114" t="s">
        <v>481</v>
      </c>
      <c r="M250" s="123"/>
      <c r="N250" s="42" t="s">
        <v>27</v>
      </c>
      <c r="O250" s="121" t="s">
        <v>782</v>
      </c>
      <c r="P250" s="121" t="s">
        <v>783</v>
      </c>
      <c r="Q250" s="122" t="s">
        <v>491</v>
      </c>
      <c r="R250" s="39">
        <v>45518</v>
      </c>
      <c r="S250" s="120" t="s">
        <v>2492</v>
      </c>
      <c r="T250" s="103"/>
      <c r="U250" s="103"/>
      <c r="V250" s="103"/>
      <c r="W250" s="103"/>
      <c r="X250" s="103"/>
      <c r="Y250" s="157"/>
      <c r="Z250" s="157"/>
    </row>
    <row r="251" spans="1:26">
      <c r="A251" s="119" t="s">
        <v>2493</v>
      </c>
      <c r="B251" s="120" t="s">
        <v>2494</v>
      </c>
      <c r="C251" s="121" t="s">
        <v>469</v>
      </c>
      <c r="D251" s="122" t="s">
        <v>780</v>
      </c>
      <c r="E251" s="42" t="s">
        <v>685</v>
      </c>
      <c r="F251" s="90">
        <v>45226</v>
      </c>
      <c r="G251" s="122" t="s">
        <v>2495</v>
      </c>
      <c r="H251" s="48">
        <v>45272</v>
      </c>
      <c r="I251" s="70">
        <v>45268</v>
      </c>
      <c r="J251" s="70">
        <v>45308</v>
      </c>
      <c r="K251" s="42" t="s">
        <v>30</v>
      </c>
      <c r="L251" s="42" t="s">
        <v>2496</v>
      </c>
      <c r="M251" s="123"/>
      <c r="N251" s="42" t="s">
        <v>20</v>
      </c>
      <c r="O251" s="121" t="s">
        <v>782</v>
      </c>
      <c r="P251" s="121" t="s">
        <v>783</v>
      </c>
      <c r="Q251" s="122" t="s">
        <v>491</v>
      </c>
      <c r="R251" s="39">
        <v>45499</v>
      </c>
      <c r="S251" s="120" t="s">
        <v>2497</v>
      </c>
      <c r="T251" s="103"/>
      <c r="U251" s="103"/>
      <c r="V251" s="103"/>
      <c r="W251" s="103"/>
      <c r="X251" s="103"/>
      <c r="Y251" s="157"/>
      <c r="Z251" s="157"/>
    </row>
    <row r="252" spans="1:26">
      <c r="A252" s="119" t="s">
        <v>2498</v>
      </c>
      <c r="B252" s="120" t="s">
        <v>2499</v>
      </c>
      <c r="C252" s="121" t="s">
        <v>469</v>
      </c>
      <c r="D252" s="18" t="s">
        <v>2500</v>
      </c>
      <c r="E252" s="42" t="s">
        <v>2501</v>
      </c>
      <c r="F252" s="90">
        <v>45226</v>
      </c>
      <c r="G252" s="122" t="s">
        <v>2502</v>
      </c>
      <c r="H252" s="18" t="s">
        <v>556</v>
      </c>
      <c r="I252" s="70">
        <v>45456</v>
      </c>
      <c r="J252" s="123"/>
      <c r="K252" s="42" t="s">
        <v>30</v>
      </c>
      <c r="L252" s="42" t="s">
        <v>1326</v>
      </c>
      <c r="M252" s="123"/>
      <c r="N252" s="42" t="s">
        <v>27</v>
      </c>
      <c r="O252" s="121" t="s">
        <v>1573</v>
      </c>
      <c r="P252" s="121" t="s">
        <v>883</v>
      </c>
      <c r="Q252" s="122" t="s">
        <v>745</v>
      </c>
      <c r="R252" s="39">
        <v>45475</v>
      </c>
      <c r="S252" s="120" t="s">
        <v>2503</v>
      </c>
      <c r="T252" s="103"/>
      <c r="U252" s="103"/>
      <c r="V252" s="103"/>
      <c r="W252" s="103"/>
      <c r="X252" s="103"/>
      <c r="Y252" s="157"/>
      <c r="Z252" s="157"/>
    </row>
    <row r="253" spans="1:26">
      <c r="A253" s="119" t="s">
        <v>2377</v>
      </c>
      <c r="B253" s="120" t="s">
        <v>2378</v>
      </c>
      <c r="C253" s="123"/>
      <c r="D253" s="42" t="s">
        <v>1241</v>
      </c>
      <c r="E253" s="42" t="s">
        <v>1241</v>
      </c>
      <c r="F253" s="39">
        <v>45159</v>
      </c>
      <c r="G253" s="122" t="s">
        <v>2504</v>
      </c>
      <c r="H253" s="70">
        <v>45267</v>
      </c>
      <c r="I253" s="70">
        <v>45268</v>
      </c>
      <c r="J253" s="70">
        <v>45314</v>
      </c>
      <c r="K253" s="42" t="s">
        <v>30</v>
      </c>
      <c r="L253" s="42" t="s">
        <v>1543</v>
      </c>
      <c r="M253" s="123"/>
      <c r="N253" s="42" t="s">
        <v>20</v>
      </c>
      <c r="O253" s="121" t="s">
        <v>875</v>
      </c>
      <c r="P253" s="121" t="s">
        <v>2381</v>
      </c>
      <c r="Q253" s="122" t="s">
        <v>491</v>
      </c>
      <c r="R253" s="39">
        <v>45495</v>
      </c>
      <c r="S253" s="120" t="s">
        <v>2505</v>
      </c>
      <c r="T253" s="103"/>
      <c r="U253" s="103"/>
      <c r="V253" s="103"/>
      <c r="W253" s="103"/>
      <c r="X253" s="103"/>
      <c r="Y253" s="157"/>
      <c r="Z253" s="157"/>
    </row>
    <row r="254" spans="1:26">
      <c r="A254" s="111" t="s">
        <v>2506</v>
      </c>
      <c r="B254" s="112" t="s">
        <v>2507</v>
      </c>
      <c r="C254" s="113" t="s">
        <v>1390</v>
      </c>
      <c r="D254" s="126" t="s">
        <v>516</v>
      </c>
      <c r="E254" s="114" t="s">
        <v>516</v>
      </c>
      <c r="F254" s="80">
        <v>45231</v>
      </c>
      <c r="G254" s="115" t="s">
        <v>2508</v>
      </c>
      <c r="H254" s="116"/>
      <c r="I254" s="116"/>
      <c r="J254" s="116"/>
      <c r="K254" s="207" t="s">
        <v>18</v>
      </c>
      <c r="L254" s="114" t="s">
        <v>2509</v>
      </c>
      <c r="M254" s="116"/>
      <c r="N254" s="42" t="s">
        <v>47</v>
      </c>
      <c r="O254" s="116"/>
      <c r="P254" s="116"/>
      <c r="Q254" s="115" t="s">
        <v>645</v>
      </c>
      <c r="R254" s="80">
        <v>45323</v>
      </c>
      <c r="S254" s="112" t="s">
        <v>2510</v>
      </c>
      <c r="T254" s="103"/>
      <c r="U254" s="103"/>
      <c r="V254" s="103"/>
      <c r="W254" s="103"/>
      <c r="X254" s="103"/>
      <c r="Y254" s="157"/>
      <c r="Z254" s="157"/>
    </row>
    <row r="255" spans="1:26">
      <c r="A255" s="111" t="s">
        <v>2511</v>
      </c>
      <c r="B255" s="112" t="s">
        <v>2512</v>
      </c>
      <c r="C255" s="113" t="s">
        <v>1390</v>
      </c>
      <c r="D255" s="126" t="s">
        <v>516</v>
      </c>
      <c r="E255" s="114" t="s">
        <v>516</v>
      </c>
      <c r="F255" s="80">
        <v>45231</v>
      </c>
      <c r="G255" s="115" t="s">
        <v>2513</v>
      </c>
      <c r="H255" s="116"/>
      <c r="I255" s="116"/>
      <c r="J255" s="116"/>
      <c r="K255" s="207" t="s">
        <v>18</v>
      </c>
      <c r="L255" s="114" t="s">
        <v>2509</v>
      </c>
      <c r="M255" s="116"/>
      <c r="N255" s="42" t="s">
        <v>47</v>
      </c>
      <c r="O255" s="116"/>
      <c r="P255" s="116"/>
      <c r="Q255" s="115" t="s">
        <v>645</v>
      </c>
      <c r="R255" s="80">
        <v>45323</v>
      </c>
      <c r="S255" s="112" t="s">
        <v>2514</v>
      </c>
      <c r="T255" s="103"/>
      <c r="U255" s="103"/>
      <c r="V255" s="103"/>
      <c r="W255" s="103"/>
      <c r="X255" s="103"/>
      <c r="Y255" s="157"/>
      <c r="Z255" s="157"/>
    </row>
    <row r="256" spans="1:26">
      <c r="A256" s="111" t="s">
        <v>2515</v>
      </c>
      <c r="B256" s="112" t="s">
        <v>2516</v>
      </c>
      <c r="C256" s="113" t="s">
        <v>1390</v>
      </c>
      <c r="D256" s="126" t="s">
        <v>516</v>
      </c>
      <c r="E256" s="114" t="s">
        <v>516</v>
      </c>
      <c r="F256" s="80">
        <v>45231</v>
      </c>
      <c r="G256" s="115" t="s">
        <v>2517</v>
      </c>
      <c r="H256" s="116"/>
      <c r="I256" s="116"/>
      <c r="J256" s="116"/>
      <c r="K256" s="207" t="s">
        <v>18</v>
      </c>
      <c r="L256" s="114" t="s">
        <v>2509</v>
      </c>
      <c r="M256" s="116"/>
      <c r="N256" s="42" t="s">
        <v>47</v>
      </c>
      <c r="O256" s="116"/>
      <c r="P256" s="116"/>
      <c r="Q256" s="115" t="s">
        <v>645</v>
      </c>
      <c r="R256" s="80">
        <v>45323</v>
      </c>
      <c r="S256" s="112" t="s">
        <v>2518</v>
      </c>
      <c r="T256" s="103"/>
      <c r="U256" s="103"/>
      <c r="V256" s="103"/>
      <c r="W256" s="103"/>
      <c r="X256" s="103"/>
      <c r="Y256" s="157"/>
      <c r="Z256" s="157"/>
    </row>
    <row r="257" spans="1:26">
      <c r="A257" s="119" t="s">
        <v>2519</v>
      </c>
      <c r="B257" s="120" t="s">
        <v>2520</v>
      </c>
      <c r="C257" s="121" t="s">
        <v>469</v>
      </c>
      <c r="D257" s="122" t="s">
        <v>780</v>
      </c>
      <c r="E257" s="42" t="s">
        <v>479</v>
      </c>
      <c r="F257" s="39">
        <v>45231</v>
      </c>
      <c r="G257" s="122" t="s">
        <v>2521</v>
      </c>
      <c r="H257" s="39">
        <v>45266</v>
      </c>
      <c r="I257" s="90">
        <v>45273</v>
      </c>
      <c r="J257" s="39">
        <v>45323</v>
      </c>
      <c r="K257" s="42" t="s">
        <v>30</v>
      </c>
      <c r="L257" s="42" t="s">
        <v>473</v>
      </c>
      <c r="M257" s="123"/>
      <c r="N257" s="42" t="s">
        <v>47</v>
      </c>
      <c r="O257" s="42" t="s">
        <v>953</v>
      </c>
      <c r="P257" s="42" t="s">
        <v>519</v>
      </c>
      <c r="Q257" s="122" t="s">
        <v>1649</v>
      </c>
      <c r="R257" s="80">
        <v>45425</v>
      </c>
      <c r="S257" s="120" t="s">
        <v>2522</v>
      </c>
      <c r="T257" s="103"/>
      <c r="U257" s="103"/>
      <c r="V257" s="103"/>
      <c r="W257" s="103"/>
      <c r="X257" s="103"/>
      <c r="Y257" s="157"/>
      <c r="Z257" s="157"/>
    </row>
    <row r="258" spans="1:26">
      <c r="A258" s="111" t="s">
        <v>104</v>
      </c>
      <c r="B258" s="112" t="s">
        <v>2523</v>
      </c>
      <c r="C258" s="113" t="s">
        <v>2524</v>
      </c>
      <c r="D258" s="126" t="s">
        <v>479</v>
      </c>
      <c r="E258" s="114" t="s">
        <v>479</v>
      </c>
      <c r="F258" s="80">
        <v>45181</v>
      </c>
      <c r="G258" s="115" t="s">
        <v>2525</v>
      </c>
      <c r="H258" s="116"/>
      <c r="I258" s="116"/>
      <c r="J258" s="116"/>
      <c r="K258" s="42" t="s">
        <v>30</v>
      </c>
      <c r="L258" s="114" t="s">
        <v>481</v>
      </c>
      <c r="M258" s="116"/>
      <c r="N258" s="42" t="s">
        <v>27</v>
      </c>
      <c r="O258" s="116"/>
      <c r="P258" s="116"/>
      <c r="Q258" s="42" t="s">
        <v>597</v>
      </c>
      <c r="R258" s="80">
        <v>45548</v>
      </c>
      <c r="S258" s="112" t="s">
        <v>2526</v>
      </c>
      <c r="T258" s="103"/>
      <c r="U258" s="103"/>
      <c r="V258" s="103"/>
      <c r="W258" s="103"/>
      <c r="X258" s="103"/>
      <c r="Y258" s="157"/>
      <c r="Z258" s="157"/>
    </row>
    <row r="259" spans="1:26">
      <c r="A259" s="111" t="s">
        <v>709</v>
      </c>
      <c r="B259" s="112" t="s">
        <v>710</v>
      </c>
      <c r="C259" s="113" t="s">
        <v>1324</v>
      </c>
      <c r="D259" s="126" t="s">
        <v>516</v>
      </c>
      <c r="E259" s="114" t="s">
        <v>711</v>
      </c>
      <c r="F259" s="127">
        <v>45247</v>
      </c>
      <c r="G259" s="115" t="s">
        <v>712</v>
      </c>
      <c r="H259" s="126" t="s">
        <v>820</v>
      </c>
      <c r="I259" s="154">
        <v>45440</v>
      </c>
      <c r="J259" s="154">
        <v>45450</v>
      </c>
      <c r="K259" s="207" t="s">
        <v>18</v>
      </c>
      <c r="L259" s="42" t="s">
        <v>1326</v>
      </c>
      <c r="M259" s="152" t="s">
        <v>713</v>
      </c>
      <c r="N259" s="42" t="s">
        <v>20</v>
      </c>
      <c r="O259" s="114" t="s">
        <v>638</v>
      </c>
      <c r="P259" s="113" t="s">
        <v>714</v>
      </c>
      <c r="Q259" s="115" t="s">
        <v>668</v>
      </c>
      <c r="R259" s="80">
        <v>45502</v>
      </c>
      <c r="S259" s="112" t="s">
        <v>2527</v>
      </c>
      <c r="T259" s="103"/>
      <c r="U259" s="103"/>
      <c r="V259" s="103"/>
      <c r="W259" s="103"/>
      <c r="X259" s="103"/>
      <c r="Y259" s="157"/>
      <c r="Z259" s="157"/>
    </row>
    <row r="260" spans="1:26">
      <c r="A260" s="111" t="s">
        <v>2528</v>
      </c>
      <c r="B260" s="112" t="s">
        <v>2529</v>
      </c>
      <c r="C260" s="113" t="s">
        <v>2153</v>
      </c>
      <c r="D260" s="126" t="s">
        <v>2301</v>
      </c>
      <c r="E260" s="116"/>
      <c r="F260" s="127">
        <v>45215</v>
      </c>
      <c r="G260" s="115" t="s">
        <v>2530</v>
      </c>
      <c r="H260" s="154">
        <v>45386</v>
      </c>
      <c r="I260" s="154">
        <v>45407</v>
      </c>
      <c r="J260" s="154">
        <v>45414</v>
      </c>
      <c r="K260" s="207" t="s">
        <v>18</v>
      </c>
      <c r="L260" s="42" t="s">
        <v>1543</v>
      </c>
      <c r="M260" s="116"/>
      <c r="N260" s="42" t="s">
        <v>20</v>
      </c>
      <c r="O260" s="116"/>
      <c r="P260" s="116"/>
      <c r="Q260" s="115" t="s">
        <v>491</v>
      </c>
      <c r="R260" s="80">
        <v>45498</v>
      </c>
      <c r="S260" s="112" t="s">
        <v>2531</v>
      </c>
      <c r="T260" s="103"/>
      <c r="U260" s="103"/>
      <c r="V260" s="103"/>
      <c r="W260" s="103"/>
      <c r="X260" s="103"/>
      <c r="Y260" s="157"/>
      <c r="Z260" s="157"/>
    </row>
    <row r="261" spans="1:26">
      <c r="A261" s="113" t="s">
        <v>566</v>
      </c>
      <c r="B261" s="112" t="s">
        <v>2532</v>
      </c>
      <c r="C261" s="113" t="s">
        <v>2533</v>
      </c>
      <c r="D261" s="126" t="s">
        <v>685</v>
      </c>
      <c r="E261" s="114" t="s">
        <v>685</v>
      </c>
      <c r="F261" s="127">
        <v>45250</v>
      </c>
      <c r="G261" s="115" t="s">
        <v>568</v>
      </c>
      <c r="H261" s="154">
        <v>45516</v>
      </c>
      <c r="I261" s="154">
        <v>45520</v>
      </c>
      <c r="J261" s="154">
        <v>45562</v>
      </c>
      <c r="K261" s="207" t="s">
        <v>18</v>
      </c>
      <c r="L261" s="42" t="s">
        <v>1543</v>
      </c>
      <c r="M261" s="116"/>
      <c r="N261" s="42" t="s">
        <v>27</v>
      </c>
      <c r="O261" s="113" t="s">
        <v>570</v>
      </c>
      <c r="P261" s="113" t="s">
        <v>571</v>
      </c>
      <c r="Q261" s="115" t="s">
        <v>689</v>
      </c>
      <c r="R261" s="127">
        <v>45593</v>
      </c>
      <c r="S261" s="112" t="s">
        <v>2534</v>
      </c>
      <c r="T261" s="103"/>
      <c r="U261" s="103"/>
      <c r="V261" s="103"/>
      <c r="W261" s="103"/>
      <c r="X261" s="103"/>
      <c r="Y261" s="157"/>
      <c r="Z261" s="157"/>
    </row>
    <row r="262" spans="1:26">
      <c r="A262" s="111" t="s">
        <v>601</v>
      </c>
      <c r="B262" s="112" t="s">
        <v>602</v>
      </c>
      <c r="C262" s="113" t="s">
        <v>2379</v>
      </c>
      <c r="D262" s="126" t="s">
        <v>2535</v>
      </c>
      <c r="E262" s="114" t="s">
        <v>2535</v>
      </c>
      <c r="F262" s="127">
        <v>45258</v>
      </c>
      <c r="G262" s="115" t="s">
        <v>2536</v>
      </c>
      <c r="H262" s="154">
        <v>45454</v>
      </c>
      <c r="I262" s="154">
        <v>45456</v>
      </c>
      <c r="J262" s="116"/>
      <c r="K262" s="207" t="s">
        <v>18</v>
      </c>
      <c r="L262" s="42" t="s">
        <v>1326</v>
      </c>
      <c r="M262" s="116"/>
      <c r="N262" s="42" t="s">
        <v>27</v>
      </c>
      <c r="O262" s="116"/>
      <c r="P262" s="116"/>
      <c r="Q262" s="115" t="s">
        <v>728</v>
      </c>
      <c r="R262" s="80">
        <v>45526</v>
      </c>
      <c r="S262" s="112" t="s">
        <v>2537</v>
      </c>
      <c r="T262" s="103"/>
      <c r="U262" s="103"/>
      <c r="V262" s="103"/>
      <c r="W262" s="103"/>
      <c r="X262" s="103"/>
      <c r="Y262" s="157"/>
      <c r="Z262" s="157"/>
    </row>
    <row r="263" spans="1:26">
      <c r="A263" s="111" t="s">
        <v>703</v>
      </c>
      <c r="B263" s="112" t="s">
        <v>2538</v>
      </c>
      <c r="C263" s="113" t="s">
        <v>469</v>
      </c>
      <c r="D263" s="114" t="s">
        <v>470</v>
      </c>
      <c r="E263" s="114" t="s">
        <v>685</v>
      </c>
      <c r="F263" s="127">
        <v>45259</v>
      </c>
      <c r="G263" s="115" t="s">
        <v>705</v>
      </c>
      <c r="H263" s="80">
        <v>45567</v>
      </c>
      <c r="I263" s="154">
        <v>45512</v>
      </c>
      <c r="J263" s="154">
        <v>45552</v>
      </c>
      <c r="K263" s="207" t="s">
        <v>18</v>
      </c>
      <c r="L263" s="42" t="s">
        <v>1543</v>
      </c>
      <c r="M263" s="116"/>
      <c r="N263" s="42" t="s">
        <v>27</v>
      </c>
      <c r="O263" s="42" t="s">
        <v>706</v>
      </c>
      <c r="P263" s="113" t="s">
        <v>707</v>
      </c>
      <c r="Q263" s="115" t="s">
        <v>491</v>
      </c>
      <c r="R263" s="127">
        <v>45575</v>
      </c>
      <c r="S263" s="112" t="s">
        <v>2539</v>
      </c>
      <c r="T263" s="103"/>
      <c r="U263" s="103"/>
      <c r="V263" s="103"/>
      <c r="W263" s="103"/>
      <c r="X263" s="103"/>
      <c r="Y263" s="157"/>
      <c r="Z263" s="157"/>
    </row>
    <row r="264" spans="1:26">
      <c r="A264" s="111" t="s">
        <v>2540</v>
      </c>
      <c r="B264" s="112" t="s">
        <v>2541</v>
      </c>
      <c r="C264" s="113" t="s">
        <v>1390</v>
      </c>
      <c r="D264" s="126" t="s">
        <v>780</v>
      </c>
      <c r="E264" s="114" t="s">
        <v>685</v>
      </c>
      <c r="F264" s="80">
        <v>45201</v>
      </c>
      <c r="G264" s="115" t="s">
        <v>2542</v>
      </c>
      <c r="H264" s="153">
        <v>45250</v>
      </c>
      <c r="I264" s="153">
        <v>45259</v>
      </c>
      <c r="J264" s="153">
        <v>45281</v>
      </c>
      <c r="K264" s="207" t="s">
        <v>2543</v>
      </c>
      <c r="L264" s="114" t="s">
        <v>2509</v>
      </c>
      <c r="M264" s="116"/>
      <c r="N264" s="114" t="s">
        <v>20</v>
      </c>
      <c r="O264" s="116"/>
      <c r="P264" s="116"/>
      <c r="Q264" s="115" t="s">
        <v>491</v>
      </c>
      <c r="R264" s="80">
        <v>45499</v>
      </c>
      <c r="S264" s="112" t="s">
        <v>2544</v>
      </c>
      <c r="T264" s="103"/>
      <c r="U264" s="103"/>
      <c r="V264" s="103"/>
      <c r="W264" s="103"/>
      <c r="X264" s="103"/>
      <c r="Y264" s="157"/>
      <c r="Z264" s="157"/>
    </row>
    <row r="265" spans="1:26">
      <c r="A265" s="111" t="s">
        <v>2545</v>
      </c>
      <c r="B265" s="112" t="s">
        <v>2546</v>
      </c>
      <c r="C265" s="113" t="s">
        <v>1390</v>
      </c>
      <c r="D265" s="126" t="s">
        <v>780</v>
      </c>
      <c r="E265" s="114" t="s">
        <v>685</v>
      </c>
      <c r="F265" s="80">
        <v>45201</v>
      </c>
      <c r="G265" s="115" t="s">
        <v>2547</v>
      </c>
      <c r="H265" s="153">
        <v>45260</v>
      </c>
      <c r="I265" s="154">
        <v>45264</v>
      </c>
      <c r="J265" s="153">
        <v>45281</v>
      </c>
      <c r="K265" s="207" t="s">
        <v>2543</v>
      </c>
      <c r="L265" s="114" t="s">
        <v>2509</v>
      </c>
      <c r="M265" s="116"/>
      <c r="N265" s="114" t="s">
        <v>20</v>
      </c>
      <c r="O265" s="116"/>
      <c r="P265" s="116"/>
      <c r="Q265" s="115" t="s">
        <v>491</v>
      </c>
      <c r="R265" s="80">
        <v>45499</v>
      </c>
      <c r="S265" s="112" t="s">
        <v>2548</v>
      </c>
      <c r="T265" s="103"/>
      <c r="U265" s="103"/>
      <c r="V265" s="103"/>
      <c r="W265" s="103"/>
      <c r="X265" s="103"/>
      <c r="Y265" s="157"/>
      <c r="Z265" s="157"/>
    </row>
    <row r="266" spans="1:26">
      <c r="A266" s="111" t="s">
        <v>634</v>
      </c>
      <c r="B266" s="112" t="s">
        <v>635</v>
      </c>
      <c r="C266" s="113" t="s">
        <v>469</v>
      </c>
      <c r="D266" s="115" t="s">
        <v>636</v>
      </c>
      <c r="E266" s="114" t="s">
        <v>636</v>
      </c>
      <c r="F266" s="127">
        <v>45271</v>
      </c>
      <c r="G266" s="115" t="s">
        <v>637</v>
      </c>
      <c r="H266" s="115" t="s">
        <v>556</v>
      </c>
      <c r="I266" s="80">
        <v>45453</v>
      </c>
      <c r="J266" s="80">
        <v>45477</v>
      </c>
      <c r="K266" s="114" t="s">
        <v>18</v>
      </c>
      <c r="L266" s="42" t="s">
        <v>1326</v>
      </c>
      <c r="M266" s="116"/>
      <c r="N266" s="114" t="s">
        <v>20</v>
      </c>
      <c r="O266" s="112" t="s">
        <v>638</v>
      </c>
      <c r="P266" s="115" t="s">
        <v>639</v>
      </c>
      <c r="Q266" s="115" t="s">
        <v>491</v>
      </c>
      <c r="R266" s="127">
        <v>45490</v>
      </c>
      <c r="S266" s="112" t="s">
        <v>2549</v>
      </c>
      <c r="T266" s="103"/>
      <c r="U266" s="103"/>
      <c r="V266" s="103"/>
      <c r="W266" s="103"/>
      <c r="X266" s="103"/>
      <c r="Y266" s="157"/>
      <c r="Z266" s="157"/>
    </row>
    <row r="267" spans="1:26">
      <c r="A267" s="111" t="s">
        <v>1322</v>
      </c>
      <c r="B267" s="212" t="s">
        <v>1323</v>
      </c>
      <c r="C267" s="113" t="s">
        <v>1324</v>
      </c>
      <c r="D267" s="126" t="s">
        <v>516</v>
      </c>
      <c r="E267" s="114" t="s">
        <v>711</v>
      </c>
      <c r="F267" s="127">
        <v>45273</v>
      </c>
      <c r="G267" s="115" t="s">
        <v>1325</v>
      </c>
      <c r="H267" s="126" t="s">
        <v>556</v>
      </c>
      <c r="I267" s="116"/>
      <c r="J267" s="116"/>
      <c r="K267" s="42" t="s">
        <v>30</v>
      </c>
      <c r="L267" s="42" t="s">
        <v>1326</v>
      </c>
      <c r="M267" s="116"/>
      <c r="N267" s="114" t="s">
        <v>2550</v>
      </c>
      <c r="O267" s="115" t="s">
        <v>2551</v>
      </c>
      <c r="P267" s="113" t="s">
        <v>2552</v>
      </c>
      <c r="Q267" s="115" t="s">
        <v>668</v>
      </c>
      <c r="R267" s="80">
        <v>45509</v>
      </c>
      <c r="S267" s="152" t="s">
        <v>2553</v>
      </c>
      <c r="T267" s="103"/>
      <c r="U267" s="103"/>
      <c r="V267" s="103"/>
      <c r="W267" s="103"/>
      <c r="X267" s="103"/>
      <c r="Y267" s="157"/>
      <c r="Z267" s="157"/>
    </row>
    <row r="268" spans="1:26">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57"/>
      <c r="Z268" s="157"/>
    </row>
    <row r="269" spans="1:26">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57"/>
      <c r="Z269" s="157"/>
    </row>
    <row r="270" spans="1:26">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57"/>
      <c r="Z270" s="157"/>
    </row>
    <row r="271" spans="1:26">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57"/>
      <c r="Z271" s="157"/>
    </row>
    <row r="272" spans="1:26">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57"/>
      <c r="Z272" s="157"/>
    </row>
    <row r="273" spans="1:26">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57"/>
      <c r="Z273" s="157"/>
    </row>
    <row r="274" spans="1:26">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57"/>
      <c r="Z274" s="157"/>
    </row>
    <row r="275" spans="1:26">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57"/>
      <c r="Z275" s="157"/>
    </row>
    <row r="276" spans="1:26">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57"/>
      <c r="Z276" s="157"/>
    </row>
    <row r="277" spans="1:26">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57"/>
      <c r="Z277" s="157"/>
    </row>
    <row r="278" spans="1:26">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57"/>
      <c r="Z278" s="157"/>
    </row>
    <row r="279" spans="1:26">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57"/>
      <c r="Z279" s="157"/>
    </row>
    <row r="280" spans="1:26">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57"/>
      <c r="Z280" s="157"/>
    </row>
    <row r="281" spans="1:26">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57"/>
      <c r="Z281" s="157"/>
    </row>
    <row r="282" spans="1:26">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57"/>
      <c r="Z282" s="157"/>
    </row>
    <row r="283" spans="1:26">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57"/>
      <c r="Z283" s="157"/>
    </row>
    <row r="284" spans="1:26">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57"/>
      <c r="Z284" s="157"/>
    </row>
    <row r="285" spans="1:26">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57"/>
      <c r="Z285" s="157"/>
    </row>
    <row r="286" spans="1:26">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57"/>
      <c r="Z286" s="157"/>
    </row>
    <row r="287" spans="1:26">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57"/>
      <c r="Z287" s="157"/>
    </row>
    <row r="288" spans="1:26">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57"/>
      <c r="Z288" s="157"/>
    </row>
    <row r="289" spans="1:26">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57"/>
      <c r="Z289" s="157"/>
    </row>
    <row r="290" spans="1:26">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57"/>
      <c r="Z290" s="157"/>
    </row>
    <row r="291" spans="1:26">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57"/>
      <c r="Z291" s="157"/>
    </row>
    <row r="292" spans="1:26">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57"/>
      <c r="Z292" s="157"/>
    </row>
    <row r="293" spans="1:26">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57"/>
      <c r="Z293" s="157"/>
    </row>
    <row r="294" spans="1:26">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57"/>
      <c r="Z294" s="157"/>
    </row>
    <row r="295" spans="1:26">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57"/>
      <c r="Z295" s="157"/>
    </row>
    <row r="296" spans="1:26">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57"/>
      <c r="Z296" s="157"/>
    </row>
    <row r="297" spans="1:26">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57"/>
      <c r="Z297" s="157"/>
    </row>
    <row r="298" spans="1:26">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57"/>
      <c r="Z298" s="157"/>
    </row>
    <row r="299" spans="1:26">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57"/>
      <c r="Z299" s="157"/>
    </row>
    <row r="300" spans="1:26">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57"/>
      <c r="Z300" s="157"/>
    </row>
    <row r="301" spans="1:26">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57"/>
      <c r="Z301" s="157"/>
    </row>
    <row r="302" spans="1:26">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57"/>
      <c r="Z302" s="157"/>
    </row>
    <row r="303" spans="1:26">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57"/>
      <c r="Z303" s="157"/>
    </row>
    <row r="304" spans="1:26">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57"/>
      <c r="Z304" s="157"/>
    </row>
    <row r="305" spans="1:26">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57"/>
      <c r="Z305" s="157"/>
    </row>
    <row r="306" spans="1:26">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57"/>
      <c r="Z306" s="157"/>
    </row>
    <row r="307" spans="1:26">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57"/>
      <c r="Z307" s="157"/>
    </row>
    <row r="308" spans="1:26">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57"/>
      <c r="Z308" s="157"/>
    </row>
    <row r="309" spans="1:26">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57"/>
      <c r="Z309" s="157"/>
    </row>
    <row r="310" spans="1:26">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57"/>
      <c r="Z310" s="157"/>
    </row>
    <row r="311" spans="1:26">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57"/>
      <c r="Z311" s="157"/>
    </row>
    <row r="312" spans="1:26">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57"/>
      <c r="Z312" s="157"/>
    </row>
    <row r="313" spans="1:26">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57"/>
      <c r="Z313" s="157"/>
    </row>
    <row r="314" spans="1:26">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57"/>
      <c r="Z314" s="157"/>
    </row>
    <row r="315" spans="1:26">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57"/>
      <c r="Z315" s="157"/>
    </row>
    <row r="316" spans="1:26">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57"/>
      <c r="Z316" s="157"/>
    </row>
    <row r="317" spans="1:26">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57"/>
      <c r="Z317" s="157"/>
    </row>
    <row r="318" spans="1:26">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57"/>
      <c r="Z318" s="157"/>
    </row>
    <row r="319" spans="1:26">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57"/>
      <c r="Z319" s="157"/>
    </row>
    <row r="320" spans="1:26">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57"/>
      <c r="Z320" s="157"/>
    </row>
    <row r="321" spans="1:26">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57"/>
      <c r="Z321" s="157"/>
    </row>
    <row r="322" spans="1:26">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57"/>
      <c r="Z322" s="157"/>
    </row>
    <row r="323" spans="1:26">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57"/>
      <c r="Z323" s="157"/>
    </row>
    <row r="324" spans="1:26">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57"/>
      <c r="Z324" s="157"/>
    </row>
    <row r="325" spans="1:26">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57"/>
      <c r="Z325" s="157"/>
    </row>
    <row r="326" spans="1:26">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57"/>
      <c r="Z326" s="157"/>
    </row>
    <row r="327" spans="1:26">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57"/>
      <c r="Z327" s="157"/>
    </row>
    <row r="328" spans="1:26">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57"/>
      <c r="Z328" s="157"/>
    </row>
    <row r="329" spans="1:26">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57"/>
      <c r="Z329" s="157"/>
    </row>
    <row r="330" spans="1:26">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57"/>
      <c r="Z330" s="157"/>
    </row>
    <row r="331" spans="1:26">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57"/>
      <c r="Z331" s="157"/>
    </row>
    <row r="332" spans="1:26">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57"/>
      <c r="Z332" s="157"/>
    </row>
    <row r="333" spans="1:26">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57"/>
      <c r="Z333" s="157"/>
    </row>
    <row r="334" spans="1:26">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57"/>
      <c r="Z334" s="157"/>
    </row>
    <row r="335" spans="1:26">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57"/>
      <c r="Z335" s="157"/>
    </row>
    <row r="336" spans="1:26">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57"/>
      <c r="Z336" s="157"/>
    </row>
    <row r="337" spans="1:26">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57"/>
      <c r="Z337" s="157"/>
    </row>
    <row r="338" spans="1:26">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57"/>
      <c r="Z338" s="157"/>
    </row>
    <row r="339" spans="1:26">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57"/>
      <c r="Z339" s="157"/>
    </row>
    <row r="340" spans="1:26">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57"/>
      <c r="Z340" s="157"/>
    </row>
    <row r="341" spans="1:26">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57"/>
      <c r="Z341" s="157"/>
    </row>
    <row r="342" spans="1:26">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57"/>
      <c r="Z342" s="157"/>
    </row>
    <row r="343" spans="1:26">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57"/>
      <c r="Z343" s="157"/>
    </row>
    <row r="344" spans="1:26">
      <c r="A344" s="103"/>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57"/>
      <c r="Z344" s="157"/>
    </row>
    <row r="345" spans="1:26">
      <c r="A345" s="103"/>
      <c r="B345" s="103"/>
      <c r="C345" s="103"/>
      <c r="D345" s="103"/>
      <c r="E345" s="103"/>
      <c r="F345" s="103"/>
      <c r="G345" s="103"/>
      <c r="H345" s="103"/>
      <c r="I345" s="103"/>
      <c r="J345" s="103"/>
      <c r="K345" s="103"/>
      <c r="L345" s="103"/>
      <c r="M345" s="103"/>
      <c r="N345" s="103"/>
      <c r="O345" s="103"/>
      <c r="P345" s="103"/>
      <c r="Q345" s="103"/>
      <c r="R345" s="103"/>
      <c r="S345" s="103"/>
      <c r="T345" s="103"/>
      <c r="U345" s="103"/>
      <c r="V345" s="103"/>
      <c r="W345" s="103"/>
      <c r="X345" s="103"/>
      <c r="Y345" s="157"/>
      <c r="Z345" s="157"/>
    </row>
    <row r="346" spans="1:26">
      <c r="A346" s="103"/>
      <c r="B346" s="103"/>
      <c r="C346" s="103"/>
      <c r="D346" s="103"/>
      <c r="E346" s="103"/>
      <c r="F346" s="103"/>
      <c r="G346" s="103"/>
      <c r="H346" s="103"/>
      <c r="I346" s="103"/>
      <c r="J346" s="103"/>
      <c r="K346" s="103"/>
      <c r="L346" s="103"/>
      <c r="M346" s="103"/>
      <c r="N346" s="103"/>
      <c r="O346" s="103"/>
      <c r="P346" s="103"/>
      <c r="Q346" s="103"/>
      <c r="R346" s="103"/>
      <c r="S346" s="103"/>
      <c r="T346" s="103"/>
      <c r="U346" s="103"/>
      <c r="V346" s="103"/>
      <c r="W346" s="103"/>
      <c r="X346" s="103"/>
      <c r="Y346" s="157"/>
      <c r="Z346" s="157"/>
    </row>
    <row r="347" spans="1:26">
      <c r="A347" s="103"/>
      <c r="B347" s="103"/>
      <c r="C347" s="103"/>
      <c r="D347" s="103"/>
      <c r="E347" s="103"/>
      <c r="F347" s="103"/>
      <c r="G347" s="103"/>
      <c r="H347" s="103"/>
      <c r="I347" s="103"/>
      <c r="J347" s="103"/>
      <c r="K347" s="103"/>
      <c r="L347" s="103"/>
      <c r="M347" s="103"/>
      <c r="N347" s="103"/>
      <c r="O347" s="103"/>
      <c r="P347" s="103"/>
      <c r="Q347" s="103"/>
      <c r="R347" s="103"/>
      <c r="S347" s="103"/>
      <c r="T347" s="103"/>
      <c r="U347" s="103"/>
      <c r="V347" s="103"/>
      <c r="W347" s="103"/>
      <c r="X347" s="103"/>
      <c r="Y347" s="157"/>
      <c r="Z347" s="157"/>
    </row>
    <row r="348" spans="1:26">
      <c r="A348" s="103"/>
      <c r="B348" s="103"/>
      <c r="C348" s="103"/>
      <c r="D348" s="103"/>
      <c r="E348" s="103"/>
      <c r="F348" s="103"/>
      <c r="G348" s="103"/>
      <c r="H348" s="103"/>
      <c r="I348" s="103"/>
      <c r="J348" s="103"/>
      <c r="K348" s="103"/>
      <c r="L348" s="103"/>
      <c r="M348" s="103"/>
      <c r="N348" s="103"/>
      <c r="O348" s="103"/>
      <c r="P348" s="103"/>
      <c r="Q348" s="103"/>
      <c r="R348" s="103"/>
      <c r="S348" s="103"/>
      <c r="T348" s="103"/>
      <c r="U348" s="103"/>
      <c r="V348" s="103"/>
      <c r="W348" s="103"/>
      <c r="X348" s="103"/>
      <c r="Y348" s="157"/>
      <c r="Z348" s="157"/>
    </row>
    <row r="349" spans="1:26">
      <c r="A349" s="103"/>
      <c r="B349" s="103"/>
      <c r="C349" s="103"/>
      <c r="D349" s="103"/>
      <c r="E349" s="103"/>
      <c r="F349" s="103"/>
      <c r="G349" s="103"/>
      <c r="H349" s="103"/>
      <c r="I349" s="103"/>
      <c r="J349" s="103"/>
      <c r="K349" s="103"/>
      <c r="L349" s="103"/>
      <c r="M349" s="103"/>
      <c r="N349" s="103"/>
      <c r="O349" s="103"/>
      <c r="P349" s="103"/>
      <c r="Q349" s="103"/>
      <c r="R349" s="103"/>
      <c r="S349" s="103"/>
      <c r="T349" s="103"/>
      <c r="U349" s="103"/>
      <c r="V349" s="103"/>
      <c r="W349" s="103"/>
      <c r="X349" s="103"/>
      <c r="Y349" s="157"/>
      <c r="Z349" s="157"/>
    </row>
    <row r="350" spans="1:26">
      <c r="A350" s="103"/>
      <c r="B350" s="103"/>
      <c r="C350" s="103"/>
      <c r="D350" s="103"/>
      <c r="E350" s="103"/>
      <c r="F350" s="103"/>
      <c r="G350" s="103"/>
      <c r="H350" s="103"/>
      <c r="I350" s="103"/>
      <c r="J350" s="103"/>
      <c r="K350" s="103"/>
      <c r="L350" s="103"/>
      <c r="M350" s="103"/>
      <c r="N350" s="103"/>
      <c r="O350" s="103"/>
      <c r="P350" s="103"/>
      <c r="Q350" s="103"/>
      <c r="R350" s="103"/>
      <c r="S350" s="103"/>
      <c r="T350" s="103"/>
      <c r="U350" s="103"/>
      <c r="V350" s="103"/>
      <c r="W350" s="103"/>
      <c r="X350" s="103"/>
      <c r="Y350" s="157"/>
      <c r="Z350" s="157"/>
    </row>
    <row r="351" spans="1:26">
      <c r="A351" s="103"/>
      <c r="B351" s="103"/>
      <c r="C351" s="103"/>
      <c r="D351" s="103"/>
      <c r="E351" s="103"/>
      <c r="F351" s="103"/>
      <c r="G351" s="103"/>
      <c r="H351" s="103"/>
      <c r="I351" s="103"/>
      <c r="J351" s="103"/>
      <c r="K351" s="103"/>
      <c r="L351" s="103"/>
      <c r="M351" s="103"/>
      <c r="N351" s="103"/>
      <c r="O351" s="103"/>
      <c r="P351" s="103"/>
      <c r="Q351" s="103"/>
      <c r="R351" s="103"/>
      <c r="S351" s="103"/>
      <c r="T351" s="103"/>
      <c r="U351" s="103"/>
      <c r="V351" s="103"/>
      <c r="W351" s="103"/>
      <c r="X351" s="103"/>
      <c r="Y351" s="157"/>
      <c r="Z351" s="157"/>
    </row>
    <row r="352" spans="1:26">
      <c r="A352" s="103"/>
      <c r="B352" s="103"/>
      <c r="C352" s="103"/>
      <c r="D352" s="103"/>
      <c r="E352" s="103"/>
      <c r="F352" s="103"/>
      <c r="G352" s="103"/>
      <c r="H352" s="103"/>
      <c r="I352" s="103"/>
      <c r="J352" s="103"/>
      <c r="K352" s="103"/>
      <c r="L352" s="103"/>
      <c r="M352" s="103"/>
      <c r="N352" s="103"/>
      <c r="O352" s="103"/>
      <c r="P352" s="103"/>
      <c r="Q352" s="103"/>
      <c r="R352" s="103"/>
      <c r="S352" s="103"/>
      <c r="T352" s="103"/>
      <c r="U352" s="103"/>
      <c r="V352" s="103"/>
      <c r="W352" s="103"/>
      <c r="X352" s="103"/>
      <c r="Y352" s="157"/>
      <c r="Z352" s="157"/>
    </row>
    <row r="353" spans="1:26">
      <c r="A353" s="103"/>
      <c r="B353" s="103"/>
      <c r="C353" s="103"/>
      <c r="D353" s="103"/>
      <c r="E353" s="103"/>
      <c r="F353" s="103"/>
      <c r="G353" s="103"/>
      <c r="H353" s="103"/>
      <c r="I353" s="103"/>
      <c r="J353" s="103"/>
      <c r="K353" s="103"/>
      <c r="L353" s="103"/>
      <c r="M353" s="103"/>
      <c r="N353" s="103"/>
      <c r="O353" s="103"/>
      <c r="P353" s="103"/>
      <c r="Q353" s="103"/>
      <c r="R353" s="103"/>
      <c r="S353" s="103"/>
      <c r="T353" s="103"/>
      <c r="U353" s="103"/>
      <c r="V353" s="103"/>
      <c r="W353" s="103"/>
      <c r="X353" s="103"/>
      <c r="Y353" s="157"/>
      <c r="Z353" s="157"/>
    </row>
    <row r="354" spans="1:26">
      <c r="A354" s="103"/>
      <c r="B354" s="103"/>
      <c r="C354" s="103"/>
      <c r="D354" s="103"/>
      <c r="E354" s="103"/>
      <c r="F354" s="103"/>
      <c r="G354" s="103"/>
      <c r="H354" s="103"/>
      <c r="I354" s="103"/>
      <c r="J354" s="103"/>
      <c r="K354" s="103"/>
      <c r="L354" s="103"/>
      <c r="M354" s="103"/>
      <c r="N354" s="103"/>
      <c r="O354" s="103"/>
      <c r="P354" s="103"/>
      <c r="Q354" s="103"/>
      <c r="R354" s="103"/>
      <c r="S354" s="103"/>
      <c r="T354" s="103"/>
      <c r="U354" s="103"/>
      <c r="V354" s="103"/>
      <c r="W354" s="103"/>
      <c r="X354" s="103"/>
      <c r="Y354" s="157"/>
      <c r="Z354" s="157"/>
    </row>
    <row r="355" spans="1:26">
      <c r="A355" s="103"/>
      <c r="B355" s="103"/>
      <c r="C355" s="103"/>
      <c r="D355" s="103"/>
      <c r="E355" s="103"/>
      <c r="F355" s="103"/>
      <c r="G355" s="103"/>
      <c r="H355" s="103"/>
      <c r="I355" s="103"/>
      <c r="J355" s="103"/>
      <c r="K355" s="103"/>
      <c r="L355" s="103"/>
      <c r="M355" s="103"/>
      <c r="N355" s="103"/>
      <c r="O355" s="103"/>
      <c r="P355" s="103"/>
      <c r="Q355" s="103"/>
      <c r="R355" s="103"/>
      <c r="S355" s="103"/>
      <c r="T355" s="103"/>
      <c r="U355" s="103"/>
      <c r="V355" s="103"/>
      <c r="W355" s="103"/>
      <c r="X355" s="103"/>
      <c r="Y355" s="157"/>
      <c r="Z355" s="157"/>
    </row>
    <row r="356" spans="1:26">
      <c r="A356" s="103"/>
      <c r="B356" s="103"/>
      <c r="C356" s="103"/>
      <c r="D356" s="103"/>
      <c r="E356" s="103"/>
      <c r="F356" s="103"/>
      <c r="G356" s="103"/>
      <c r="H356" s="103"/>
      <c r="I356" s="103"/>
      <c r="J356" s="103"/>
      <c r="K356" s="103"/>
      <c r="L356" s="103"/>
      <c r="M356" s="103"/>
      <c r="N356" s="103"/>
      <c r="O356" s="103"/>
      <c r="P356" s="103"/>
      <c r="Q356" s="103"/>
      <c r="R356" s="103"/>
      <c r="S356" s="103"/>
      <c r="T356" s="103"/>
      <c r="U356" s="103"/>
      <c r="V356" s="103"/>
      <c r="W356" s="103"/>
      <c r="X356" s="103"/>
      <c r="Y356" s="157"/>
      <c r="Z356" s="157"/>
    </row>
    <row r="357" spans="1:26">
      <c r="A357" s="103"/>
      <c r="B357" s="103"/>
      <c r="C357" s="103"/>
      <c r="D357" s="103"/>
      <c r="E357" s="103"/>
      <c r="F357" s="103"/>
      <c r="G357" s="103"/>
      <c r="H357" s="103"/>
      <c r="I357" s="103"/>
      <c r="J357" s="103"/>
      <c r="K357" s="103"/>
      <c r="L357" s="103"/>
      <c r="M357" s="103"/>
      <c r="N357" s="103"/>
      <c r="O357" s="103"/>
      <c r="P357" s="103"/>
      <c r="Q357" s="103"/>
      <c r="R357" s="103"/>
      <c r="S357" s="103"/>
      <c r="T357" s="103"/>
      <c r="U357" s="103"/>
      <c r="V357" s="103"/>
      <c r="W357" s="103"/>
      <c r="X357" s="103"/>
      <c r="Y357" s="157"/>
      <c r="Z357" s="157"/>
    </row>
    <row r="358" spans="1:26">
      <c r="A358" s="103"/>
      <c r="B358" s="103"/>
      <c r="C358" s="103"/>
      <c r="D358" s="103"/>
      <c r="E358" s="103"/>
      <c r="F358" s="103"/>
      <c r="G358" s="103"/>
      <c r="H358" s="103"/>
      <c r="I358" s="103"/>
      <c r="J358" s="103"/>
      <c r="K358" s="103"/>
      <c r="L358" s="103"/>
      <c r="M358" s="103"/>
      <c r="N358" s="103"/>
      <c r="O358" s="103"/>
      <c r="P358" s="103"/>
      <c r="Q358" s="103"/>
      <c r="R358" s="103"/>
      <c r="S358" s="103"/>
      <c r="T358" s="103"/>
      <c r="U358" s="103"/>
      <c r="V358" s="103"/>
      <c r="W358" s="103"/>
      <c r="X358" s="103"/>
      <c r="Y358" s="157"/>
      <c r="Z358" s="157"/>
    </row>
    <row r="359" spans="1:26">
      <c r="A359" s="103"/>
      <c r="B359" s="103"/>
      <c r="C359" s="103"/>
      <c r="D359" s="103"/>
      <c r="E359" s="103"/>
      <c r="F359" s="103"/>
      <c r="G359" s="103"/>
      <c r="H359" s="103"/>
      <c r="I359" s="103"/>
      <c r="J359" s="103"/>
      <c r="K359" s="103"/>
      <c r="L359" s="103"/>
      <c r="M359" s="103"/>
      <c r="N359" s="103"/>
      <c r="O359" s="103"/>
      <c r="P359" s="103"/>
      <c r="Q359" s="103"/>
      <c r="R359" s="103"/>
      <c r="S359" s="103"/>
      <c r="T359" s="103"/>
      <c r="U359" s="103"/>
      <c r="V359" s="103"/>
      <c r="W359" s="103"/>
      <c r="X359" s="103"/>
      <c r="Y359" s="157"/>
      <c r="Z359" s="157"/>
    </row>
    <row r="360" spans="1:26">
      <c r="A360" s="103"/>
      <c r="B360" s="103"/>
      <c r="C360" s="103"/>
      <c r="D360" s="103"/>
      <c r="E360" s="103"/>
      <c r="F360" s="103"/>
      <c r="G360" s="103"/>
      <c r="H360" s="103"/>
      <c r="I360" s="103"/>
      <c r="J360" s="103"/>
      <c r="K360" s="103"/>
      <c r="L360" s="103"/>
      <c r="M360" s="103"/>
      <c r="N360" s="103"/>
      <c r="O360" s="103"/>
      <c r="P360" s="103"/>
      <c r="Q360" s="103"/>
      <c r="R360" s="103"/>
      <c r="S360" s="103"/>
      <c r="T360" s="103"/>
      <c r="U360" s="103"/>
      <c r="V360" s="103"/>
      <c r="W360" s="103"/>
      <c r="X360" s="103"/>
      <c r="Y360" s="157"/>
      <c r="Z360" s="157"/>
    </row>
    <row r="361" spans="1:26">
      <c r="A361" s="103"/>
      <c r="B361" s="103"/>
      <c r="C361" s="103"/>
      <c r="D361" s="103"/>
      <c r="E361" s="103"/>
      <c r="F361" s="103"/>
      <c r="G361" s="103"/>
      <c r="H361" s="103"/>
      <c r="I361" s="103"/>
      <c r="J361" s="103"/>
      <c r="K361" s="103"/>
      <c r="L361" s="103"/>
      <c r="M361" s="103"/>
      <c r="N361" s="103"/>
      <c r="O361" s="103"/>
      <c r="P361" s="103"/>
      <c r="Q361" s="103"/>
      <c r="R361" s="103"/>
      <c r="S361" s="103"/>
      <c r="T361" s="103"/>
      <c r="U361" s="103"/>
      <c r="V361" s="103"/>
      <c r="W361" s="103"/>
      <c r="X361" s="103"/>
      <c r="Y361" s="157"/>
      <c r="Z361" s="157"/>
    </row>
    <row r="362" spans="1:26">
      <c r="A362" s="103"/>
      <c r="B362" s="103"/>
      <c r="C362" s="103"/>
      <c r="D362" s="103"/>
      <c r="E362" s="103"/>
      <c r="F362" s="103"/>
      <c r="G362" s="103"/>
      <c r="H362" s="103"/>
      <c r="I362" s="103"/>
      <c r="J362" s="103"/>
      <c r="K362" s="103"/>
      <c r="L362" s="103"/>
      <c r="M362" s="103"/>
      <c r="N362" s="103"/>
      <c r="O362" s="103"/>
      <c r="P362" s="103"/>
      <c r="Q362" s="103"/>
      <c r="R362" s="103"/>
      <c r="S362" s="103"/>
      <c r="T362" s="103"/>
      <c r="U362" s="103"/>
      <c r="V362" s="103"/>
      <c r="W362" s="103"/>
      <c r="X362" s="103"/>
      <c r="Y362" s="157"/>
      <c r="Z362" s="157"/>
    </row>
    <row r="363" spans="1:26">
      <c r="A363" s="103"/>
      <c r="B363" s="103"/>
      <c r="C363" s="103"/>
      <c r="D363" s="103"/>
      <c r="E363" s="103"/>
      <c r="F363" s="103"/>
      <c r="G363" s="103"/>
      <c r="H363" s="103"/>
      <c r="I363" s="103"/>
      <c r="J363" s="103"/>
      <c r="K363" s="103"/>
      <c r="L363" s="103"/>
      <c r="M363" s="103"/>
      <c r="N363" s="103"/>
      <c r="O363" s="103"/>
      <c r="P363" s="103"/>
      <c r="Q363" s="103"/>
      <c r="R363" s="103"/>
      <c r="S363" s="103"/>
      <c r="T363" s="103"/>
      <c r="U363" s="103"/>
      <c r="V363" s="103"/>
      <c r="W363" s="103"/>
      <c r="X363" s="103"/>
      <c r="Y363" s="157"/>
      <c r="Z363" s="157"/>
    </row>
    <row r="364" spans="1:26">
      <c r="A364" s="103"/>
      <c r="B364" s="103"/>
      <c r="C364" s="103"/>
      <c r="D364" s="103"/>
      <c r="E364" s="103"/>
      <c r="F364" s="103"/>
      <c r="G364" s="103"/>
      <c r="H364" s="103"/>
      <c r="I364" s="103"/>
      <c r="J364" s="103"/>
      <c r="K364" s="103"/>
      <c r="L364" s="103"/>
      <c r="M364" s="103"/>
      <c r="N364" s="103"/>
      <c r="O364" s="103"/>
      <c r="P364" s="103"/>
      <c r="Q364" s="103"/>
      <c r="R364" s="103"/>
      <c r="S364" s="103"/>
      <c r="T364" s="103"/>
      <c r="U364" s="103"/>
      <c r="V364" s="103"/>
      <c r="W364" s="103"/>
      <c r="X364" s="103"/>
      <c r="Y364" s="157"/>
      <c r="Z364" s="157"/>
    </row>
    <row r="365" spans="1:26">
      <c r="A365" s="103"/>
      <c r="B365" s="103"/>
      <c r="C365" s="103"/>
      <c r="D365" s="103"/>
      <c r="E365" s="103"/>
      <c r="F365" s="103"/>
      <c r="G365" s="103"/>
      <c r="H365" s="103"/>
      <c r="I365" s="103"/>
      <c r="J365" s="103"/>
      <c r="K365" s="103"/>
      <c r="L365" s="103"/>
      <c r="M365" s="103"/>
      <c r="N365" s="103"/>
      <c r="O365" s="103"/>
      <c r="P365" s="103"/>
      <c r="Q365" s="103"/>
      <c r="R365" s="103"/>
      <c r="S365" s="103"/>
      <c r="T365" s="103"/>
      <c r="U365" s="103"/>
      <c r="V365" s="103"/>
      <c r="W365" s="103"/>
      <c r="X365" s="103"/>
      <c r="Y365" s="157"/>
      <c r="Z365" s="157"/>
    </row>
    <row r="366" spans="1:26">
      <c r="A366" s="103"/>
      <c r="B366" s="103"/>
      <c r="C366" s="103"/>
      <c r="D366" s="103"/>
      <c r="E366" s="103"/>
      <c r="F366" s="103"/>
      <c r="G366" s="103"/>
      <c r="H366" s="103"/>
      <c r="I366" s="103"/>
      <c r="J366" s="103"/>
      <c r="K366" s="103"/>
      <c r="L366" s="103"/>
      <c r="M366" s="103"/>
      <c r="N366" s="103"/>
      <c r="O366" s="103"/>
      <c r="P366" s="103"/>
      <c r="Q366" s="103"/>
      <c r="R366" s="103"/>
      <c r="S366" s="103"/>
      <c r="T366" s="103"/>
      <c r="U366" s="103"/>
      <c r="V366" s="103"/>
      <c r="W366" s="103"/>
      <c r="X366" s="103"/>
      <c r="Y366" s="157"/>
      <c r="Z366" s="157"/>
    </row>
    <row r="367" spans="1:26">
      <c r="A367" s="103"/>
      <c r="B367" s="103"/>
      <c r="C367" s="103"/>
      <c r="D367" s="103"/>
      <c r="E367" s="103"/>
      <c r="F367" s="103"/>
      <c r="G367" s="103"/>
      <c r="H367" s="103"/>
      <c r="I367" s="103"/>
      <c r="J367" s="103"/>
      <c r="K367" s="103"/>
      <c r="L367" s="103"/>
      <c r="M367" s="103"/>
      <c r="N367" s="103"/>
      <c r="O367" s="103"/>
      <c r="P367" s="103"/>
      <c r="Q367" s="103"/>
      <c r="R367" s="103"/>
      <c r="S367" s="103"/>
      <c r="T367" s="103"/>
      <c r="U367" s="103"/>
      <c r="V367" s="103"/>
      <c r="W367" s="103"/>
      <c r="X367" s="103"/>
      <c r="Y367" s="157"/>
      <c r="Z367" s="157"/>
    </row>
    <row r="368" spans="1:26">
      <c r="A368" s="103"/>
      <c r="B368" s="103"/>
      <c r="C368" s="103"/>
      <c r="D368" s="103"/>
      <c r="E368" s="103"/>
      <c r="F368" s="103"/>
      <c r="G368" s="103"/>
      <c r="H368" s="103"/>
      <c r="I368" s="103"/>
      <c r="J368" s="103"/>
      <c r="K368" s="103"/>
      <c r="L368" s="103"/>
      <c r="M368" s="103"/>
      <c r="N368" s="103"/>
      <c r="O368" s="103"/>
      <c r="P368" s="103"/>
      <c r="Q368" s="103"/>
      <c r="R368" s="103"/>
      <c r="S368" s="103"/>
      <c r="T368" s="103"/>
      <c r="U368" s="103"/>
      <c r="V368" s="103"/>
      <c r="W368" s="103"/>
      <c r="X368" s="103"/>
      <c r="Y368" s="157"/>
      <c r="Z368" s="157"/>
    </row>
    <row r="369" spans="1:26">
      <c r="A369" s="103"/>
      <c r="B369" s="103"/>
      <c r="C369" s="103"/>
      <c r="D369" s="103"/>
      <c r="E369" s="103"/>
      <c r="F369" s="103"/>
      <c r="G369" s="103"/>
      <c r="H369" s="103"/>
      <c r="I369" s="103"/>
      <c r="J369" s="103"/>
      <c r="K369" s="103"/>
      <c r="L369" s="103"/>
      <c r="M369" s="103"/>
      <c r="N369" s="103"/>
      <c r="O369" s="103"/>
      <c r="P369" s="103"/>
      <c r="Q369" s="103"/>
      <c r="R369" s="103"/>
      <c r="S369" s="103"/>
      <c r="T369" s="103"/>
      <c r="U369" s="103"/>
      <c r="V369" s="103"/>
      <c r="W369" s="103"/>
      <c r="X369" s="103"/>
      <c r="Y369" s="157"/>
      <c r="Z369" s="157"/>
    </row>
    <row r="370" spans="1:26">
      <c r="A370" s="103"/>
      <c r="B370" s="103"/>
      <c r="C370" s="103"/>
      <c r="D370" s="103"/>
      <c r="E370" s="103"/>
      <c r="F370" s="103"/>
      <c r="G370" s="103"/>
      <c r="H370" s="103"/>
      <c r="I370" s="103"/>
      <c r="J370" s="103"/>
      <c r="K370" s="103"/>
      <c r="L370" s="103"/>
      <c r="M370" s="103"/>
      <c r="N370" s="103"/>
      <c r="O370" s="103"/>
      <c r="P370" s="103"/>
      <c r="Q370" s="103"/>
      <c r="R370" s="103"/>
      <c r="S370" s="103"/>
      <c r="T370" s="103"/>
      <c r="U370" s="103"/>
      <c r="V370" s="103"/>
      <c r="W370" s="103"/>
      <c r="X370" s="103"/>
      <c r="Y370" s="157"/>
      <c r="Z370" s="157"/>
    </row>
    <row r="371" spans="1:26">
      <c r="A371" s="103"/>
      <c r="B371" s="103"/>
      <c r="C371" s="103"/>
      <c r="D371" s="103"/>
      <c r="E371" s="103"/>
      <c r="F371" s="103"/>
      <c r="G371" s="103"/>
      <c r="H371" s="103"/>
      <c r="I371" s="103"/>
      <c r="J371" s="103"/>
      <c r="K371" s="103"/>
      <c r="L371" s="103"/>
      <c r="M371" s="103"/>
      <c r="N371" s="103"/>
      <c r="O371" s="103"/>
      <c r="P371" s="103"/>
      <c r="Q371" s="103"/>
      <c r="R371" s="103"/>
      <c r="S371" s="103"/>
      <c r="T371" s="103"/>
      <c r="U371" s="103"/>
      <c r="V371" s="103"/>
      <c r="W371" s="103"/>
      <c r="X371" s="103"/>
      <c r="Y371" s="157"/>
      <c r="Z371" s="157"/>
    </row>
    <row r="372" spans="1:26">
      <c r="A372" s="103"/>
      <c r="B372" s="103"/>
      <c r="C372" s="103"/>
      <c r="D372" s="103"/>
      <c r="E372" s="103"/>
      <c r="F372" s="103"/>
      <c r="G372" s="103"/>
      <c r="H372" s="103"/>
      <c r="I372" s="103"/>
      <c r="J372" s="103"/>
      <c r="K372" s="103"/>
      <c r="L372" s="103"/>
      <c r="M372" s="103"/>
      <c r="N372" s="103"/>
      <c r="O372" s="103"/>
      <c r="P372" s="103"/>
      <c r="Q372" s="103"/>
      <c r="R372" s="103"/>
      <c r="S372" s="103"/>
      <c r="T372" s="103"/>
      <c r="U372" s="103"/>
      <c r="V372" s="103"/>
      <c r="W372" s="103"/>
      <c r="X372" s="103"/>
      <c r="Y372" s="157"/>
      <c r="Z372" s="157"/>
    </row>
    <row r="373" spans="1:26">
      <c r="A373" s="103"/>
      <c r="B373" s="103"/>
      <c r="C373" s="103"/>
      <c r="D373" s="103"/>
      <c r="E373" s="103"/>
      <c r="F373" s="103"/>
      <c r="G373" s="103"/>
      <c r="H373" s="103"/>
      <c r="I373" s="103"/>
      <c r="J373" s="103"/>
      <c r="K373" s="103"/>
      <c r="L373" s="103"/>
      <c r="M373" s="103"/>
      <c r="N373" s="103"/>
      <c r="O373" s="103"/>
      <c r="P373" s="103"/>
      <c r="Q373" s="103"/>
      <c r="R373" s="103"/>
      <c r="S373" s="103"/>
      <c r="T373" s="103"/>
      <c r="U373" s="103"/>
      <c r="V373" s="103"/>
      <c r="W373" s="103"/>
      <c r="X373" s="103"/>
      <c r="Y373" s="157"/>
      <c r="Z373" s="157"/>
    </row>
    <row r="374" spans="1:26">
      <c r="A374" s="103"/>
      <c r="B374" s="103"/>
      <c r="C374" s="103"/>
      <c r="D374" s="103"/>
      <c r="E374" s="103"/>
      <c r="F374" s="103"/>
      <c r="G374" s="103"/>
      <c r="H374" s="103"/>
      <c r="I374" s="103"/>
      <c r="J374" s="103"/>
      <c r="K374" s="103"/>
      <c r="L374" s="103"/>
      <c r="M374" s="103"/>
      <c r="N374" s="103"/>
      <c r="O374" s="103"/>
      <c r="P374" s="103"/>
      <c r="Q374" s="103"/>
      <c r="R374" s="103"/>
      <c r="S374" s="103"/>
      <c r="T374" s="103"/>
      <c r="U374" s="103"/>
      <c r="V374" s="103"/>
      <c r="W374" s="103"/>
      <c r="X374" s="103"/>
      <c r="Y374" s="157"/>
      <c r="Z374" s="157"/>
    </row>
    <row r="375" spans="1:26">
      <c r="A375" s="103"/>
      <c r="B375" s="103"/>
      <c r="C375" s="103"/>
      <c r="D375" s="103"/>
      <c r="E375" s="103"/>
      <c r="F375" s="103"/>
      <c r="G375" s="103"/>
      <c r="H375" s="103"/>
      <c r="I375" s="103"/>
      <c r="J375" s="103"/>
      <c r="K375" s="103"/>
      <c r="L375" s="103"/>
      <c r="M375" s="103"/>
      <c r="N375" s="103"/>
      <c r="O375" s="103"/>
      <c r="P375" s="103"/>
      <c r="Q375" s="103"/>
      <c r="R375" s="103"/>
      <c r="S375" s="103"/>
      <c r="T375" s="103"/>
      <c r="U375" s="103"/>
      <c r="V375" s="103"/>
      <c r="W375" s="103"/>
      <c r="X375" s="103"/>
      <c r="Y375" s="157"/>
      <c r="Z375" s="157"/>
    </row>
    <row r="376" spans="1:26">
      <c r="A376" s="103"/>
      <c r="B376" s="103"/>
      <c r="C376" s="103"/>
      <c r="D376" s="103"/>
      <c r="E376" s="103"/>
      <c r="F376" s="103"/>
      <c r="G376" s="103"/>
      <c r="H376" s="103"/>
      <c r="I376" s="103"/>
      <c r="J376" s="103"/>
      <c r="K376" s="103"/>
      <c r="L376" s="103"/>
      <c r="M376" s="103"/>
      <c r="N376" s="103"/>
      <c r="O376" s="103"/>
      <c r="P376" s="103"/>
      <c r="Q376" s="103"/>
      <c r="R376" s="103"/>
      <c r="S376" s="103"/>
      <c r="T376" s="103"/>
      <c r="U376" s="103"/>
      <c r="V376" s="103"/>
      <c r="W376" s="103"/>
      <c r="X376" s="103"/>
      <c r="Y376" s="157"/>
      <c r="Z376" s="157"/>
    </row>
    <row r="377" spans="1:26">
      <c r="A377" s="103"/>
      <c r="B377" s="103"/>
      <c r="C377" s="103"/>
      <c r="D377" s="103"/>
      <c r="E377" s="103"/>
      <c r="F377" s="103"/>
      <c r="G377" s="103"/>
      <c r="H377" s="103"/>
      <c r="I377" s="103"/>
      <c r="J377" s="103"/>
      <c r="K377" s="103"/>
      <c r="L377" s="103"/>
      <c r="M377" s="103"/>
      <c r="N377" s="103"/>
      <c r="O377" s="103"/>
      <c r="P377" s="103"/>
      <c r="Q377" s="103"/>
      <c r="R377" s="103"/>
      <c r="S377" s="103"/>
      <c r="T377" s="103"/>
      <c r="U377" s="103"/>
      <c r="V377" s="103"/>
      <c r="W377" s="103"/>
      <c r="X377" s="103"/>
      <c r="Y377" s="157"/>
      <c r="Z377" s="157"/>
    </row>
    <row r="378" spans="1:26">
      <c r="A378" s="103"/>
      <c r="B378" s="103"/>
      <c r="C378" s="103"/>
      <c r="D378" s="103"/>
      <c r="E378" s="103"/>
      <c r="F378" s="103"/>
      <c r="G378" s="103"/>
      <c r="H378" s="103"/>
      <c r="I378" s="103"/>
      <c r="J378" s="103"/>
      <c r="K378" s="103"/>
      <c r="L378" s="103"/>
      <c r="M378" s="103"/>
      <c r="N378" s="103"/>
      <c r="O378" s="103"/>
      <c r="P378" s="103"/>
      <c r="Q378" s="103"/>
      <c r="R378" s="103"/>
      <c r="S378" s="103"/>
      <c r="T378" s="103"/>
      <c r="U378" s="103"/>
      <c r="V378" s="103"/>
      <c r="W378" s="103"/>
      <c r="X378" s="103"/>
      <c r="Y378" s="157"/>
      <c r="Z378" s="157"/>
    </row>
    <row r="379" spans="1:26">
      <c r="A379" s="103"/>
      <c r="B379" s="103"/>
      <c r="C379" s="103"/>
      <c r="D379" s="103"/>
      <c r="E379" s="103"/>
      <c r="F379" s="103"/>
      <c r="G379" s="103"/>
      <c r="H379" s="103"/>
      <c r="I379" s="103"/>
      <c r="J379" s="103"/>
      <c r="K379" s="103"/>
      <c r="L379" s="103"/>
      <c r="M379" s="103"/>
      <c r="N379" s="103"/>
      <c r="O379" s="103"/>
      <c r="P379" s="103"/>
      <c r="Q379" s="103"/>
      <c r="R379" s="103"/>
      <c r="S379" s="103"/>
      <c r="T379" s="103"/>
      <c r="U379" s="103"/>
      <c r="V379" s="103"/>
      <c r="W379" s="103"/>
      <c r="X379" s="103"/>
      <c r="Y379" s="157"/>
      <c r="Z379" s="157"/>
    </row>
    <row r="380" spans="1:26">
      <c r="A380" s="103"/>
      <c r="B380" s="103"/>
      <c r="C380" s="103"/>
      <c r="D380" s="103"/>
      <c r="E380" s="103"/>
      <c r="F380" s="103"/>
      <c r="G380" s="103"/>
      <c r="H380" s="103"/>
      <c r="I380" s="103"/>
      <c r="J380" s="103"/>
      <c r="K380" s="103"/>
      <c r="L380" s="103"/>
      <c r="M380" s="103"/>
      <c r="N380" s="103"/>
      <c r="O380" s="103"/>
      <c r="P380" s="103"/>
      <c r="Q380" s="103"/>
      <c r="R380" s="103"/>
      <c r="S380" s="103"/>
      <c r="T380" s="103"/>
      <c r="U380" s="103"/>
      <c r="V380" s="103"/>
      <c r="W380" s="103"/>
      <c r="X380" s="103"/>
      <c r="Y380" s="157"/>
      <c r="Z380" s="157"/>
    </row>
    <row r="381" spans="1:26">
      <c r="A381" s="103"/>
      <c r="B381" s="103"/>
      <c r="C381" s="103"/>
      <c r="D381" s="103"/>
      <c r="E381" s="103"/>
      <c r="F381" s="103"/>
      <c r="G381" s="103"/>
      <c r="H381" s="103"/>
      <c r="I381" s="103"/>
      <c r="J381" s="103"/>
      <c r="K381" s="103"/>
      <c r="L381" s="103"/>
      <c r="M381" s="103"/>
      <c r="N381" s="103"/>
      <c r="O381" s="103"/>
      <c r="P381" s="103"/>
      <c r="Q381" s="103"/>
      <c r="R381" s="103"/>
      <c r="S381" s="103"/>
      <c r="T381" s="103"/>
      <c r="U381" s="103"/>
      <c r="V381" s="103"/>
      <c r="W381" s="103"/>
      <c r="X381" s="103"/>
      <c r="Y381" s="157"/>
      <c r="Z381" s="157"/>
    </row>
    <row r="382" spans="1:26">
      <c r="A382" s="103"/>
      <c r="B382" s="103"/>
      <c r="C382" s="103"/>
      <c r="D382" s="103"/>
      <c r="E382" s="103"/>
      <c r="F382" s="103"/>
      <c r="G382" s="103"/>
      <c r="H382" s="103"/>
      <c r="I382" s="103"/>
      <c r="J382" s="103"/>
      <c r="K382" s="103"/>
      <c r="L382" s="103"/>
      <c r="M382" s="103"/>
      <c r="N382" s="103"/>
      <c r="O382" s="103"/>
      <c r="P382" s="103"/>
      <c r="Q382" s="103"/>
      <c r="R382" s="103"/>
      <c r="S382" s="103"/>
      <c r="T382" s="103"/>
      <c r="U382" s="103"/>
      <c r="V382" s="103"/>
      <c r="W382" s="103"/>
      <c r="X382" s="103"/>
      <c r="Y382" s="157"/>
      <c r="Z382" s="157"/>
    </row>
    <row r="383" spans="1:26">
      <c r="A383" s="103"/>
      <c r="B383" s="103"/>
      <c r="C383" s="103"/>
      <c r="D383" s="103"/>
      <c r="E383" s="103"/>
      <c r="F383" s="103"/>
      <c r="G383" s="103"/>
      <c r="H383" s="103"/>
      <c r="I383" s="103"/>
      <c r="J383" s="103"/>
      <c r="K383" s="103"/>
      <c r="L383" s="103"/>
      <c r="M383" s="103"/>
      <c r="N383" s="103"/>
      <c r="O383" s="103"/>
      <c r="P383" s="103"/>
      <c r="Q383" s="103"/>
      <c r="R383" s="103"/>
      <c r="S383" s="103"/>
      <c r="T383" s="103"/>
      <c r="U383" s="103"/>
      <c r="V383" s="103"/>
      <c r="W383" s="103"/>
      <c r="X383" s="103"/>
      <c r="Y383" s="157"/>
      <c r="Z383" s="157"/>
    </row>
    <row r="384" spans="1:26">
      <c r="A384" s="103"/>
      <c r="B384" s="103"/>
      <c r="C384" s="103"/>
      <c r="D384" s="103"/>
      <c r="E384" s="103"/>
      <c r="F384" s="103"/>
      <c r="G384" s="103"/>
      <c r="H384" s="103"/>
      <c r="I384" s="103"/>
      <c r="J384" s="103"/>
      <c r="K384" s="103"/>
      <c r="L384" s="103"/>
      <c r="M384" s="103"/>
      <c r="N384" s="103"/>
      <c r="O384" s="103"/>
      <c r="P384" s="103"/>
      <c r="Q384" s="103"/>
      <c r="R384" s="103"/>
      <c r="S384" s="103"/>
      <c r="T384" s="103"/>
      <c r="U384" s="103"/>
      <c r="V384" s="103"/>
      <c r="W384" s="103"/>
      <c r="X384" s="103"/>
      <c r="Y384" s="157"/>
      <c r="Z384" s="157"/>
    </row>
    <row r="385" spans="1:26">
      <c r="A385" s="103"/>
      <c r="B385" s="103"/>
      <c r="C385" s="103"/>
      <c r="D385" s="103"/>
      <c r="E385" s="103"/>
      <c r="F385" s="103"/>
      <c r="G385" s="103"/>
      <c r="H385" s="103"/>
      <c r="I385" s="103"/>
      <c r="J385" s="103"/>
      <c r="K385" s="103"/>
      <c r="L385" s="103"/>
      <c r="M385" s="103"/>
      <c r="N385" s="103"/>
      <c r="O385" s="103"/>
      <c r="P385" s="103"/>
      <c r="Q385" s="103"/>
      <c r="R385" s="103"/>
      <c r="S385" s="103"/>
      <c r="T385" s="103"/>
      <c r="U385" s="103"/>
      <c r="V385" s="103"/>
      <c r="W385" s="103"/>
      <c r="X385" s="103"/>
      <c r="Y385" s="157"/>
      <c r="Z385" s="157"/>
    </row>
    <row r="386" spans="1:26">
      <c r="A386" s="103"/>
      <c r="B386" s="103"/>
      <c r="C386" s="103"/>
      <c r="D386" s="103"/>
      <c r="E386" s="103"/>
      <c r="F386" s="103"/>
      <c r="G386" s="103"/>
      <c r="H386" s="103"/>
      <c r="I386" s="103"/>
      <c r="J386" s="103"/>
      <c r="K386" s="103"/>
      <c r="L386" s="103"/>
      <c r="M386" s="103"/>
      <c r="N386" s="103"/>
      <c r="O386" s="103"/>
      <c r="P386" s="103"/>
      <c r="Q386" s="103"/>
      <c r="R386" s="103"/>
      <c r="S386" s="103"/>
      <c r="T386" s="103"/>
      <c r="U386" s="103"/>
      <c r="V386" s="103"/>
      <c r="W386" s="103"/>
      <c r="X386" s="103"/>
      <c r="Y386" s="157"/>
      <c r="Z386" s="157"/>
    </row>
    <row r="387" spans="1:26">
      <c r="A387" s="103"/>
      <c r="B387" s="103"/>
      <c r="C387" s="103"/>
      <c r="D387" s="103"/>
      <c r="E387" s="103"/>
      <c r="F387" s="103"/>
      <c r="G387" s="103"/>
      <c r="H387" s="103"/>
      <c r="I387" s="103"/>
      <c r="J387" s="103"/>
      <c r="K387" s="103"/>
      <c r="L387" s="103"/>
      <c r="M387" s="103"/>
      <c r="N387" s="103"/>
      <c r="O387" s="103"/>
      <c r="P387" s="103"/>
      <c r="Q387" s="103"/>
      <c r="R387" s="103"/>
      <c r="S387" s="103"/>
      <c r="T387" s="103"/>
      <c r="U387" s="103"/>
      <c r="V387" s="103"/>
      <c r="W387" s="103"/>
      <c r="X387" s="103"/>
      <c r="Y387" s="157"/>
      <c r="Z387" s="157"/>
    </row>
    <row r="388" spans="1:26">
      <c r="A388" s="103"/>
      <c r="B388" s="103"/>
      <c r="C388" s="103"/>
      <c r="D388" s="103"/>
      <c r="E388" s="103"/>
      <c r="F388" s="103"/>
      <c r="G388" s="103"/>
      <c r="H388" s="103"/>
      <c r="I388" s="103"/>
      <c r="J388" s="103"/>
      <c r="K388" s="103"/>
      <c r="L388" s="103"/>
      <c r="M388" s="103"/>
      <c r="N388" s="103"/>
      <c r="O388" s="103"/>
      <c r="P388" s="103"/>
      <c r="Q388" s="103"/>
      <c r="R388" s="103"/>
      <c r="S388" s="103"/>
      <c r="T388" s="103"/>
      <c r="U388" s="103"/>
      <c r="V388" s="103"/>
      <c r="W388" s="103"/>
      <c r="X388" s="103"/>
      <c r="Y388" s="157"/>
      <c r="Z388" s="157"/>
    </row>
    <row r="389" spans="1:26">
      <c r="A389" s="103"/>
      <c r="B389" s="103"/>
      <c r="C389" s="103"/>
      <c r="D389" s="103"/>
      <c r="E389" s="103"/>
      <c r="F389" s="103"/>
      <c r="G389" s="103"/>
      <c r="H389" s="103"/>
      <c r="I389" s="103"/>
      <c r="J389" s="103"/>
      <c r="K389" s="103"/>
      <c r="L389" s="103"/>
      <c r="M389" s="103"/>
      <c r="N389" s="103"/>
      <c r="O389" s="103"/>
      <c r="P389" s="103"/>
      <c r="Q389" s="103"/>
      <c r="R389" s="103"/>
      <c r="S389" s="103"/>
      <c r="T389" s="103"/>
      <c r="U389" s="103"/>
      <c r="V389" s="103"/>
      <c r="W389" s="103"/>
      <c r="X389" s="103"/>
      <c r="Y389" s="157"/>
      <c r="Z389" s="157"/>
    </row>
    <row r="390" spans="1:26">
      <c r="A390" s="103"/>
      <c r="B390" s="103"/>
      <c r="C390" s="103"/>
      <c r="D390" s="103"/>
      <c r="E390" s="103"/>
      <c r="F390" s="103"/>
      <c r="G390" s="103"/>
      <c r="H390" s="103"/>
      <c r="I390" s="103"/>
      <c r="J390" s="103"/>
      <c r="K390" s="103"/>
      <c r="L390" s="103"/>
      <c r="M390" s="103"/>
      <c r="N390" s="103"/>
      <c r="O390" s="103"/>
      <c r="P390" s="103"/>
      <c r="Q390" s="103"/>
      <c r="R390" s="103"/>
      <c r="S390" s="103"/>
      <c r="T390" s="103"/>
      <c r="U390" s="103"/>
      <c r="V390" s="103"/>
      <c r="W390" s="103"/>
      <c r="X390" s="103"/>
      <c r="Y390" s="157"/>
      <c r="Z390" s="157"/>
    </row>
    <row r="391" spans="1:26">
      <c r="A391" s="103"/>
      <c r="B391" s="103"/>
      <c r="C391" s="103"/>
      <c r="D391" s="103"/>
      <c r="E391" s="103"/>
      <c r="F391" s="103"/>
      <c r="G391" s="103"/>
      <c r="H391" s="103"/>
      <c r="I391" s="103"/>
      <c r="J391" s="103"/>
      <c r="K391" s="103"/>
      <c r="L391" s="103"/>
      <c r="M391" s="103"/>
      <c r="N391" s="103"/>
      <c r="O391" s="103"/>
      <c r="P391" s="103"/>
      <c r="Q391" s="103"/>
      <c r="R391" s="103"/>
      <c r="S391" s="103"/>
      <c r="T391" s="103"/>
      <c r="U391" s="103"/>
      <c r="V391" s="103"/>
      <c r="W391" s="103"/>
      <c r="X391" s="103"/>
      <c r="Y391" s="157"/>
      <c r="Z391" s="157"/>
    </row>
    <row r="392" spans="1:26">
      <c r="A392" s="103"/>
      <c r="B392" s="103"/>
      <c r="C392" s="103"/>
      <c r="D392" s="103"/>
      <c r="E392" s="103"/>
      <c r="F392" s="103"/>
      <c r="G392" s="103"/>
      <c r="H392" s="103"/>
      <c r="I392" s="103"/>
      <c r="J392" s="103"/>
      <c r="K392" s="103"/>
      <c r="L392" s="103"/>
      <c r="M392" s="103"/>
      <c r="N392" s="103"/>
      <c r="O392" s="103"/>
      <c r="P392" s="103"/>
      <c r="Q392" s="103"/>
      <c r="R392" s="103"/>
      <c r="S392" s="103"/>
      <c r="T392" s="103"/>
      <c r="U392" s="103"/>
      <c r="V392" s="103"/>
      <c r="W392" s="103"/>
      <c r="X392" s="103"/>
      <c r="Y392" s="157"/>
      <c r="Z392" s="157"/>
    </row>
    <row r="393" spans="1:26">
      <c r="A393" s="103"/>
      <c r="B393" s="103"/>
      <c r="C393" s="103"/>
      <c r="D393" s="103"/>
      <c r="E393" s="103"/>
      <c r="F393" s="103"/>
      <c r="G393" s="103"/>
      <c r="H393" s="103"/>
      <c r="I393" s="103"/>
      <c r="J393" s="103"/>
      <c r="K393" s="103"/>
      <c r="L393" s="103"/>
      <c r="M393" s="103"/>
      <c r="N393" s="103"/>
      <c r="O393" s="103"/>
      <c r="P393" s="103"/>
      <c r="Q393" s="103"/>
      <c r="R393" s="103"/>
      <c r="S393" s="103"/>
      <c r="T393" s="103"/>
      <c r="U393" s="103"/>
      <c r="V393" s="103"/>
      <c r="W393" s="103"/>
      <c r="X393" s="103"/>
      <c r="Y393" s="157"/>
      <c r="Z393" s="157"/>
    </row>
    <row r="394" spans="1:26">
      <c r="A394" s="103"/>
      <c r="B394" s="103"/>
      <c r="C394" s="103"/>
      <c r="D394" s="103"/>
      <c r="E394" s="103"/>
      <c r="F394" s="103"/>
      <c r="G394" s="103"/>
      <c r="H394" s="103"/>
      <c r="I394" s="103"/>
      <c r="J394" s="103"/>
      <c r="K394" s="103"/>
      <c r="L394" s="103"/>
      <c r="M394" s="103"/>
      <c r="N394" s="103"/>
      <c r="O394" s="103"/>
      <c r="P394" s="103"/>
      <c r="Q394" s="103"/>
      <c r="R394" s="103"/>
      <c r="S394" s="103"/>
      <c r="T394" s="103"/>
      <c r="U394" s="103"/>
      <c r="V394" s="103"/>
      <c r="W394" s="103"/>
      <c r="X394" s="103"/>
      <c r="Y394" s="157"/>
      <c r="Z394" s="157"/>
    </row>
    <row r="395" spans="1:26">
      <c r="A395" s="103"/>
      <c r="B395" s="103"/>
      <c r="C395" s="103"/>
      <c r="D395" s="103"/>
      <c r="E395" s="103"/>
      <c r="F395" s="103"/>
      <c r="G395" s="103"/>
      <c r="H395" s="103"/>
      <c r="I395" s="103"/>
      <c r="J395" s="103"/>
      <c r="K395" s="103"/>
      <c r="L395" s="103"/>
      <c r="M395" s="103"/>
      <c r="N395" s="103"/>
      <c r="O395" s="103"/>
      <c r="P395" s="103"/>
      <c r="Q395" s="103"/>
      <c r="R395" s="103"/>
      <c r="S395" s="103"/>
      <c r="T395" s="103"/>
      <c r="U395" s="103"/>
      <c r="V395" s="103"/>
      <c r="W395" s="103"/>
      <c r="X395" s="103"/>
      <c r="Y395" s="157"/>
      <c r="Z395" s="157"/>
    </row>
    <row r="396" spans="1:26">
      <c r="A396" s="103"/>
      <c r="B396" s="103"/>
      <c r="C396" s="103"/>
      <c r="D396" s="103"/>
      <c r="E396" s="103"/>
      <c r="F396" s="103"/>
      <c r="G396" s="103"/>
      <c r="H396" s="103"/>
      <c r="I396" s="103"/>
      <c r="J396" s="103"/>
      <c r="K396" s="103"/>
      <c r="L396" s="103"/>
      <c r="M396" s="103"/>
      <c r="N396" s="103"/>
      <c r="O396" s="103"/>
      <c r="P396" s="103"/>
      <c r="Q396" s="103"/>
      <c r="R396" s="103"/>
      <c r="S396" s="103"/>
      <c r="T396" s="103"/>
      <c r="U396" s="103"/>
      <c r="V396" s="103"/>
      <c r="W396" s="103"/>
      <c r="X396" s="103"/>
      <c r="Y396" s="157"/>
      <c r="Z396" s="157"/>
    </row>
    <row r="397" spans="1:26">
      <c r="A397" s="103"/>
      <c r="B397" s="103"/>
      <c r="C397" s="103"/>
      <c r="D397" s="103"/>
      <c r="E397" s="103"/>
      <c r="F397" s="103"/>
      <c r="G397" s="103"/>
      <c r="H397" s="103"/>
      <c r="I397" s="103"/>
      <c r="J397" s="103"/>
      <c r="K397" s="103"/>
      <c r="L397" s="103"/>
      <c r="M397" s="103"/>
      <c r="N397" s="103"/>
      <c r="O397" s="103"/>
      <c r="P397" s="103"/>
      <c r="Q397" s="103"/>
      <c r="R397" s="103"/>
      <c r="S397" s="103"/>
      <c r="T397" s="103"/>
      <c r="U397" s="103"/>
      <c r="V397" s="103"/>
      <c r="W397" s="103"/>
      <c r="X397" s="103"/>
      <c r="Y397" s="157"/>
      <c r="Z397" s="157"/>
    </row>
    <row r="398" spans="1:26">
      <c r="A398" s="103"/>
      <c r="B398" s="103"/>
      <c r="C398" s="103"/>
      <c r="D398" s="103"/>
      <c r="E398" s="103"/>
      <c r="F398" s="103"/>
      <c r="G398" s="103"/>
      <c r="H398" s="103"/>
      <c r="I398" s="103"/>
      <c r="J398" s="103"/>
      <c r="K398" s="103"/>
      <c r="L398" s="103"/>
      <c r="M398" s="103"/>
      <c r="N398" s="103"/>
      <c r="O398" s="103"/>
      <c r="P398" s="103"/>
      <c r="Q398" s="103"/>
      <c r="R398" s="103"/>
      <c r="S398" s="103"/>
      <c r="T398" s="103"/>
      <c r="U398" s="103"/>
      <c r="V398" s="103"/>
      <c r="W398" s="103"/>
      <c r="X398" s="103"/>
      <c r="Y398" s="157"/>
      <c r="Z398" s="157"/>
    </row>
    <row r="399" spans="1:26">
      <c r="A399" s="103"/>
      <c r="B399" s="103"/>
      <c r="C399" s="103"/>
      <c r="D399" s="103"/>
      <c r="E399" s="103"/>
      <c r="F399" s="103"/>
      <c r="G399" s="103"/>
      <c r="H399" s="103"/>
      <c r="I399" s="103"/>
      <c r="J399" s="103"/>
      <c r="K399" s="103"/>
      <c r="L399" s="103"/>
      <c r="M399" s="103"/>
      <c r="N399" s="103"/>
      <c r="O399" s="103"/>
      <c r="P399" s="103"/>
      <c r="Q399" s="103"/>
      <c r="R399" s="103"/>
      <c r="S399" s="103"/>
      <c r="T399" s="103"/>
      <c r="U399" s="103"/>
      <c r="V399" s="103"/>
      <c r="W399" s="103"/>
      <c r="X399" s="103"/>
      <c r="Y399" s="157"/>
      <c r="Z399" s="157"/>
    </row>
    <row r="400" spans="1:26">
      <c r="A400" s="103"/>
      <c r="B400" s="103"/>
      <c r="C400" s="103"/>
      <c r="D400" s="103"/>
      <c r="E400" s="103"/>
      <c r="F400" s="103"/>
      <c r="G400" s="103"/>
      <c r="H400" s="103"/>
      <c r="I400" s="103"/>
      <c r="J400" s="103"/>
      <c r="K400" s="103"/>
      <c r="L400" s="103"/>
      <c r="M400" s="103"/>
      <c r="N400" s="103"/>
      <c r="O400" s="103"/>
      <c r="P400" s="103"/>
      <c r="Q400" s="103"/>
      <c r="R400" s="103"/>
      <c r="S400" s="103"/>
      <c r="T400" s="103"/>
      <c r="U400" s="103"/>
      <c r="V400" s="103"/>
      <c r="W400" s="103"/>
      <c r="X400" s="103"/>
      <c r="Y400" s="157"/>
      <c r="Z400" s="157"/>
    </row>
    <row r="401" spans="1:26">
      <c r="A401" s="103"/>
      <c r="B401" s="103"/>
      <c r="C401" s="103"/>
      <c r="D401" s="103"/>
      <c r="E401" s="103"/>
      <c r="F401" s="103"/>
      <c r="G401" s="103"/>
      <c r="H401" s="103"/>
      <c r="I401" s="103"/>
      <c r="J401" s="103"/>
      <c r="K401" s="103"/>
      <c r="L401" s="103"/>
      <c r="M401" s="103"/>
      <c r="N401" s="103"/>
      <c r="O401" s="103"/>
      <c r="P401" s="103"/>
      <c r="Q401" s="103"/>
      <c r="R401" s="103"/>
      <c r="S401" s="103"/>
      <c r="T401" s="103"/>
      <c r="U401" s="103"/>
      <c r="V401" s="103"/>
      <c r="W401" s="103"/>
      <c r="X401" s="103"/>
      <c r="Y401" s="157"/>
      <c r="Z401" s="157"/>
    </row>
    <row r="402" spans="1:26">
      <c r="A402" s="103"/>
      <c r="B402" s="103"/>
      <c r="C402" s="103"/>
      <c r="D402" s="103"/>
      <c r="E402" s="103"/>
      <c r="F402" s="103"/>
      <c r="G402" s="103"/>
      <c r="H402" s="103"/>
      <c r="I402" s="103"/>
      <c r="J402" s="103"/>
      <c r="K402" s="103"/>
      <c r="L402" s="103"/>
      <c r="M402" s="103"/>
      <c r="N402" s="103"/>
      <c r="O402" s="103"/>
      <c r="P402" s="103"/>
      <c r="Q402" s="103"/>
      <c r="R402" s="103"/>
      <c r="S402" s="103"/>
      <c r="T402" s="103"/>
      <c r="U402" s="103"/>
      <c r="V402" s="103"/>
      <c r="W402" s="103"/>
      <c r="X402" s="103"/>
      <c r="Y402" s="157"/>
      <c r="Z402" s="157"/>
    </row>
    <row r="403" spans="1:26">
      <c r="A403" s="103"/>
      <c r="B403" s="103"/>
      <c r="C403" s="103"/>
      <c r="D403" s="103"/>
      <c r="E403" s="103"/>
      <c r="F403" s="103"/>
      <c r="G403" s="103"/>
      <c r="H403" s="103"/>
      <c r="I403" s="103"/>
      <c r="J403" s="103"/>
      <c r="K403" s="103"/>
      <c r="L403" s="103"/>
      <c r="M403" s="103"/>
      <c r="N403" s="103"/>
      <c r="O403" s="103"/>
      <c r="P403" s="103"/>
      <c r="Q403" s="103"/>
      <c r="R403" s="103"/>
      <c r="S403" s="103"/>
      <c r="T403" s="103"/>
      <c r="U403" s="103"/>
      <c r="V403" s="103"/>
      <c r="W403" s="103"/>
      <c r="X403" s="103"/>
      <c r="Y403" s="157"/>
      <c r="Z403" s="157"/>
    </row>
    <row r="404" spans="1:26">
      <c r="A404" s="103"/>
      <c r="B404" s="103"/>
      <c r="C404" s="103"/>
      <c r="D404" s="103"/>
      <c r="E404" s="103"/>
      <c r="F404" s="103"/>
      <c r="G404" s="103"/>
      <c r="H404" s="103"/>
      <c r="I404" s="103"/>
      <c r="J404" s="103"/>
      <c r="K404" s="103"/>
      <c r="L404" s="103"/>
      <c r="M404" s="103"/>
      <c r="N404" s="103"/>
      <c r="O404" s="103"/>
      <c r="P404" s="103"/>
      <c r="Q404" s="103"/>
      <c r="R404" s="103"/>
      <c r="S404" s="103"/>
      <c r="T404" s="103"/>
      <c r="U404" s="103"/>
      <c r="V404" s="103"/>
      <c r="W404" s="103"/>
      <c r="X404" s="103"/>
      <c r="Y404" s="157"/>
      <c r="Z404" s="157"/>
    </row>
    <row r="405" spans="1:26">
      <c r="A405" s="103"/>
      <c r="B405" s="103"/>
      <c r="C405" s="103"/>
      <c r="D405" s="103"/>
      <c r="E405" s="103"/>
      <c r="F405" s="103"/>
      <c r="G405" s="103"/>
      <c r="H405" s="103"/>
      <c r="I405" s="103"/>
      <c r="J405" s="103"/>
      <c r="K405" s="103"/>
      <c r="L405" s="103"/>
      <c r="M405" s="103"/>
      <c r="N405" s="103"/>
      <c r="O405" s="103"/>
      <c r="P405" s="103"/>
      <c r="Q405" s="103"/>
      <c r="R405" s="103"/>
      <c r="S405" s="103"/>
      <c r="T405" s="103"/>
      <c r="U405" s="103"/>
      <c r="V405" s="103"/>
      <c r="W405" s="103"/>
      <c r="X405" s="103"/>
      <c r="Y405" s="157"/>
      <c r="Z405" s="157"/>
    </row>
    <row r="406" spans="1:26">
      <c r="A406" s="103"/>
      <c r="B406" s="103"/>
      <c r="C406" s="103"/>
      <c r="D406" s="103"/>
      <c r="E406" s="103"/>
      <c r="F406" s="103"/>
      <c r="G406" s="103"/>
      <c r="H406" s="103"/>
      <c r="I406" s="103"/>
      <c r="J406" s="103"/>
      <c r="K406" s="103"/>
      <c r="L406" s="103"/>
      <c r="M406" s="103"/>
      <c r="N406" s="103"/>
      <c r="O406" s="103"/>
      <c r="P406" s="103"/>
      <c r="Q406" s="103"/>
      <c r="R406" s="103"/>
      <c r="S406" s="103"/>
      <c r="T406" s="103"/>
      <c r="U406" s="103"/>
      <c r="V406" s="103"/>
      <c r="W406" s="103"/>
      <c r="X406" s="103"/>
      <c r="Y406" s="157"/>
      <c r="Z406" s="157"/>
    </row>
    <row r="407" spans="1:26">
      <c r="A407" s="103"/>
      <c r="B407" s="103"/>
      <c r="C407" s="103"/>
      <c r="D407" s="103"/>
      <c r="E407" s="103"/>
      <c r="F407" s="103"/>
      <c r="G407" s="103"/>
      <c r="H407" s="103"/>
      <c r="I407" s="103"/>
      <c r="J407" s="103"/>
      <c r="K407" s="103"/>
      <c r="L407" s="103"/>
      <c r="M407" s="103"/>
      <c r="N407" s="103"/>
      <c r="O407" s="103"/>
      <c r="P407" s="103"/>
      <c r="Q407" s="103"/>
      <c r="R407" s="103"/>
      <c r="S407" s="103"/>
      <c r="T407" s="103"/>
      <c r="U407" s="103"/>
      <c r="V407" s="103"/>
      <c r="W407" s="103"/>
      <c r="X407" s="103"/>
      <c r="Y407" s="157"/>
      <c r="Z407" s="157"/>
    </row>
    <row r="408" spans="1:26">
      <c r="A408" s="103"/>
      <c r="B408" s="103"/>
      <c r="C408" s="103"/>
      <c r="D408" s="103"/>
      <c r="E408" s="103"/>
      <c r="F408" s="103"/>
      <c r="G408" s="103"/>
      <c r="H408" s="103"/>
      <c r="I408" s="103"/>
      <c r="J408" s="103"/>
      <c r="K408" s="103"/>
      <c r="L408" s="103"/>
      <c r="M408" s="103"/>
      <c r="N408" s="103"/>
      <c r="O408" s="103"/>
      <c r="P408" s="103"/>
      <c r="Q408" s="103"/>
      <c r="R408" s="103"/>
      <c r="S408" s="103"/>
      <c r="T408" s="103"/>
      <c r="U408" s="103"/>
      <c r="V408" s="103"/>
      <c r="W408" s="103"/>
      <c r="X408" s="103"/>
      <c r="Y408" s="157"/>
      <c r="Z408" s="157"/>
    </row>
    <row r="409" spans="1:26">
      <c r="A409" s="103"/>
      <c r="B409" s="103"/>
      <c r="C409" s="103"/>
      <c r="D409" s="103"/>
      <c r="E409" s="103"/>
      <c r="F409" s="103"/>
      <c r="G409" s="103"/>
      <c r="H409" s="103"/>
      <c r="I409" s="103"/>
      <c r="J409" s="103"/>
      <c r="K409" s="103"/>
      <c r="L409" s="103"/>
      <c r="M409" s="103"/>
      <c r="N409" s="103"/>
      <c r="O409" s="103"/>
      <c r="P409" s="103"/>
      <c r="Q409" s="103"/>
      <c r="R409" s="103"/>
      <c r="S409" s="103"/>
      <c r="T409" s="103"/>
      <c r="U409" s="103"/>
      <c r="V409" s="103"/>
      <c r="W409" s="103"/>
      <c r="X409" s="103"/>
      <c r="Y409" s="157"/>
      <c r="Z409" s="157"/>
    </row>
    <row r="410" spans="1:26">
      <c r="A410" s="103"/>
      <c r="B410" s="103"/>
      <c r="C410" s="103"/>
      <c r="D410" s="103"/>
      <c r="E410" s="103"/>
      <c r="F410" s="103"/>
      <c r="G410" s="103"/>
      <c r="H410" s="103"/>
      <c r="I410" s="103"/>
      <c r="J410" s="103"/>
      <c r="K410" s="103"/>
      <c r="L410" s="103"/>
      <c r="M410" s="103"/>
      <c r="N410" s="103"/>
      <c r="O410" s="103"/>
      <c r="P410" s="103"/>
      <c r="Q410" s="103"/>
      <c r="R410" s="103"/>
      <c r="S410" s="103"/>
      <c r="T410" s="103"/>
      <c r="U410" s="103"/>
      <c r="V410" s="103"/>
      <c r="W410" s="103"/>
      <c r="X410" s="103"/>
      <c r="Y410" s="157"/>
      <c r="Z410" s="157"/>
    </row>
    <row r="411" spans="1:26">
      <c r="A411" s="103"/>
      <c r="B411" s="103"/>
      <c r="C411" s="103"/>
      <c r="D411" s="103"/>
      <c r="E411" s="103"/>
      <c r="F411" s="103"/>
      <c r="G411" s="103"/>
      <c r="H411" s="103"/>
      <c r="I411" s="103"/>
      <c r="J411" s="103"/>
      <c r="K411" s="103"/>
      <c r="L411" s="103"/>
      <c r="M411" s="103"/>
      <c r="N411" s="103"/>
      <c r="O411" s="103"/>
      <c r="P411" s="103"/>
      <c r="Q411" s="103"/>
      <c r="R411" s="103"/>
      <c r="S411" s="103"/>
      <c r="T411" s="103"/>
      <c r="U411" s="103"/>
      <c r="V411" s="103"/>
      <c r="W411" s="103"/>
      <c r="X411" s="103"/>
      <c r="Y411" s="157"/>
      <c r="Z411" s="157"/>
    </row>
    <row r="412" spans="1:26">
      <c r="A412" s="103"/>
      <c r="B412" s="103"/>
      <c r="C412" s="103"/>
      <c r="D412" s="103"/>
      <c r="E412" s="103"/>
      <c r="F412" s="103"/>
      <c r="G412" s="103"/>
      <c r="H412" s="103"/>
      <c r="I412" s="103"/>
      <c r="J412" s="103"/>
      <c r="K412" s="103"/>
      <c r="L412" s="103"/>
      <c r="M412" s="103"/>
      <c r="N412" s="103"/>
      <c r="O412" s="103"/>
      <c r="P412" s="103"/>
      <c r="Q412" s="103"/>
      <c r="R412" s="103"/>
      <c r="S412" s="103"/>
      <c r="T412" s="103"/>
      <c r="U412" s="103"/>
      <c r="V412" s="103"/>
      <c r="W412" s="103"/>
      <c r="X412" s="103"/>
      <c r="Y412" s="157"/>
      <c r="Z412" s="157"/>
    </row>
    <row r="413" spans="1:26">
      <c r="A413" s="103"/>
      <c r="B413" s="103"/>
      <c r="C413" s="103"/>
      <c r="D413" s="103"/>
      <c r="E413" s="103"/>
      <c r="F413" s="103"/>
      <c r="G413" s="103"/>
      <c r="H413" s="103"/>
      <c r="I413" s="103"/>
      <c r="J413" s="103"/>
      <c r="K413" s="103"/>
      <c r="L413" s="103"/>
      <c r="M413" s="103"/>
      <c r="N413" s="103"/>
      <c r="O413" s="103"/>
      <c r="P413" s="103"/>
      <c r="Q413" s="103"/>
      <c r="R413" s="103"/>
      <c r="S413" s="103"/>
      <c r="T413" s="103"/>
      <c r="U413" s="103"/>
      <c r="V413" s="103"/>
      <c r="W413" s="103"/>
      <c r="X413" s="103"/>
      <c r="Y413" s="157"/>
      <c r="Z413" s="157"/>
    </row>
    <row r="414" spans="1:26">
      <c r="A414" s="103"/>
      <c r="B414" s="103"/>
      <c r="C414" s="103"/>
      <c r="D414" s="103"/>
      <c r="E414" s="103"/>
      <c r="F414" s="103"/>
      <c r="G414" s="103"/>
      <c r="H414" s="103"/>
      <c r="I414" s="103"/>
      <c r="J414" s="103"/>
      <c r="K414" s="103"/>
      <c r="L414" s="103"/>
      <c r="M414" s="103"/>
      <c r="N414" s="103"/>
      <c r="O414" s="103"/>
      <c r="P414" s="103"/>
      <c r="Q414" s="103"/>
      <c r="R414" s="103"/>
      <c r="S414" s="103"/>
      <c r="T414" s="103"/>
      <c r="U414" s="103"/>
      <c r="V414" s="103"/>
      <c r="W414" s="103"/>
      <c r="X414" s="103"/>
      <c r="Y414" s="157"/>
      <c r="Z414" s="157"/>
    </row>
    <row r="415" spans="1:26">
      <c r="A415" s="103"/>
      <c r="B415" s="103"/>
      <c r="C415" s="103"/>
      <c r="D415" s="103"/>
      <c r="E415" s="103"/>
      <c r="F415" s="103"/>
      <c r="G415" s="103"/>
      <c r="H415" s="103"/>
      <c r="I415" s="103"/>
      <c r="J415" s="103"/>
      <c r="K415" s="103"/>
      <c r="L415" s="103"/>
      <c r="M415" s="103"/>
      <c r="N415" s="103"/>
      <c r="O415" s="103"/>
      <c r="P415" s="103"/>
      <c r="Q415" s="103"/>
      <c r="R415" s="103"/>
      <c r="S415" s="103"/>
      <c r="T415" s="103"/>
      <c r="U415" s="103"/>
      <c r="V415" s="103"/>
      <c r="W415" s="103"/>
      <c r="X415" s="103"/>
      <c r="Y415" s="157"/>
      <c r="Z415" s="157"/>
    </row>
    <row r="416" spans="1:26">
      <c r="A416" s="103"/>
      <c r="B416" s="103"/>
      <c r="C416" s="103"/>
      <c r="D416" s="103"/>
      <c r="E416" s="103"/>
      <c r="F416" s="103"/>
      <c r="G416" s="103"/>
      <c r="H416" s="103"/>
      <c r="I416" s="103"/>
      <c r="J416" s="103"/>
      <c r="K416" s="103"/>
      <c r="L416" s="103"/>
      <c r="M416" s="103"/>
      <c r="N416" s="103"/>
      <c r="O416" s="103"/>
      <c r="P416" s="103"/>
      <c r="Q416" s="103"/>
      <c r="R416" s="103"/>
      <c r="S416" s="103"/>
      <c r="T416" s="103"/>
      <c r="U416" s="103"/>
      <c r="V416" s="103"/>
      <c r="W416" s="103"/>
      <c r="X416" s="103"/>
      <c r="Y416" s="157"/>
      <c r="Z416" s="157"/>
    </row>
    <row r="417" spans="1:26">
      <c r="A417" s="103"/>
      <c r="B417" s="103"/>
      <c r="C417" s="103"/>
      <c r="D417" s="103"/>
      <c r="E417" s="103"/>
      <c r="F417" s="103"/>
      <c r="G417" s="103"/>
      <c r="H417" s="103"/>
      <c r="I417" s="103"/>
      <c r="J417" s="103"/>
      <c r="K417" s="103"/>
      <c r="L417" s="103"/>
      <c r="M417" s="103"/>
      <c r="N417" s="103"/>
      <c r="O417" s="103"/>
      <c r="P417" s="103"/>
      <c r="Q417" s="103"/>
      <c r="R417" s="103"/>
      <c r="S417" s="103"/>
      <c r="T417" s="103"/>
      <c r="U417" s="103"/>
      <c r="V417" s="103"/>
      <c r="W417" s="103"/>
      <c r="X417" s="103"/>
      <c r="Y417" s="157"/>
      <c r="Z417" s="157"/>
    </row>
    <row r="418" spans="1:26">
      <c r="A418" s="103"/>
      <c r="B418" s="103"/>
      <c r="C418" s="103"/>
      <c r="D418" s="103"/>
      <c r="E418" s="103"/>
      <c r="F418" s="103"/>
      <c r="G418" s="103"/>
      <c r="H418" s="103"/>
      <c r="I418" s="103"/>
      <c r="J418" s="103"/>
      <c r="K418" s="103"/>
      <c r="L418" s="103"/>
      <c r="M418" s="103"/>
      <c r="N418" s="103"/>
      <c r="O418" s="103"/>
      <c r="P418" s="103"/>
      <c r="Q418" s="103"/>
      <c r="R418" s="103"/>
      <c r="S418" s="103"/>
      <c r="T418" s="103"/>
      <c r="U418" s="103"/>
      <c r="V418" s="103"/>
      <c r="W418" s="103"/>
      <c r="X418" s="103"/>
      <c r="Y418" s="157"/>
      <c r="Z418" s="157"/>
    </row>
    <row r="419" spans="1:26">
      <c r="A419" s="103"/>
      <c r="B419" s="103"/>
      <c r="C419" s="103"/>
      <c r="D419" s="103"/>
      <c r="E419" s="103"/>
      <c r="F419" s="103"/>
      <c r="G419" s="103"/>
      <c r="H419" s="103"/>
      <c r="I419" s="103"/>
      <c r="J419" s="103"/>
      <c r="K419" s="103"/>
      <c r="L419" s="103"/>
      <c r="M419" s="103"/>
      <c r="N419" s="103"/>
      <c r="O419" s="103"/>
      <c r="P419" s="103"/>
      <c r="Q419" s="103"/>
      <c r="R419" s="103"/>
      <c r="S419" s="103"/>
      <c r="T419" s="103"/>
      <c r="U419" s="103"/>
      <c r="V419" s="103"/>
      <c r="W419" s="103"/>
      <c r="X419" s="103"/>
      <c r="Y419" s="157"/>
      <c r="Z419" s="157"/>
    </row>
    <row r="420" spans="1:26">
      <c r="A420" s="103"/>
      <c r="B420" s="103"/>
      <c r="C420" s="103"/>
      <c r="D420" s="103"/>
      <c r="E420" s="103"/>
      <c r="F420" s="103"/>
      <c r="G420" s="103"/>
      <c r="H420" s="103"/>
      <c r="I420" s="103"/>
      <c r="J420" s="103"/>
      <c r="K420" s="103"/>
      <c r="L420" s="103"/>
      <c r="M420" s="103"/>
      <c r="N420" s="103"/>
      <c r="O420" s="103"/>
      <c r="P420" s="103"/>
      <c r="Q420" s="103"/>
      <c r="R420" s="103"/>
      <c r="S420" s="103"/>
      <c r="T420" s="103"/>
      <c r="U420" s="103"/>
      <c r="V420" s="103"/>
      <c r="W420" s="103"/>
      <c r="X420" s="103"/>
      <c r="Y420" s="157"/>
      <c r="Z420" s="157"/>
    </row>
    <row r="421" spans="1:26">
      <c r="A421" s="103"/>
      <c r="B421" s="103"/>
      <c r="C421" s="103"/>
      <c r="D421" s="103"/>
      <c r="E421" s="103"/>
      <c r="F421" s="103"/>
      <c r="G421" s="103"/>
      <c r="H421" s="103"/>
      <c r="I421" s="103"/>
      <c r="J421" s="103"/>
      <c r="K421" s="103"/>
      <c r="L421" s="103"/>
      <c r="M421" s="103"/>
      <c r="N421" s="103"/>
      <c r="O421" s="103"/>
      <c r="P421" s="103"/>
      <c r="Q421" s="103"/>
      <c r="R421" s="103"/>
      <c r="S421" s="103"/>
      <c r="T421" s="103"/>
      <c r="U421" s="103"/>
      <c r="V421" s="103"/>
      <c r="W421" s="103"/>
      <c r="X421" s="103"/>
      <c r="Y421" s="157"/>
      <c r="Z421" s="157"/>
    </row>
    <row r="422" spans="1:26">
      <c r="A422" s="103"/>
      <c r="B422" s="103"/>
      <c r="C422" s="103"/>
      <c r="D422" s="103"/>
      <c r="E422" s="103"/>
      <c r="F422" s="103"/>
      <c r="G422" s="103"/>
      <c r="H422" s="103"/>
      <c r="I422" s="103"/>
      <c r="J422" s="103"/>
      <c r="K422" s="103"/>
      <c r="L422" s="103"/>
      <c r="M422" s="103"/>
      <c r="N422" s="103"/>
      <c r="O422" s="103"/>
      <c r="P422" s="103"/>
      <c r="Q422" s="103"/>
      <c r="R422" s="103"/>
      <c r="S422" s="103"/>
      <c r="T422" s="103"/>
      <c r="U422" s="103"/>
      <c r="V422" s="103"/>
      <c r="W422" s="103"/>
      <c r="X422" s="103"/>
      <c r="Y422" s="157"/>
      <c r="Z422" s="157"/>
    </row>
    <row r="423" spans="1:26">
      <c r="A423" s="103"/>
      <c r="B423" s="103"/>
      <c r="C423" s="103"/>
      <c r="D423" s="103"/>
      <c r="E423" s="103"/>
      <c r="F423" s="103"/>
      <c r="G423" s="103"/>
      <c r="H423" s="103"/>
      <c r="I423" s="103"/>
      <c r="J423" s="103"/>
      <c r="K423" s="103"/>
      <c r="L423" s="103"/>
      <c r="M423" s="103"/>
      <c r="N423" s="103"/>
      <c r="O423" s="103"/>
      <c r="P423" s="103"/>
      <c r="Q423" s="103"/>
      <c r="R423" s="103"/>
      <c r="S423" s="103"/>
      <c r="T423" s="103"/>
      <c r="U423" s="103"/>
      <c r="V423" s="103"/>
      <c r="W423" s="103"/>
      <c r="X423" s="103"/>
      <c r="Y423" s="157"/>
      <c r="Z423" s="157"/>
    </row>
    <row r="424" spans="1:26">
      <c r="A424" s="103"/>
      <c r="B424" s="103"/>
      <c r="C424" s="103"/>
      <c r="D424" s="103"/>
      <c r="E424" s="103"/>
      <c r="F424" s="103"/>
      <c r="G424" s="103"/>
      <c r="H424" s="103"/>
      <c r="I424" s="103"/>
      <c r="J424" s="103"/>
      <c r="K424" s="103"/>
      <c r="L424" s="103"/>
      <c r="M424" s="103"/>
      <c r="N424" s="103"/>
      <c r="O424" s="103"/>
      <c r="P424" s="103"/>
      <c r="Q424" s="103"/>
      <c r="R424" s="103"/>
      <c r="S424" s="103"/>
      <c r="T424" s="103"/>
      <c r="U424" s="103"/>
      <c r="V424" s="103"/>
      <c r="W424" s="103"/>
      <c r="X424" s="103"/>
      <c r="Y424" s="157"/>
      <c r="Z424" s="157"/>
    </row>
    <row r="425" spans="1:26">
      <c r="A425" s="103"/>
      <c r="B425" s="103"/>
      <c r="C425" s="103"/>
      <c r="D425" s="103"/>
      <c r="E425" s="103"/>
      <c r="F425" s="103"/>
      <c r="G425" s="103"/>
      <c r="H425" s="103"/>
      <c r="I425" s="103"/>
      <c r="J425" s="103"/>
      <c r="K425" s="103"/>
      <c r="L425" s="103"/>
      <c r="M425" s="103"/>
      <c r="N425" s="103"/>
      <c r="O425" s="103"/>
      <c r="P425" s="103"/>
      <c r="Q425" s="103"/>
      <c r="R425" s="103"/>
      <c r="S425" s="103"/>
      <c r="T425" s="103"/>
      <c r="U425" s="103"/>
      <c r="V425" s="103"/>
      <c r="W425" s="103"/>
      <c r="X425" s="103"/>
      <c r="Y425" s="157"/>
      <c r="Z425" s="157"/>
    </row>
    <row r="426" spans="1:26">
      <c r="A426" s="103"/>
      <c r="B426" s="103"/>
      <c r="C426" s="103"/>
      <c r="D426" s="103"/>
      <c r="E426" s="103"/>
      <c r="F426" s="103"/>
      <c r="G426" s="103"/>
      <c r="H426" s="103"/>
      <c r="I426" s="103"/>
      <c r="J426" s="103"/>
      <c r="K426" s="103"/>
      <c r="L426" s="103"/>
      <c r="M426" s="103"/>
      <c r="N426" s="103"/>
      <c r="O426" s="103"/>
      <c r="P426" s="103"/>
      <c r="Q426" s="103"/>
      <c r="R426" s="103"/>
      <c r="S426" s="103"/>
      <c r="T426" s="103"/>
      <c r="U426" s="103"/>
      <c r="V426" s="103"/>
      <c r="W426" s="103"/>
      <c r="X426" s="103"/>
      <c r="Y426" s="157"/>
      <c r="Z426" s="157"/>
    </row>
    <row r="427" spans="1:26">
      <c r="A427" s="103"/>
      <c r="B427" s="103"/>
      <c r="C427" s="103"/>
      <c r="D427" s="103"/>
      <c r="E427" s="103"/>
      <c r="F427" s="103"/>
      <c r="G427" s="103"/>
      <c r="H427" s="103"/>
      <c r="I427" s="103"/>
      <c r="J427" s="103"/>
      <c r="K427" s="103"/>
      <c r="L427" s="103"/>
      <c r="M427" s="103"/>
      <c r="N427" s="103"/>
      <c r="O427" s="103"/>
      <c r="P427" s="103"/>
      <c r="Q427" s="103"/>
      <c r="R427" s="103"/>
      <c r="S427" s="103"/>
      <c r="T427" s="103"/>
      <c r="U427" s="103"/>
      <c r="V427" s="103"/>
      <c r="W427" s="103"/>
      <c r="X427" s="103"/>
      <c r="Y427" s="157"/>
      <c r="Z427" s="157"/>
    </row>
    <row r="428" spans="1:26">
      <c r="A428" s="103"/>
      <c r="B428" s="103"/>
      <c r="C428" s="103"/>
      <c r="D428" s="103"/>
      <c r="E428" s="103"/>
      <c r="F428" s="103"/>
      <c r="G428" s="103"/>
      <c r="H428" s="103"/>
      <c r="I428" s="103"/>
      <c r="J428" s="103"/>
      <c r="K428" s="103"/>
      <c r="L428" s="103"/>
      <c r="M428" s="103"/>
      <c r="N428" s="103"/>
      <c r="O428" s="103"/>
      <c r="P428" s="103"/>
      <c r="Q428" s="103"/>
      <c r="R428" s="103"/>
      <c r="S428" s="103"/>
      <c r="T428" s="103"/>
      <c r="U428" s="103"/>
      <c r="V428" s="103"/>
      <c r="W428" s="103"/>
      <c r="X428" s="103"/>
      <c r="Y428" s="157"/>
      <c r="Z428" s="157"/>
    </row>
    <row r="429" spans="1:26">
      <c r="A429" s="103"/>
      <c r="B429" s="103"/>
      <c r="C429" s="103"/>
      <c r="D429" s="103"/>
      <c r="E429" s="103"/>
      <c r="F429" s="103"/>
      <c r="G429" s="103"/>
      <c r="H429" s="103"/>
      <c r="I429" s="103"/>
      <c r="J429" s="103"/>
      <c r="K429" s="103"/>
      <c r="L429" s="103"/>
      <c r="M429" s="103"/>
      <c r="N429" s="103"/>
      <c r="O429" s="103"/>
      <c r="P429" s="103"/>
      <c r="Q429" s="103"/>
      <c r="R429" s="103"/>
      <c r="S429" s="103"/>
      <c r="T429" s="103"/>
      <c r="U429" s="103"/>
      <c r="V429" s="103"/>
      <c r="W429" s="103"/>
      <c r="X429" s="103"/>
      <c r="Y429" s="157"/>
      <c r="Z429" s="157"/>
    </row>
    <row r="430" spans="1:26">
      <c r="A430" s="103"/>
      <c r="B430" s="103"/>
      <c r="C430" s="103"/>
      <c r="D430" s="103"/>
      <c r="E430" s="103"/>
      <c r="F430" s="103"/>
      <c r="G430" s="103"/>
      <c r="H430" s="103"/>
      <c r="I430" s="103"/>
      <c r="J430" s="103"/>
      <c r="K430" s="103"/>
      <c r="L430" s="103"/>
      <c r="M430" s="103"/>
      <c r="N430" s="103"/>
      <c r="O430" s="103"/>
      <c r="P430" s="103"/>
      <c r="Q430" s="103"/>
      <c r="R430" s="103"/>
      <c r="S430" s="103"/>
      <c r="T430" s="103"/>
      <c r="U430" s="103"/>
      <c r="V430" s="103"/>
      <c r="W430" s="103"/>
      <c r="X430" s="103"/>
      <c r="Y430" s="157"/>
      <c r="Z430" s="157"/>
    </row>
    <row r="431" spans="1:26">
      <c r="A431" s="103"/>
      <c r="B431" s="103"/>
      <c r="C431" s="103"/>
      <c r="D431" s="103"/>
      <c r="E431" s="103"/>
      <c r="F431" s="103"/>
      <c r="G431" s="103"/>
      <c r="H431" s="103"/>
      <c r="I431" s="103"/>
      <c r="J431" s="103"/>
      <c r="K431" s="103"/>
      <c r="L431" s="103"/>
      <c r="M431" s="103"/>
      <c r="N431" s="103"/>
      <c r="O431" s="103"/>
      <c r="P431" s="103"/>
      <c r="Q431" s="103"/>
      <c r="R431" s="103"/>
      <c r="S431" s="103"/>
      <c r="T431" s="103"/>
      <c r="U431" s="103"/>
      <c r="V431" s="103"/>
      <c r="W431" s="103"/>
      <c r="X431" s="103"/>
      <c r="Y431" s="157"/>
      <c r="Z431" s="157"/>
    </row>
    <row r="432" spans="1:26">
      <c r="A432" s="103"/>
      <c r="B432" s="103"/>
      <c r="C432" s="103"/>
      <c r="D432" s="103"/>
      <c r="E432" s="103"/>
      <c r="F432" s="103"/>
      <c r="G432" s="103"/>
      <c r="H432" s="103"/>
      <c r="I432" s="103"/>
      <c r="J432" s="103"/>
      <c r="K432" s="103"/>
      <c r="L432" s="103"/>
      <c r="M432" s="103"/>
      <c r="N432" s="103"/>
      <c r="O432" s="103"/>
      <c r="P432" s="103"/>
      <c r="Q432" s="103"/>
      <c r="R432" s="103"/>
      <c r="S432" s="103"/>
      <c r="T432" s="103"/>
      <c r="U432" s="103"/>
      <c r="V432" s="103"/>
      <c r="W432" s="103"/>
      <c r="X432" s="103"/>
      <c r="Y432" s="157"/>
      <c r="Z432" s="157"/>
    </row>
    <row r="433" spans="1:26">
      <c r="A433" s="103"/>
      <c r="B433" s="103"/>
      <c r="C433" s="103"/>
      <c r="D433" s="103"/>
      <c r="E433" s="103"/>
      <c r="F433" s="103"/>
      <c r="G433" s="103"/>
      <c r="H433" s="103"/>
      <c r="I433" s="103"/>
      <c r="J433" s="103"/>
      <c r="K433" s="103"/>
      <c r="L433" s="103"/>
      <c r="M433" s="103"/>
      <c r="N433" s="103"/>
      <c r="O433" s="103"/>
      <c r="P433" s="103"/>
      <c r="Q433" s="103"/>
      <c r="R433" s="103"/>
      <c r="S433" s="103"/>
      <c r="T433" s="103"/>
      <c r="U433" s="103"/>
      <c r="V433" s="103"/>
      <c r="W433" s="103"/>
      <c r="X433" s="103"/>
      <c r="Y433" s="157"/>
      <c r="Z433" s="157"/>
    </row>
    <row r="434" spans="1:26">
      <c r="A434" s="103"/>
      <c r="B434" s="103"/>
      <c r="C434" s="103"/>
      <c r="D434" s="103"/>
      <c r="E434" s="103"/>
      <c r="F434" s="103"/>
      <c r="G434" s="103"/>
      <c r="H434" s="103"/>
      <c r="I434" s="103"/>
      <c r="J434" s="103"/>
      <c r="K434" s="103"/>
      <c r="L434" s="103"/>
      <c r="M434" s="103"/>
      <c r="N434" s="103"/>
      <c r="O434" s="103"/>
      <c r="P434" s="103"/>
      <c r="Q434" s="103"/>
      <c r="R434" s="103"/>
      <c r="S434" s="103"/>
      <c r="T434" s="103"/>
      <c r="U434" s="103"/>
      <c r="V434" s="103"/>
      <c r="W434" s="103"/>
      <c r="X434" s="103"/>
      <c r="Y434" s="157"/>
      <c r="Z434" s="157"/>
    </row>
    <row r="435" spans="1:26">
      <c r="A435" s="103"/>
      <c r="B435" s="103"/>
      <c r="C435" s="103"/>
      <c r="D435" s="103"/>
      <c r="E435" s="103"/>
      <c r="F435" s="103"/>
      <c r="G435" s="103"/>
      <c r="H435" s="103"/>
      <c r="I435" s="103"/>
      <c r="J435" s="103"/>
      <c r="K435" s="103"/>
      <c r="L435" s="103"/>
      <c r="M435" s="103"/>
      <c r="N435" s="103"/>
      <c r="O435" s="103"/>
      <c r="P435" s="103"/>
      <c r="Q435" s="103"/>
      <c r="R435" s="103"/>
      <c r="S435" s="103"/>
      <c r="T435" s="103"/>
      <c r="U435" s="103"/>
      <c r="V435" s="103"/>
      <c r="W435" s="103"/>
      <c r="X435" s="103"/>
      <c r="Y435" s="157"/>
      <c r="Z435" s="157"/>
    </row>
    <row r="436" spans="1:26">
      <c r="A436" s="103"/>
      <c r="B436" s="103"/>
      <c r="C436" s="103"/>
      <c r="D436" s="103"/>
      <c r="E436" s="103"/>
      <c r="F436" s="103"/>
      <c r="G436" s="103"/>
      <c r="H436" s="103"/>
      <c r="I436" s="103"/>
      <c r="J436" s="103"/>
      <c r="K436" s="103"/>
      <c r="L436" s="103"/>
      <c r="M436" s="103"/>
      <c r="N436" s="103"/>
      <c r="O436" s="103"/>
      <c r="P436" s="103"/>
      <c r="Q436" s="103"/>
      <c r="R436" s="103"/>
      <c r="S436" s="103"/>
      <c r="T436" s="103"/>
      <c r="U436" s="103"/>
      <c r="V436" s="103"/>
      <c r="W436" s="103"/>
      <c r="X436" s="103"/>
      <c r="Y436" s="157"/>
      <c r="Z436" s="157"/>
    </row>
    <row r="437" spans="1:26">
      <c r="A437" s="103"/>
      <c r="B437" s="103"/>
      <c r="C437" s="103"/>
      <c r="D437" s="103"/>
      <c r="E437" s="103"/>
      <c r="F437" s="103"/>
      <c r="G437" s="103"/>
      <c r="H437" s="103"/>
      <c r="I437" s="103"/>
      <c r="J437" s="103"/>
      <c r="K437" s="103"/>
      <c r="L437" s="103"/>
      <c r="M437" s="103"/>
      <c r="N437" s="103"/>
      <c r="O437" s="103"/>
      <c r="P437" s="103"/>
      <c r="Q437" s="103"/>
      <c r="R437" s="103"/>
      <c r="S437" s="103"/>
      <c r="T437" s="103"/>
      <c r="U437" s="103"/>
      <c r="V437" s="103"/>
      <c r="W437" s="103"/>
      <c r="X437" s="103"/>
      <c r="Y437" s="157"/>
      <c r="Z437" s="157"/>
    </row>
    <row r="438" spans="1:26">
      <c r="A438" s="103"/>
      <c r="B438" s="103"/>
      <c r="C438" s="103"/>
      <c r="D438" s="103"/>
      <c r="E438" s="103"/>
      <c r="F438" s="103"/>
      <c r="G438" s="103"/>
      <c r="H438" s="103"/>
      <c r="I438" s="103"/>
      <c r="J438" s="103"/>
      <c r="K438" s="103"/>
      <c r="L438" s="103"/>
      <c r="M438" s="103"/>
      <c r="N438" s="103"/>
      <c r="O438" s="103"/>
      <c r="P438" s="103"/>
      <c r="Q438" s="103"/>
      <c r="R438" s="103"/>
      <c r="S438" s="103"/>
      <c r="T438" s="103"/>
      <c r="U438" s="103"/>
      <c r="V438" s="103"/>
      <c r="W438" s="103"/>
      <c r="X438" s="103"/>
      <c r="Y438" s="157"/>
      <c r="Z438" s="157"/>
    </row>
    <row r="439" spans="1:26">
      <c r="A439" s="103"/>
      <c r="B439" s="103"/>
      <c r="C439" s="103"/>
      <c r="D439" s="103"/>
      <c r="E439" s="103"/>
      <c r="F439" s="103"/>
      <c r="G439" s="103"/>
      <c r="H439" s="103"/>
      <c r="I439" s="103"/>
      <c r="J439" s="103"/>
      <c r="K439" s="103"/>
      <c r="L439" s="103"/>
      <c r="M439" s="103"/>
      <c r="N439" s="103"/>
      <c r="O439" s="103"/>
      <c r="P439" s="103"/>
      <c r="Q439" s="103"/>
      <c r="R439" s="103"/>
      <c r="S439" s="103"/>
      <c r="T439" s="103"/>
      <c r="U439" s="103"/>
      <c r="V439" s="103"/>
      <c r="W439" s="103"/>
      <c r="X439" s="103"/>
      <c r="Y439" s="157"/>
      <c r="Z439" s="157"/>
    </row>
    <row r="440" spans="1:26">
      <c r="A440" s="103"/>
      <c r="B440" s="103"/>
      <c r="C440" s="103"/>
      <c r="D440" s="103"/>
      <c r="E440" s="103"/>
      <c r="F440" s="103"/>
      <c r="G440" s="103"/>
      <c r="H440" s="103"/>
      <c r="I440" s="103"/>
      <c r="J440" s="103"/>
      <c r="K440" s="103"/>
      <c r="L440" s="103"/>
      <c r="M440" s="103"/>
      <c r="N440" s="103"/>
      <c r="O440" s="103"/>
      <c r="P440" s="103"/>
      <c r="Q440" s="103"/>
      <c r="R440" s="103"/>
      <c r="S440" s="103"/>
      <c r="T440" s="103"/>
      <c r="U440" s="103"/>
      <c r="V440" s="103"/>
      <c r="W440" s="103"/>
      <c r="X440" s="103"/>
      <c r="Y440" s="157"/>
      <c r="Z440" s="157"/>
    </row>
    <row r="441" spans="1:26">
      <c r="A441" s="103"/>
      <c r="B441" s="103"/>
      <c r="C441" s="103"/>
      <c r="D441" s="103"/>
      <c r="E441" s="103"/>
      <c r="F441" s="103"/>
      <c r="G441" s="103"/>
      <c r="H441" s="103"/>
      <c r="I441" s="103"/>
      <c r="J441" s="103"/>
      <c r="K441" s="103"/>
      <c r="L441" s="103"/>
      <c r="M441" s="103"/>
      <c r="N441" s="103"/>
      <c r="O441" s="103"/>
      <c r="P441" s="103"/>
      <c r="Q441" s="103"/>
      <c r="R441" s="103"/>
      <c r="S441" s="103"/>
      <c r="T441" s="103"/>
      <c r="U441" s="103"/>
      <c r="V441" s="103"/>
      <c r="W441" s="103"/>
      <c r="X441" s="103"/>
      <c r="Y441" s="157"/>
      <c r="Z441" s="157"/>
    </row>
    <row r="442" spans="1:26">
      <c r="A442" s="103"/>
      <c r="B442" s="103"/>
      <c r="C442" s="103"/>
      <c r="D442" s="103"/>
      <c r="E442" s="103"/>
      <c r="F442" s="103"/>
      <c r="G442" s="103"/>
      <c r="H442" s="103"/>
      <c r="I442" s="103"/>
      <c r="J442" s="103"/>
      <c r="K442" s="103"/>
      <c r="L442" s="103"/>
      <c r="M442" s="103"/>
      <c r="N442" s="103"/>
      <c r="O442" s="103"/>
      <c r="P442" s="103"/>
      <c r="Q442" s="103"/>
      <c r="R442" s="103"/>
      <c r="S442" s="103"/>
      <c r="T442" s="103"/>
      <c r="U442" s="103"/>
      <c r="V442" s="103"/>
      <c r="W442" s="103"/>
      <c r="X442" s="103"/>
      <c r="Y442" s="157"/>
      <c r="Z442" s="157"/>
    </row>
    <row r="443" spans="1:26">
      <c r="A443" s="103"/>
      <c r="B443" s="103"/>
      <c r="C443" s="103"/>
      <c r="D443" s="103"/>
      <c r="E443" s="103"/>
      <c r="F443" s="103"/>
      <c r="G443" s="103"/>
      <c r="H443" s="103"/>
      <c r="I443" s="103"/>
      <c r="J443" s="103"/>
      <c r="K443" s="103"/>
      <c r="L443" s="103"/>
      <c r="M443" s="103"/>
      <c r="N443" s="103"/>
      <c r="O443" s="103"/>
      <c r="P443" s="103"/>
      <c r="Q443" s="103"/>
      <c r="R443" s="103"/>
      <c r="S443" s="103"/>
      <c r="T443" s="103"/>
      <c r="U443" s="103"/>
      <c r="V443" s="103"/>
      <c r="W443" s="103"/>
      <c r="X443" s="103"/>
      <c r="Y443" s="157"/>
      <c r="Z443" s="157"/>
    </row>
    <row r="444" spans="1:26">
      <c r="A444" s="103"/>
      <c r="B444" s="103"/>
      <c r="C444" s="103"/>
      <c r="D444" s="103"/>
      <c r="E444" s="103"/>
      <c r="F444" s="103"/>
      <c r="G444" s="103"/>
      <c r="H444" s="103"/>
      <c r="I444" s="103"/>
      <c r="J444" s="103"/>
      <c r="K444" s="103"/>
      <c r="L444" s="103"/>
      <c r="M444" s="103"/>
      <c r="N444" s="103"/>
      <c r="O444" s="103"/>
      <c r="P444" s="103"/>
      <c r="Q444" s="103"/>
      <c r="R444" s="103"/>
      <c r="S444" s="103"/>
      <c r="T444" s="103"/>
      <c r="U444" s="103"/>
      <c r="V444" s="103"/>
      <c r="W444" s="103"/>
      <c r="X444" s="103"/>
      <c r="Y444" s="157"/>
      <c r="Z444" s="157"/>
    </row>
    <row r="445" spans="1:26">
      <c r="A445" s="103"/>
      <c r="B445" s="103"/>
      <c r="C445" s="103"/>
      <c r="D445" s="103"/>
      <c r="E445" s="103"/>
      <c r="F445" s="103"/>
      <c r="G445" s="103"/>
      <c r="H445" s="103"/>
      <c r="I445" s="103"/>
      <c r="J445" s="103"/>
      <c r="K445" s="103"/>
      <c r="L445" s="103"/>
      <c r="M445" s="103"/>
      <c r="N445" s="103"/>
      <c r="O445" s="103"/>
      <c r="P445" s="103"/>
      <c r="Q445" s="103"/>
      <c r="R445" s="103"/>
      <c r="S445" s="103"/>
      <c r="T445" s="103"/>
      <c r="U445" s="103"/>
      <c r="V445" s="103"/>
      <c r="W445" s="103"/>
      <c r="X445" s="103"/>
      <c r="Y445" s="157"/>
      <c r="Z445" s="157"/>
    </row>
    <row r="446" spans="1:26">
      <c r="A446" s="103"/>
      <c r="B446" s="103"/>
      <c r="C446" s="103"/>
      <c r="D446" s="103"/>
      <c r="E446" s="103"/>
      <c r="F446" s="103"/>
      <c r="G446" s="103"/>
      <c r="H446" s="103"/>
      <c r="I446" s="103"/>
      <c r="J446" s="103"/>
      <c r="K446" s="103"/>
      <c r="L446" s="103"/>
      <c r="M446" s="103"/>
      <c r="N446" s="103"/>
      <c r="O446" s="103"/>
      <c r="P446" s="103"/>
      <c r="Q446" s="103"/>
      <c r="R446" s="103"/>
      <c r="S446" s="103"/>
      <c r="T446" s="103"/>
      <c r="U446" s="103"/>
      <c r="V446" s="103"/>
      <c r="W446" s="103"/>
      <c r="X446" s="103"/>
      <c r="Y446" s="157"/>
      <c r="Z446" s="157"/>
    </row>
    <row r="447" spans="1:26">
      <c r="A447" s="103"/>
      <c r="B447" s="103"/>
      <c r="C447" s="103"/>
      <c r="D447" s="103"/>
      <c r="E447" s="103"/>
      <c r="F447" s="103"/>
      <c r="G447" s="103"/>
      <c r="H447" s="103"/>
      <c r="I447" s="103"/>
      <c r="J447" s="103"/>
      <c r="K447" s="103"/>
      <c r="L447" s="103"/>
      <c r="M447" s="103"/>
      <c r="N447" s="103"/>
      <c r="O447" s="103"/>
      <c r="P447" s="103"/>
      <c r="Q447" s="103"/>
      <c r="R447" s="103"/>
      <c r="S447" s="103"/>
      <c r="T447" s="103"/>
      <c r="U447" s="103"/>
      <c r="V447" s="103"/>
      <c r="W447" s="103"/>
      <c r="X447" s="103"/>
      <c r="Y447" s="157"/>
      <c r="Z447" s="157"/>
    </row>
    <row r="448" spans="1:26">
      <c r="A448" s="103"/>
      <c r="B448" s="103"/>
      <c r="C448" s="103"/>
      <c r="D448" s="103"/>
      <c r="E448" s="103"/>
      <c r="F448" s="103"/>
      <c r="G448" s="103"/>
      <c r="H448" s="103"/>
      <c r="I448" s="103"/>
      <c r="J448" s="103"/>
      <c r="K448" s="103"/>
      <c r="L448" s="103"/>
      <c r="M448" s="103"/>
      <c r="N448" s="103"/>
      <c r="O448" s="103"/>
      <c r="P448" s="103"/>
      <c r="Q448" s="103"/>
      <c r="R448" s="103"/>
      <c r="S448" s="103"/>
      <c r="T448" s="103"/>
      <c r="U448" s="103"/>
      <c r="V448" s="103"/>
      <c r="W448" s="103"/>
      <c r="X448" s="103"/>
      <c r="Y448" s="157"/>
      <c r="Z448" s="157"/>
    </row>
    <row r="449" spans="1:26">
      <c r="A449" s="103"/>
      <c r="B449" s="103"/>
      <c r="C449" s="103"/>
      <c r="D449" s="103"/>
      <c r="E449" s="103"/>
      <c r="F449" s="103"/>
      <c r="G449" s="103"/>
      <c r="H449" s="103"/>
      <c r="I449" s="103"/>
      <c r="J449" s="103"/>
      <c r="K449" s="103"/>
      <c r="L449" s="103"/>
      <c r="M449" s="103"/>
      <c r="N449" s="103"/>
      <c r="O449" s="103"/>
      <c r="P449" s="103"/>
      <c r="Q449" s="103"/>
      <c r="R449" s="103"/>
      <c r="S449" s="103"/>
      <c r="T449" s="103"/>
      <c r="U449" s="103"/>
      <c r="V449" s="103"/>
      <c r="W449" s="103"/>
      <c r="X449" s="103"/>
      <c r="Y449" s="157"/>
      <c r="Z449" s="157"/>
    </row>
    <row r="450" spans="1:26">
      <c r="A450" s="103"/>
      <c r="B450" s="103"/>
      <c r="C450" s="103"/>
      <c r="D450" s="103"/>
      <c r="E450" s="103"/>
      <c r="F450" s="103"/>
      <c r="G450" s="103"/>
      <c r="H450" s="103"/>
      <c r="I450" s="103"/>
      <c r="J450" s="103"/>
      <c r="K450" s="103"/>
      <c r="L450" s="103"/>
      <c r="M450" s="103"/>
      <c r="N450" s="103"/>
      <c r="O450" s="103"/>
      <c r="P450" s="103"/>
      <c r="Q450" s="103"/>
      <c r="R450" s="103"/>
      <c r="S450" s="103"/>
      <c r="T450" s="103"/>
      <c r="U450" s="103"/>
      <c r="V450" s="103"/>
      <c r="W450" s="103"/>
      <c r="X450" s="103"/>
      <c r="Y450" s="157"/>
      <c r="Z450" s="157"/>
    </row>
    <row r="451" spans="1:26">
      <c r="A451" s="103"/>
      <c r="B451" s="103"/>
      <c r="C451" s="103"/>
      <c r="D451" s="103"/>
      <c r="E451" s="103"/>
      <c r="F451" s="103"/>
      <c r="G451" s="103"/>
      <c r="H451" s="103"/>
      <c r="I451" s="103"/>
      <c r="J451" s="103"/>
      <c r="K451" s="103"/>
      <c r="L451" s="103"/>
      <c r="M451" s="103"/>
      <c r="N451" s="103"/>
      <c r="O451" s="103"/>
      <c r="P451" s="103"/>
      <c r="Q451" s="103"/>
      <c r="R451" s="103"/>
      <c r="S451" s="103"/>
      <c r="T451" s="103"/>
      <c r="U451" s="103"/>
      <c r="V451" s="103"/>
      <c r="W451" s="103"/>
      <c r="X451" s="103"/>
      <c r="Y451" s="157"/>
      <c r="Z451" s="157"/>
    </row>
    <row r="452" spans="1:26">
      <c r="A452" s="103"/>
      <c r="B452" s="103"/>
      <c r="C452" s="103"/>
      <c r="D452" s="103"/>
      <c r="E452" s="103"/>
      <c r="F452" s="103"/>
      <c r="G452" s="103"/>
      <c r="H452" s="103"/>
      <c r="I452" s="103"/>
      <c r="J452" s="103"/>
      <c r="K452" s="103"/>
      <c r="L452" s="103"/>
      <c r="M452" s="103"/>
      <c r="N452" s="103"/>
      <c r="O452" s="103"/>
      <c r="P452" s="103"/>
      <c r="Q452" s="103"/>
      <c r="R452" s="103"/>
      <c r="S452" s="103"/>
      <c r="T452" s="103"/>
      <c r="U452" s="103"/>
      <c r="V452" s="103"/>
      <c r="W452" s="103"/>
      <c r="X452" s="103"/>
      <c r="Y452" s="157"/>
      <c r="Z452" s="157"/>
    </row>
    <row r="453" spans="1:26">
      <c r="A453" s="103"/>
      <c r="B453" s="103"/>
      <c r="C453" s="103"/>
      <c r="D453" s="103"/>
      <c r="E453" s="103"/>
      <c r="F453" s="103"/>
      <c r="G453" s="103"/>
      <c r="H453" s="103"/>
      <c r="I453" s="103"/>
      <c r="J453" s="103"/>
      <c r="K453" s="103"/>
      <c r="L453" s="103"/>
      <c r="M453" s="103"/>
      <c r="N453" s="103"/>
      <c r="O453" s="103"/>
      <c r="P453" s="103"/>
      <c r="Q453" s="103"/>
      <c r="R453" s="103"/>
      <c r="S453" s="103"/>
      <c r="T453" s="103"/>
      <c r="U453" s="103"/>
      <c r="V453" s="103"/>
      <c r="W453" s="103"/>
      <c r="X453" s="103"/>
      <c r="Y453" s="157"/>
      <c r="Z453" s="157"/>
    </row>
    <row r="454" spans="1:26">
      <c r="A454" s="103"/>
      <c r="B454" s="103"/>
      <c r="C454" s="103"/>
      <c r="D454" s="103"/>
      <c r="E454" s="103"/>
      <c r="F454" s="103"/>
      <c r="G454" s="103"/>
      <c r="H454" s="103"/>
      <c r="I454" s="103"/>
      <c r="J454" s="103"/>
      <c r="K454" s="103"/>
      <c r="L454" s="103"/>
      <c r="M454" s="103"/>
      <c r="N454" s="103"/>
      <c r="O454" s="103"/>
      <c r="P454" s="103"/>
      <c r="Q454" s="103"/>
      <c r="R454" s="103"/>
      <c r="S454" s="103"/>
      <c r="T454" s="103"/>
      <c r="U454" s="103"/>
      <c r="V454" s="103"/>
      <c r="W454" s="103"/>
      <c r="X454" s="103"/>
      <c r="Y454" s="157"/>
      <c r="Z454" s="157"/>
    </row>
    <row r="455" spans="1:26">
      <c r="A455" s="103"/>
      <c r="B455" s="103"/>
      <c r="C455" s="103"/>
      <c r="D455" s="103"/>
      <c r="E455" s="103"/>
      <c r="F455" s="103"/>
      <c r="G455" s="103"/>
      <c r="H455" s="103"/>
      <c r="I455" s="103"/>
      <c r="J455" s="103"/>
      <c r="K455" s="103"/>
      <c r="L455" s="103"/>
      <c r="M455" s="103"/>
      <c r="N455" s="103"/>
      <c r="O455" s="103"/>
      <c r="P455" s="103"/>
      <c r="Q455" s="103"/>
      <c r="R455" s="103"/>
      <c r="S455" s="103"/>
      <c r="T455" s="103"/>
      <c r="U455" s="103"/>
      <c r="V455" s="103"/>
      <c r="W455" s="103"/>
      <c r="X455" s="103"/>
      <c r="Y455" s="157"/>
      <c r="Z455" s="157"/>
    </row>
    <row r="456" spans="1:26">
      <c r="A456" s="103"/>
      <c r="B456" s="103"/>
      <c r="C456" s="103"/>
      <c r="D456" s="103"/>
      <c r="E456" s="103"/>
      <c r="F456" s="103"/>
      <c r="G456" s="103"/>
      <c r="H456" s="103"/>
      <c r="I456" s="103"/>
      <c r="J456" s="103"/>
      <c r="K456" s="103"/>
      <c r="L456" s="103"/>
      <c r="M456" s="103"/>
      <c r="N456" s="103"/>
      <c r="O456" s="103"/>
      <c r="P456" s="103"/>
      <c r="Q456" s="103"/>
      <c r="R456" s="103"/>
      <c r="S456" s="103"/>
      <c r="T456" s="103"/>
      <c r="U456" s="103"/>
      <c r="V456" s="103"/>
      <c r="W456" s="103"/>
      <c r="X456" s="103"/>
      <c r="Y456" s="157"/>
      <c r="Z456" s="157"/>
    </row>
    <row r="457" spans="1:26">
      <c r="A457" s="103"/>
      <c r="B457" s="103"/>
      <c r="C457" s="103"/>
      <c r="D457" s="103"/>
      <c r="E457" s="103"/>
      <c r="F457" s="103"/>
      <c r="G457" s="103"/>
      <c r="H457" s="103"/>
      <c r="I457" s="103"/>
      <c r="J457" s="103"/>
      <c r="K457" s="103"/>
      <c r="L457" s="103"/>
      <c r="M457" s="103"/>
      <c r="N457" s="103"/>
      <c r="O457" s="103"/>
      <c r="P457" s="103"/>
      <c r="Q457" s="103"/>
      <c r="R457" s="103"/>
      <c r="S457" s="103"/>
      <c r="T457" s="103"/>
      <c r="U457" s="103"/>
      <c r="V457" s="103"/>
      <c r="W457" s="103"/>
      <c r="X457" s="103"/>
      <c r="Y457" s="157"/>
      <c r="Z457" s="157"/>
    </row>
    <row r="458" spans="1:26">
      <c r="A458" s="103"/>
      <c r="B458" s="103"/>
      <c r="C458" s="103"/>
      <c r="D458" s="103"/>
      <c r="E458" s="103"/>
      <c r="F458" s="103"/>
      <c r="G458" s="103"/>
      <c r="H458" s="103"/>
      <c r="I458" s="103"/>
      <c r="J458" s="103"/>
      <c r="K458" s="103"/>
      <c r="L458" s="103"/>
      <c r="M458" s="103"/>
      <c r="N458" s="103"/>
      <c r="O458" s="103"/>
      <c r="P458" s="103"/>
      <c r="Q458" s="103"/>
      <c r="R458" s="103"/>
      <c r="S458" s="103"/>
      <c r="T458" s="103"/>
      <c r="U458" s="103"/>
      <c r="V458" s="103"/>
      <c r="W458" s="103"/>
      <c r="X458" s="103"/>
      <c r="Y458" s="157"/>
      <c r="Z458" s="157"/>
    </row>
    <row r="459" spans="1:26">
      <c r="A459" s="103"/>
      <c r="B459" s="103"/>
      <c r="C459" s="103"/>
      <c r="D459" s="103"/>
      <c r="E459" s="103"/>
      <c r="F459" s="103"/>
      <c r="G459" s="103"/>
      <c r="H459" s="103"/>
      <c r="I459" s="103"/>
      <c r="J459" s="103"/>
      <c r="K459" s="103"/>
      <c r="L459" s="103"/>
      <c r="M459" s="103"/>
      <c r="N459" s="103"/>
      <c r="O459" s="103"/>
      <c r="P459" s="103"/>
      <c r="Q459" s="103"/>
      <c r="R459" s="103"/>
      <c r="S459" s="103"/>
      <c r="T459" s="103"/>
      <c r="U459" s="103"/>
      <c r="V459" s="103"/>
      <c r="W459" s="103"/>
      <c r="X459" s="103"/>
      <c r="Y459" s="157"/>
      <c r="Z459" s="157"/>
    </row>
    <row r="460" spans="1:26">
      <c r="A460" s="103"/>
      <c r="B460" s="103"/>
      <c r="C460" s="103"/>
      <c r="D460" s="103"/>
      <c r="E460" s="103"/>
      <c r="F460" s="103"/>
      <c r="G460" s="103"/>
      <c r="H460" s="103"/>
      <c r="I460" s="103"/>
      <c r="J460" s="103"/>
      <c r="K460" s="103"/>
      <c r="L460" s="103"/>
      <c r="M460" s="103"/>
      <c r="N460" s="103"/>
      <c r="O460" s="103"/>
      <c r="P460" s="103"/>
      <c r="Q460" s="103"/>
      <c r="R460" s="103"/>
      <c r="S460" s="103"/>
      <c r="T460" s="103"/>
      <c r="U460" s="103"/>
      <c r="V460" s="103"/>
      <c r="W460" s="103"/>
      <c r="X460" s="103"/>
      <c r="Y460" s="157"/>
      <c r="Z460" s="157"/>
    </row>
    <row r="461" spans="1:26">
      <c r="A461" s="103"/>
      <c r="B461" s="103"/>
      <c r="C461" s="103"/>
      <c r="D461" s="103"/>
      <c r="E461" s="103"/>
      <c r="F461" s="103"/>
      <c r="G461" s="103"/>
      <c r="H461" s="103"/>
      <c r="I461" s="103"/>
      <c r="J461" s="103"/>
      <c r="K461" s="103"/>
      <c r="L461" s="103"/>
      <c r="M461" s="103"/>
      <c r="N461" s="103"/>
      <c r="O461" s="103"/>
      <c r="P461" s="103"/>
      <c r="Q461" s="103"/>
      <c r="R461" s="103"/>
      <c r="S461" s="103"/>
      <c r="T461" s="103"/>
      <c r="U461" s="103"/>
      <c r="V461" s="103"/>
      <c r="W461" s="103"/>
      <c r="X461" s="103"/>
      <c r="Y461" s="157"/>
      <c r="Z461" s="157"/>
    </row>
    <row r="462" spans="1:26">
      <c r="A462" s="103"/>
      <c r="B462" s="103"/>
      <c r="C462" s="103"/>
      <c r="D462" s="103"/>
      <c r="E462" s="103"/>
      <c r="F462" s="103"/>
      <c r="G462" s="103"/>
      <c r="H462" s="103"/>
      <c r="I462" s="103"/>
      <c r="J462" s="103"/>
      <c r="K462" s="103"/>
      <c r="L462" s="103"/>
      <c r="M462" s="103"/>
      <c r="N462" s="103"/>
      <c r="O462" s="103"/>
      <c r="P462" s="103"/>
      <c r="Q462" s="103"/>
      <c r="R462" s="103"/>
      <c r="S462" s="103"/>
      <c r="T462" s="103"/>
      <c r="U462" s="103"/>
      <c r="V462" s="103"/>
      <c r="W462" s="103"/>
      <c r="X462" s="103"/>
      <c r="Y462" s="157"/>
      <c r="Z462" s="157"/>
    </row>
    <row r="463" spans="1:26">
      <c r="A463" s="103"/>
      <c r="B463" s="103"/>
      <c r="C463" s="103"/>
      <c r="D463" s="103"/>
      <c r="E463" s="103"/>
      <c r="F463" s="103"/>
      <c r="G463" s="103"/>
      <c r="H463" s="103"/>
      <c r="I463" s="103"/>
      <c r="J463" s="103"/>
      <c r="K463" s="103"/>
      <c r="L463" s="103"/>
      <c r="M463" s="103"/>
      <c r="N463" s="103"/>
      <c r="O463" s="103"/>
      <c r="P463" s="103"/>
      <c r="Q463" s="103"/>
      <c r="R463" s="103"/>
      <c r="S463" s="103"/>
      <c r="T463" s="103"/>
      <c r="U463" s="103"/>
      <c r="V463" s="103"/>
      <c r="W463" s="103"/>
      <c r="X463" s="103"/>
      <c r="Y463" s="157"/>
      <c r="Z463" s="157"/>
    </row>
    <row r="464" spans="1:26">
      <c r="A464" s="103"/>
      <c r="B464" s="103"/>
      <c r="C464" s="103"/>
      <c r="D464" s="103"/>
      <c r="E464" s="103"/>
      <c r="F464" s="103"/>
      <c r="G464" s="103"/>
      <c r="H464" s="103"/>
      <c r="I464" s="103"/>
      <c r="J464" s="103"/>
      <c r="K464" s="103"/>
      <c r="L464" s="103"/>
      <c r="M464" s="103"/>
      <c r="N464" s="103"/>
      <c r="O464" s="103"/>
      <c r="P464" s="103"/>
      <c r="Q464" s="103"/>
      <c r="R464" s="103"/>
      <c r="S464" s="103"/>
      <c r="T464" s="103"/>
      <c r="U464" s="103"/>
      <c r="V464" s="103"/>
      <c r="W464" s="103"/>
      <c r="X464" s="103"/>
      <c r="Y464" s="157"/>
      <c r="Z464" s="157"/>
    </row>
    <row r="465" spans="1:26">
      <c r="A465" s="103"/>
      <c r="B465" s="103"/>
      <c r="C465" s="103"/>
      <c r="D465" s="103"/>
      <c r="E465" s="103"/>
      <c r="F465" s="103"/>
      <c r="G465" s="103"/>
      <c r="H465" s="103"/>
      <c r="I465" s="103"/>
      <c r="J465" s="103"/>
      <c r="K465" s="103"/>
      <c r="L465" s="103"/>
      <c r="M465" s="103"/>
      <c r="N465" s="103"/>
      <c r="O465" s="103"/>
      <c r="P465" s="103"/>
      <c r="Q465" s="103"/>
      <c r="R465" s="103"/>
      <c r="S465" s="103"/>
      <c r="T465" s="103"/>
      <c r="U465" s="103"/>
      <c r="V465" s="103"/>
      <c r="W465" s="103"/>
      <c r="X465" s="103"/>
      <c r="Y465" s="157"/>
      <c r="Z465" s="157"/>
    </row>
    <row r="466" spans="1:26">
      <c r="A466" s="103"/>
      <c r="B466" s="103"/>
      <c r="C466" s="103"/>
      <c r="D466" s="103"/>
      <c r="E466" s="103"/>
      <c r="F466" s="103"/>
      <c r="G466" s="103"/>
      <c r="H466" s="103"/>
      <c r="I466" s="103"/>
      <c r="J466" s="103"/>
      <c r="K466" s="103"/>
      <c r="L466" s="103"/>
      <c r="M466" s="103"/>
      <c r="N466" s="103"/>
      <c r="O466" s="103"/>
      <c r="P466" s="103"/>
      <c r="Q466" s="103"/>
      <c r="R466" s="103"/>
      <c r="S466" s="103"/>
      <c r="T466" s="103"/>
      <c r="U466" s="103"/>
      <c r="V466" s="103"/>
      <c r="W466" s="103"/>
      <c r="X466" s="103"/>
      <c r="Y466" s="157"/>
      <c r="Z466" s="157"/>
    </row>
    <row r="467" spans="1:26">
      <c r="A467" s="103"/>
      <c r="B467" s="103"/>
      <c r="C467" s="103"/>
      <c r="D467" s="103"/>
      <c r="E467" s="103"/>
      <c r="F467" s="103"/>
      <c r="G467" s="103"/>
      <c r="H467" s="103"/>
      <c r="I467" s="103"/>
      <c r="J467" s="103"/>
      <c r="K467" s="103"/>
      <c r="L467" s="103"/>
      <c r="M467" s="103"/>
      <c r="N467" s="103"/>
      <c r="O467" s="103"/>
      <c r="P467" s="103"/>
      <c r="Q467" s="103"/>
      <c r="R467" s="103"/>
      <c r="S467" s="103"/>
      <c r="T467" s="103"/>
      <c r="U467" s="103"/>
      <c r="V467" s="103"/>
      <c r="W467" s="103"/>
      <c r="X467" s="103"/>
      <c r="Y467" s="157"/>
      <c r="Z467" s="157"/>
    </row>
    <row r="468" spans="1:26">
      <c r="A468" s="103"/>
      <c r="B468" s="103"/>
      <c r="C468" s="103"/>
      <c r="D468" s="103"/>
      <c r="E468" s="103"/>
      <c r="F468" s="103"/>
      <c r="G468" s="103"/>
      <c r="H468" s="103"/>
      <c r="I468" s="103"/>
      <c r="J468" s="103"/>
      <c r="K468" s="103"/>
      <c r="L468" s="103"/>
      <c r="M468" s="103"/>
      <c r="N468" s="103"/>
      <c r="O468" s="103"/>
      <c r="P468" s="103"/>
      <c r="Q468" s="103"/>
      <c r="R468" s="103"/>
      <c r="S468" s="103"/>
      <c r="T468" s="103"/>
      <c r="U468" s="103"/>
      <c r="V468" s="103"/>
      <c r="W468" s="103"/>
      <c r="X468" s="103"/>
      <c r="Y468" s="157"/>
      <c r="Z468" s="157"/>
    </row>
    <row r="469" spans="1:26">
      <c r="A469" s="103"/>
      <c r="B469" s="103"/>
      <c r="C469" s="103"/>
      <c r="D469" s="103"/>
      <c r="E469" s="103"/>
      <c r="F469" s="103"/>
      <c r="G469" s="103"/>
      <c r="H469" s="103"/>
      <c r="I469" s="103"/>
      <c r="J469" s="103"/>
      <c r="K469" s="103"/>
      <c r="L469" s="103"/>
      <c r="M469" s="103"/>
      <c r="N469" s="103"/>
      <c r="O469" s="103"/>
      <c r="P469" s="103"/>
      <c r="Q469" s="103"/>
      <c r="R469" s="103"/>
      <c r="S469" s="103"/>
      <c r="T469" s="103"/>
      <c r="U469" s="103"/>
      <c r="V469" s="103"/>
      <c r="W469" s="103"/>
      <c r="X469" s="103"/>
      <c r="Y469" s="157"/>
      <c r="Z469" s="157"/>
    </row>
    <row r="470" spans="1:26">
      <c r="A470" s="103"/>
      <c r="B470" s="103"/>
      <c r="C470" s="103"/>
      <c r="D470" s="103"/>
      <c r="E470" s="103"/>
      <c r="F470" s="103"/>
      <c r="G470" s="103"/>
      <c r="H470" s="103"/>
      <c r="I470" s="103"/>
      <c r="J470" s="103"/>
      <c r="K470" s="103"/>
      <c r="L470" s="103"/>
      <c r="M470" s="103"/>
      <c r="N470" s="103"/>
      <c r="O470" s="103"/>
      <c r="P470" s="103"/>
      <c r="Q470" s="103"/>
      <c r="R470" s="103"/>
      <c r="S470" s="103"/>
      <c r="T470" s="103"/>
      <c r="U470" s="103"/>
      <c r="V470" s="103"/>
      <c r="W470" s="103"/>
      <c r="X470" s="103"/>
      <c r="Y470" s="157"/>
      <c r="Z470" s="157"/>
    </row>
    <row r="471" spans="1:26">
      <c r="A471" s="103"/>
      <c r="B471" s="103"/>
      <c r="C471" s="103"/>
      <c r="D471" s="103"/>
      <c r="E471" s="103"/>
      <c r="F471" s="103"/>
      <c r="G471" s="103"/>
      <c r="H471" s="103"/>
      <c r="I471" s="103"/>
      <c r="J471" s="103"/>
      <c r="K471" s="103"/>
      <c r="L471" s="103"/>
      <c r="M471" s="103"/>
      <c r="N471" s="103"/>
      <c r="O471" s="103"/>
      <c r="P471" s="103"/>
      <c r="Q471" s="103"/>
      <c r="R471" s="103"/>
      <c r="S471" s="103"/>
      <c r="T471" s="103"/>
      <c r="U471" s="103"/>
      <c r="V471" s="103"/>
      <c r="W471" s="103"/>
      <c r="X471" s="103"/>
      <c r="Y471" s="157"/>
      <c r="Z471" s="157"/>
    </row>
    <row r="472" spans="1:26">
      <c r="A472" s="103"/>
      <c r="B472" s="103"/>
      <c r="C472" s="103"/>
      <c r="D472" s="103"/>
      <c r="E472" s="103"/>
      <c r="F472" s="103"/>
      <c r="G472" s="103"/>
      <c r="H472" s="103"/>
      <c r="I472" s="103"/>
      <c r="J472" s="103"/>
      <c r="K472" s="103"/>
      <c r="L472" s="103"/>
      <c r="M472" s="103"/>
      <c r="N472" s="103"/>
      <c r="O472" s="103"/>
      <c r="P472" s="103"/>
      <c r="Q472" s="103"/>
      <c r="R472" s="103"/>
      <c r="S472" s="103"/>
      <c r="T472" s="103"/>
      <c r="U472" s="103"/>
      <c r="V472" s="103"/>
      <c r="W472" s="103"/>
      <c r="X472" s="103"/>
      <c r="Y472" s="157"/>
      <c r="Z472" s="157"/>
    </row>
    <row r="473" spans="1:26">
      <c r="A473" s="103"/>
      <c r="B473" s="103"/>
      <c r="C473" s="103"/>
      <c r="D473" s="103"/>
      <c r="E473" s="103"/>
      <c r="F473" s="103"/>
      <c r="G473" s="103"/>
      <c r="H473" s="103"/>
      <c r="I473" s="103"/>
      <c r="J473" s="103"/>
      <c r="K473" s="103"/>
      <c r="L473" s="103"/>
      <c r="M473" s="103"/>
      <c r="N473" s="103"/>
      <c r="O473" s="103"/>
      <c r="P473" s="103"/>
      <c r="Q473" s="103"/>
      <c r="R473" s="103"/>
      <c r="S473" s="103"/>
      <c r="T473" s="103"/>
      <c r="U473" s="103"/>
      <c r="V473" s="103"/>
      <c r="W473" s="103"/>
      <c r="X473" s="103"/>
      <c r="Y473" s="157"/>
      <c r="Z473" s="157"/>
    </row>
    <row r="474" spans="1:26">
      <c r="A474" s="103"/>
      <c r="B474" s="103"/>
      <c r="C474" s="103"/>
      <c r="D474" s="103"/>
      <c r="E474" s="103"/>
      <c r="F474" s="103"/>
      <c r="G474" s="103"/>
      <c r="H474" s="103"/>
      <c r="I474" s="103"/>
      <c r="J474" s="103"/>
      <c r="K474" s="103"/>
      <c r="L474" s="103"/>
      <c r="M474" s="103"/>
      <c r="N474" s="103"/>
      <c r="O474" s="103"/>
      <c r="P474" s="103"/>
      <c r="Q474" s="103"/>
      <c r="R474" s="103"/>
      <c r="S474" s="103"/>
      <c r="T474" s="103"/>
      <c r="U474" s="103"/>
      <c r="V474" s="103"/>
      <c r="W474" s="103"/>
      <c r="X474" s="103"/>
      <c r="Y474" s="157"/>
      <c r="Z474" s="157"/>
    </row>
    <row r="475" spans="1:26">
      <c r="A475" s="103"/>
      <c r="B475" s="103"/>
      <c r="C475" s="103"/>
      <c r="D475" s="103"/>
      <c r="E475" s="103"/>
      <c r="F475" s="103"/>
      <c r="G475" s="103"/>
      <c r="H475" s="103"/>
      <c r="I475" s="103"/>
      <c r="J475" s="103"/>
      <c r="K475" s="103"/>
      <c r="L475" s="103"/>
      <c r="M475" s="103"/>
      <c r="N475" s="103"/>
      <c r="O475" s="103"/>
      <c r="P475" s="103"/>
      <c r="Q475" s="103"/>
      <c r="R475" s="103"/>
      <c r="S475" s="103"/>
      <c r="T475" s="103"/>
      <c r="U475" s="103"/>
      <c r="V475" s="103"/>
      <c r="W475" s="103"/>
      <c r="X475" s="103"/>
      <c r="Y475" s="157"/>
      <c r="Z475" s="157"/>
    </row>
    <row r="476" spans="1:26">
      <c r="A476" s="103"/>
      <c r="B476" s="103"/>
      <c r="C476" s="103"/>
      <c r="D476" s="103"/>
      <c r="E476" s="103"/>
      <c r="F476" s="103"/>
      <c r="G476" s="103"/>
      <c r="H476" s="103"/>
      <c r="I476" s="103"/>
      <c r="J476" s="103"/>
      <c r="K476" s="103"/>
      <c r="L476" s="103"/>
      <c r="M476" s="103"/>
      <c r="N476" s="103"/>
      <c r="O476" s="103"/>
      <c r="P476" s="103"/>
      <c r="Q476" s="103"/>
      <c r="R476" s="103"/>
      <c r="S476" s="103"/>
      <c r="T476" s="103"/>
      <c r="U476" s="103"/>
      <c r="V476" s="103"/>
      <c r="W476" s="103"/>
      <c r="X476" s="103"/>
      <c r="Y476" s="157"/>
      <c r="Z476" s="157"/>
    </row>
    <row r="477" spans="1:26">
      <c r="A477" s="103"/>
      <c r="B477" s="103"/>
      <c r="C477" s="103"/>
      <c r="D477" s="103"/>
      <c r="E477" s="103"/>
      <c r="F477" s="103"/>
      <c r="G477" s="103"/>
      <c r="H477" s="103"/>
      <c r="I477" s="103"/>
      <c r="J477" s="103"/>
      <c r="K477" s="103"/>
      <c r="L477" s="103"/>
      <c r="M477" s="103"/>
      <c r="N477" s="103"/>
      <c r="O477" s="103"/>
      <c r="P477" s="103"/>
      <c r="Q477" s="103"/>
      <c r="R477" s="103"/>
      <c r="S477" s="103"/>
      <c r="T477" s="103"/>
      <c r="U477" s="103"/>
      <c r="V477" s="103"/>
      <c r="W477" s="103"/>
      <c r="X477" s="103"/>
      <c r="Y477" s="157"/>
      <c r="Z477" s="157"/>
    </row>
    <row r="478" spans="1:26">
      <c r="A478" s="103"/>
      <c r="B478" s="103"/>
      <c r="C478" s="103"/>
      <c r="D478" s="103"/>
      <c r="E478" s="103"/>
      <c r="F478" s="103"/>
      <c r="G478" s="103"/>
      <c r="H478" s="103"/>
      <c r="I478" s="103"/>
      <c r="J478" s="103"/>
      <c r="K478" s="103"/>
      <c r="L478" s="103"/>
      <c r="M478" s="103"/>
      <c r="N478" s="103"/>
      <c r="O478" s="103"/>
      <c r="P478" s="103"/>
      <c r="Q478" s="103"/>
      <c r="R478" s="103"/>
      <c r="S478" s="103"/>
      <c r="T478" s="103"/>
      <c r="U478" s="103"/>
      <c r="V478" s="103"/>
      <c r="W478" s="103"/>
      <c r="X478" s="103"/>
      <c r="Y478" s="157"/>
      <c r="Z478" s="157"/>
    </row>
    <row r="479" spans="1:26">
      <c r="A479" s="103"/>
      <c r="B479" s="103"/>
      <c r="C479" s="103"/>
      <c r="D479" s="103"/>
      <c r="E479" s="103"/>
      <c r="F479" s="103"/>
      <c r="G479" s="103"/>
      <c r="H479" s="103"/>
      <c r="I479" s="103"/>
      <c r="J479" s="103"/>
      <c r="K479" s="103"/>
      <c r="L479" s="103"/>
      <c r="M479" s="103"/>
      <c r="N479" s="103"/>
      <c r="O479" s="103"/>
      <c r="P479" s="103"/>
      <c r="Q479" s="103"/>
      <c r="R479" s="103"/>
      <c r="S479" s="103"/>
      <c r="T479" s="103"/>
      <c r="U479" s="103"/>
      <c r="V479" s="103"/>
      <c r="W479" s="103"/>
      <c r="X479" s="103"/>
      <c r="Y479" s="157"/>
      <c r="Z479" s="157"/>
    </row>
    <row r="480" spans="1:26">
      <c r="A480" s="103"/>
      <c r="B480" s="103"/>
      <c r="C480" s="103"/>
      <c r="D480" s="103"/>
      <c r="E480" s="103"/>
      <c r="F480" s="103"/>
      <c r="G480" s="103"/>
      <c r="H480" s="103"/>
      <c r="I480" s="103"/>
      <c r="J480" s="103"/>
      <c r="K480" s="103"/>
      <c r="L480" s="103"/>
      <c r="M480" s="103"/>
      <c r="N480" s="103"/>
      <c r="O480" s="103"/>
      <c r="P480" s="103"/>
      <c r="Q480" s="103"/>
      <c r="R480" s="103"/>
      <c r="S480" s="103"/>
      <c r="T480" s="103"/>
      <c r="U480" s="103"/>
      <c r="V480" s="103"/>
      <c r="W480" s="103"/>
      <c r="X480" s="103"/>
      <c r="Y480" s="157"/>
      <c r="Z480" s="157"/>
    </row>
    <row r="481" spans="1:26">
      <c r="A481" s="103"/>
      <c r="B481" s="103"/>
      <c r="C481" s="103"/>
      <c r="D481" s="103"/>
      <c r="E481" s="103"/>
      <c r="F481" s="103"/>
      <c r="G481" s="103"/>
      <c r="H481" s="103"/>
      <c r="I481" s="103"/>
      <c r="J481" s="103"/>
      <c r="K481" s="103"/>
      <c r="L481" s="103"/>
      <c r="M481" s="103"/>
      <c r="N481" s="103"/>
      <c r="O481" s="103"/>
      <c r="P481" s="103"/>
      <c r="Q481" s="103"/>
      <c r="R481" s="103"/>
      <c r="S481" s="103"/>
      <c r="T481" s="103"/>
      <c r="U481" s="103"/>
      <c r="V481" s="103"/>
      <c r="W481" s="103"/>
      <c r="X481" s="103"/>
      <c r="Y481" s="157"/>
      <c r="Z481" s="157"/>
    </row>
    <row r="482" spans="1:26">
      <c r="A482" s="103"/>
      <c r="B482" s="103"/>
      <c r="C482" s="103"/>
      <c r="D482" s="103"/>
      <c r="E482" s="103"/>
      <c r="F482" s="103"/>
      <c r="G482" s="103"/>
      <c r="H482" s="103"/>
      <c r="I482" s="103"/>
      <c r="J482" s="103"/>
      <c r="K482" s="103"/>
      <c r="L482" s="103"/>
      <c r="M482" s="103"/>
      <c r="N482" s="103"/>
      <c r="O482" s="103"/>
      <c r="P482" s="103"/>
      <c r="Q482" s="103"/>
      <c r="R482" s="103"/>
      <c r="S482" s="103"/>
      <c r="T482" s="103"/>
      <c r="U482" s="103"/>
      <c r="V482" s="103"/>
      <c r="W482" s="103"/>
      <c r="X482" s="103"/>
      <c r="Y482" s="157"/>
      <c r="Z482" s="157"/>
    </row>
    <row r="483" spans="1:26">
      <c r="A483" s="103"/>
      <c r="B483" s="103"/>
      <c r="C483" s="103"/>
      <c r="D483" s="103"/>
      <c r="E483" s="103"/>
      <c r="F483" s="103"/>
      <c r="G483" s="103"/>
      <c r="H483" s="103"/>
      <c r="I483" s="103"/>
      <c r="J483" s="103"/>
      <c r="K483" s="103"/>
      <c r="L483" s="103"/>
      <c r="M483" s="103"/>
      <c r="N483" s="103"/>
      <c r="O483" s="103"/>
      <c r="P483" s="103"/>
      <c r="Q483" s="103"/>
      <c r="R483" s="103"/>
      <c r="S483" s="103"/>
      <c r="T483" s="103"/>
      <c r="U483" s="103"/>
      <c r="V483" s="103"/>
      <c r="W483" s="103"/>
      <c r="X483" s="103"/>
      <c r="Y483" s="157"/>
      <c r="Z483" s="157"/>
    </row>
    <row r="484" spans="1:26">
      <c r="A484" s="103"/>
      <c r="B484" s="103"/>
      <c r="C484" s="103"/>
      <c r="D484" s="103"/>
      <c r="E484" s="103"/>
      <c r="F484" s="103"/>
      <c r="G484" s="103"/>
      <c r="H484" s="103"/>
      <c r="I484" s="103"/>
      <c r="J484" s="103"/>
      <c r="K484" s="103"/>
      <c r="L484" s="103"/>
      <c r="M484" s="103"/>
      <c r="N484" s="103"/>
      <c r="O484" s="103"/>
      <c r="P484" s="103"/>
      <c r="Q484" s="103"/>
      <c r="R484" s="103"/>
      <c r="S484" s="103"/>
      <c r="T484" s="103"/>
      <c r="U484" s="103"/>
      <c r="V484" s="103"/>
      <c r="W484" s="103"/>
      <c r="X484" s="103"/>
      <c r="Y484" s="157"/>
      <c r="Z484" s="157"/>
    </row>
    <row r="485" spans="1:26">
      <c r="A485" s="103"/>
      <c r="B485" s="103"/>
      <c r="C485" s="103"/>
      <c r="D485" s="103"/>
      <c r="E485" s="103"/>
      <c r="F485" s="103"/>
      <c r="G485" s="103"/>
      <c r="H485" s="103"/>
      <c r="I485" s="103"/>
      <c r="J485" s="103"/>
      <c r="K485" s="103"/>
      <c r="L485" s="103"/>
      <c r="M485" s="103"/>
      <c r="N485" s="103"/>
      <c r="O485" s="103"/>
      <c r="P485" s="103"/>
      <c r="Q485" s="103"/>
      <c r="R485" s="103"/>
      <c r="S485" s="103"/>
      <c r="T485" s="103"/>
      <c r="U485" s="103"/>
      <c r="V485" s="103"/>
      <c r="W485" s="103"/>
      <c r="X485" s="103"/>
      <c r="Y485" s="157"/>
      <c r="Z485" s="157"/>
    </row>
    <row r="486" spans="1:26">
      <c r="A486" s="103"/>
      <c r="B486" s="103"/>
      <c r="C486" s="103"/>
      <c r="D486" s="103"/>
      <c r="E486" s="103"/>
      <c r="F486" s="103"/>
      <c r="G486" s="103"/>
      <c r="H486" s="103"/>
      <c r="I486" s="103"/>
      <c r="J486" s="103"/>
      <c r="K486" s="103"/>
      <c r="L486" s="103"/>
      <c r="M486" s="103"/>
      <c r="N486" s="103"/>
      <c r="O486" s="103"/>
      <c r="P486" s="103"/>
      <c r="Q486" s="103"/>
      <c r="R486" s="103"/>
      <c r="S486" s="103"/>
      <c r="T486" s="103"/>
      <c r="U486" s="103"/>
      <c r="V486" s="103"/>
      <c r="W486" s="103"/>
      <c r="X486" s="103"/>
      <c r="Y486" s="157"/>
      <c r="Z486" s="157"/>
    </row>
    <row r="487" spans="1:26">
      <c r="A487" s="103"/>
      <c r="B487" s="103"/>
      <c r="C487" s="103"/>
      <c r="D487" s="103"/>
      <c r="E487" s="103"/>
      <c r="F487" s="103"/>
      <c r="G487" s="103"/>
      <c r="H487" s="103"/>
      <c r="I487" s="103"/>
      <c r="J487" s="103"/>
      <c r="K487" s="103"/>
      <c r="L487" s="103"/>
      <c r="M487" s="103"/>
      <c r="N487" s="103"/>
      <c r="O487" s="103"/>
      <c r="P487" s="103"/>
      <c r="Q487" s="103"/>
      <c r="R487" s="103"/>
      <c r="S487" s="103"/>
      <c r="T487" s="103"/>
      <c r="U487" s="103"/>
      <c r="V487" s="103"/>
      <c r="W487" s="103"/>
      <c r="X487" s="103"/>
      <c r="Y487" s="157"/>
      <c r="Z487" s="157"/>
    </row>
    <row r="488" spans="1:26">
      <c r="A488" s="103"/>
      <c r="B488" s="103"/>
      <c r="C488" s="103"/>
      <c r="D488" s="103"/>
      <c r="E488" s="103"/>
      <c r="F488" s="103"/>
      <c r="G488" s="103"/>
      <c r="H488" s="103"/>
      <c r="I488" s="103"/>
      <c r="J488" s="103"/>
      <c r="K488" s="103"/>
      <c r="L488" s="103"/>
      <c r="M488" s="103"/>
      <c r="N488" s="103"/>
      <c r="O488" s="103"/>
      <c r="P488" s="103"/>
      <c r="Q488" s="103"/>
      <c r="R488" s="103"/>
      <c r="S488" s="103"/>
      <c r="T488" s="103"/>
      <c r="U488" s="103"/>
      <c r="V488" s="103"/>
      <c r="W488" s="103"/>
      <c r="X488" s="103"/>
      <c r="Y488" s="157"/>
      <c r="Z488" s="157"/>
    </row>
    <row r="489" spans="1:26">
      <c r="A489" s="103"/>
      <c r="B489" s="103"/>
      <c r="C489" s="103"/>
      <c r="D489" s="103"/>
      <c r="E489" s="103"/>
      <c r="F489" s="103"/>
      <c r="G489" s="103"/>
      <c r="H489" s="103"/>
      <c r="I489" s="103"/>
      <c r="J489" s="103"/>
      <c r="K489" s="103"/>
      <c r="L489" s="103"/>
      <c r="M489" s="103"/>
      <c r="N489" s="103"/>
      <c r="O489" s="103"/>
      <c r="P489" s="103"/>
      <c r="Q489" s="103"/>
      <c r="R489" s="103"/>
      <c r="S489" s="103"/>
      <c r="T489" s="103"/>
      <c r="U489" s="103"/>
      <c r="V489" s="103"/>
      <c r="W489" s="103"/>
      <c r="X489" s="103"/>
      <c r="Y489" s="157"/>
      <c r="Z489" s="157"/>
    </row>
    <row r="490" spans="1:26">
      <c r="A490" s="103"/>
      <c r="B490" s="103"/>
      <c r="C490" s="103"/>
      <c r="D490" s="103"/>
      <c r="E490" s="103"/>
      <c r="F490" s="103"/>
      <c r="G490" s="103"/>
      <c r="H490" s="103"/>
      <c r="I490" s="103"/>
      <c r="J490" s="103"/>
      <c r="K490" s="103"/>
      <c r="L490" s="103"/>
      <c r="M490" s="103"/>
      <c r="N490" s="103"/>
      <c r="O490" s="103"/>
      <c r="P490" s="103"/>
      <c r="Q490" s="103"/>
      <c r="R490" s="103"/>
      <c r="S490" s="103"/>
      <c r="T490" s="103"/>
      <c r="U490" s="103"/>
      <c r="V490" s="103"/>
      <c r="W490" s="103"/>
      <c r="X490" s="103"/>
      <c r="Y490" s="157"/>
      <c r="Z490" s="157"/>
    </row>
    <row r="491" spans="1:26">
      <c r="A491" s="103"/>
      <c r="B491" s="103"/>
      <c r="C491" s="103"/>
      <c r="D491" s="103"/>
      <c r="E491" s="103"/>
      <c r="F491" s="103"/>
      <c r="G491" s="103"/>
      <c r="H491" s="103"/>
      <c r="I491" s="103"/>
      <c r="J491" s="103"/>
      <c r="K491" s="103"/>
      <c r="L491" s="103"/>
      <c r="M491" s="103"/>
      <c r="N491" s="103"/>
      <c r="O491" s="103"/>
      <c r="P491" s="103"/>
      <c r="Q491" s="103"/>
      <c r="R491" s="103"/>
      <c r="S491" s="103"/>
      <c r="T491" s="103"/>
      <c r="U491" s="103"/>
      <c r="V491" s="103"/>
      <c r="W491" s="103"/>
      <c r="X491" s="103"/>
      <c r="Y491" s="157"/>
      <c r="Z491" s="157"/>
    </row>
    <row r="492" spans="1:26">
      <c r="A492" s="103"/>
      <c r="B492" s="103"/>
      <c r="C492" s="103"/>
      <c r="D492" s="103"/>
      <c r="E492" s="103"/>
      <c r="F492" s="103"/>
      <c r="G492" s="103"/>
      <c r="H492" s="103"/>
      <c r="I492" s="103"/>
      <c r="J492" s="103"/>
      <c r="K492" s="103"/>
      <c r="L492" s="103"/>
      <c r="M492" s="103"/>
      <c r="N492" s="103"/>
      <c r="O492" s="103"/>
      <c r="P492" s="103"/>
      <c r="Q492" s="103"/>
      <c r="R492" s="103"/>
      <c r="S492" s="103"/>
      <c r="T492" s="103"/>
      <c r="U492" s="103"/>
      <c r="V492" s="103"/>
      <c r="W492" s="103"/>
      <c r="X492" s="103"/>
      <c r="Y492" s="157"/>
      <c r="Z492" s="157"/>
    </row>
    <row r="493" spans="1:26">
      <c r="A493" s="103"/>
      <c r="B493" s="103"/>
      <c r="C493" s="103"/>
      <c r="D493" s="103"/>
      <c r="E493" s="103"/>
      <c r="F493" s="103"/>
      <c r="G493" s="103"/>
      <c r="H493" s="103"/>
      <c r="I493" s="103"/>
      <c r="J493" s="103"/>
      <c r="K493" s="103"/>
      <c r="L493" s="103"/>
      <c r="M493" s="103"/>
      <c r="N493" s="103"/>
      <c r="O493" s="103"/>
      <c r="P493" s="103"/>
      <c r="Q493" s="103"/>
      <c r="R493" s="103"/>
      <c r="S493" s="103"/>
      <c r="T493" s="103"/>
      <c r="U493" s="103"/>
      <c r="V493" s="103"/>
      <c r="W493" s="103"/>
      <c r="X493" s="103"/>
      <c r="Y493" s="157"/>
      <c r="Z493" s="157"/>
    </row>
    <row r="494" spans="1:26">
      <c r="A494" s="103"/>
      <c r="B494" s="103"/>
      <c r="C494" s="103"/>
      <c r="D494" s="103"/>
      <c r="E494" s="103"/>
      <c r="F494" s="103"/>
      <c r="G494" s="103"/>
      <c r="H494" s="103"/>
      <c r="I494" s="103"/>
      <c r="J494" s="103"/>
      <c r="K494" s="103"/>
      <c r="L494" s="103"/>
      <c r="M494" s="103"/>
      <c r="N494" s="103"/>
      <c r="O494" s="103"/>
      <c r="P494" s="103"/>
      <c r="Q494" s="103"/>
      <c r="R494" s="103"/>
      <c r="S494" s="103"/>
      <c r="T494" s="103"/>
      <c r="U494" s="103"/>
      <c r="V494" s="103"/>
      <c r="W494" s="103"/>
      <c r="X494" s="103"/>
      <c r="Y494" s="157"/>
      <c r="Z494" s="157"/>
    </row>
    <row r="495" spans="1:26">
      <c r="A495" s="103"/>
      <c r="B495" s="103"/>
      <c r="C495" s="103"/>
      <c r="D495" s="103"/>
      <c r="E495" s="103"/>
      <c r="F495" s="103"/>
      <c r="G495" s="103"/>
      <c r="H495" s="103"/>
      <c r="I495" s="103"/>
      <c r="J495" s="103"/>
      <c r="K495" s="103"/>
      <c r="L495" s="103"/>
      <c r="M495" s="103"/>
      <c r="N495" s="103"/>
      <c r="O495" s="103"/>
      <c r="P495" s="103"/>
      <c r="Q495" s="103"/>
      <c r="R495" s="103"/>
      <c r="S495" s="103"/>
      <c r="T495" s="103"/>
      <c r="U495" s="103"/>
      <c r="V495" s="103"/>
      <c r="W495" s="103"/>
      <c r="X495" s="103"/>
      <c r="Y495" s="157"/>
      <c r="Z495" s="157"/>
    </row>
    <row r="496" spans="1:26">
      <c r="A496" s="103"/>
      <c r="B496" s="103"/>
      <c r="C496" s="103"/>
      <c r="D496" s="103"/>
      <c r="E496" s="103"/>
      <c r="F496" s="103"/>
      <c r="G496" s="103"/>
      <c r="H496" s="103"/>
      <c r="I496" s="103"/>
      <c r="J496" s="103"/>
      <c r="K496" s="103"/>
      <c r="L496" s="103"/>
      <c r="M496" s="103"/>
      <c r="N496" s="103"/>
      <c r="O496" s="103"/>
      <c r="P496" s="103"/>
      <c r="Q496" s="103"/>
      <c r="R496" s="103"/>
      <c r="S496" s="103"/>
      <c r="T496" s="103"/>
      <c r="U496" s="103"/>
      <c r="V496" s="103"/>
      <c r="W496" s="103"/>
      <c r="X496" s="103"/>
      <c r="Y496" s="157"/>
      <c r="Z496" s="157"/>
    </row>
    <row r="497" spans="1:26">
      <c r="A497" s="103"/>
      <c r="B497" s="103"/>
      <c r="C497" s="103"/>
      <c r="D497" s="103"/>
      <c r="E497" s="103"/>
      <c r="F497" s="103"/>
      <c r="G497" s="103"/>
      <c r="H497" s="103"/>
      <c r="I497" s="103"/>
      <c r="J497" s="103"/>
      <c r="K497" s="103"/>
      <c r="L497" s="103"/>
      <c r="M497" s="103"/>
      <c r="N497" s="103"/>
      <c r="O497" s="103"/>
      <c r="P497" s="103"/>
      <c r="Q497" s="103"/>
      <c r="R497" s="103"/>
      <c r="S497" s="103"/>
      <c r="T497" s="103"/>
      <c r="U497" s="103"/>
      <c r="V497" s="103"/>
      <c r="W497" s="103"/>
      <c r="X497" s="103"/>
      <c r="Y497" s="157"/>
      <c r="Z497" s="157"/>
    </row>
    <row r="498" spans="1:26">
      <c r="A498" s="103"/>
      <c r="B498" s="103"/>
      <c r="C498" s="103"/>
      <c r="D498" s="103"/>
      <c r="E498" s="103"/>
      <c r="F498" s="103"/>
      <c r="G498" s="103"/>
      <c r="H498" s="103"/>
      <c r="I498" s="103"/>
      <c r="J498" s="103"/>
      <c r="K498" s="103"/>
      <c r="L498" s="103"/>
      <c r="M498" s="103"/>
      <c r="N498" s="103"/>
      <c r="O498" s="103"/>
      <c r="P498" s="103"/>
      <c r="Q498" s="103"/>
      <c r="R498" s="103"/>
      <c r="S498" s="103"/>
      <c r="T498" s="103"/>
      <c r="U498" s="103"/>
      <c r="V498" s="103"/>
      <c r="W498" s="103"/>
      <c r="X498" s="103"/>
      <c r="Y498" s="157"/>
      <c r="Z498" s="157"/>
    </row>
    <row r="499" spans="1:26">
      <c r="A499" s="103"/>
      <c r="B499" s="103"/>
      <c r="C499" s="103"/>
      <c r="D499" s="103"/>
      <c r="E499" s="103"/>
      <c r="F499" s="103"/>
      <c r="G499" s="103"/>
      <c r="H499" s="103"/>
      <c r="I499" s="103"/>
      <c r="J499" s="103"/>
      <c r="K499" s="103"/>
      <c r="L499" s="103"/>
      <c r="M499" s="103"/>
      <c r="N499" s="103"/>
      <c r="O499" s="103"/>
      <c r="P499" s="103"/>
      <c r="Q499" s="103"/>
      <c r="R499" s="103"/>
      <c r="S499" s="103"/>
      <c r="T499" s="103"/>
      <c r="U499" s="103"/>
      <c r="V499" s="103"/>
      <c r="W499" s="103"/>
      <c r="X499" s="103"/>
      <c r="Y499" s="157"/>
      <c r="Z499" s="157"/>
    </row>
    <row r="500" spans="1:26">
      <c r="A500" s="103"/>
      <c r="B500" s="103"/>
      <c r="C500" s="103"/>
      <c r="D500" s="103"/>
      <c r="E500" s="103"/>
      <c r="F500" s="103"/>
      <c r="G500" s="103"/>
      <c r="H500" s="103"/>
      <c r="I500" s="103"/>
      <c r="J500" s="103"/>
      <c r="K500" s="103"/>
      <c r="L500" s="103"/>
      <c r="M500" s="103"/>
      <c r="N500" s="103"/>
      <c r="O500" s="103"/>
      <c r="P500" s="103"/>
      <c r="Q500" s="103"/>
      <c r="R500" s="103"/>
      <c r="S500" s="103"/>
      <c r="T500" s="103"/>
      <c r="U500" s="103"/>
      <c r="V500" s="103"/>
      <c r="W500" s="103"/>
      <c r="X500" s="103"/>
      <c r="Y500" s="157"/>
      <c r="Z500" s="157"/>
    </row>
    <row r="501" spans="1:26">
      <c r="A501" s="103"/>
      <c r="B501" s="103"/>
      <c r="C501" s="103"/>
      <c r="D501" s="103"/>
      <c r="E501" s="103"/>
      <c r="F501" s="103"/>
      <c r="G501" s="103"/>
      <c r="H501" s="103"/>
      <c r="I501" s="103"/>
      <c r="J501" s="103"/>
      <c r="K501" s="103"/>
      <c r="L501" s="103"/>
      <c r="M501" s="103"/>
      <c r="N501" s="103"/>
      <c r="O501" s="103"/>
      <c r="P501" s="103"/>
      <c r="Q501" s="103"/>
      <c r="R501" s="103"/>
      <c r="S501" s="103"/>
      <c r="T501" s="103"/>
      <c r="U501" s="103"/>
      <c r="V501" s="103"/>
      <c r="W501" s="103"/>
      <c r="X501" s="103"/>
      <c r="Y501" s="157"/>
      <c r="Z501" s="157"/>
    </row>
    <row r="502" spans="1:26">
      <c r="A502" s="103"/>
      <c r="B502" s="103"/>
      <c r="C502" s="103"/>
      <c r="D502" s="103"/>
      <c r="E502" s="103"/>
      <c r="F502" s="103"/>
      <c r="G502" s="103"/>
      <c r="H502" s="103"/>
      <c r="I502" s="103"/>
      <c r="J502" s="103"/>
      <c r="K502" s="103"/>
      <c r="L502" s="103"/>
      <c r="M502" s="103"/>
      <c r="N502" s="103"/>
      <c r="O502" s="103"/>
      <c r="P502" s="103"/>
      <c r="Q502" s="103"/>
      <c r="R502" s="103"/>
      <c r="S502" s="103"/>
      <c r="T502" s="103"/>
      <c r="U502" s="103"/>
      <c r="V502" s="103"/>
      <c r="W502" s="103"/>
      <c r="X502" s="103"/>
      <c r="Y502" s="157"/>
      <c r="Z502" s="157"/>
    </row>
    <row r="503" spans="1:26">
      <c r="A503" s="103"/>
      <c r="B503" s="103"/>
      <c r="C503" s="103"/>
      <c r="D503" s="103"/>
      <c r="E503" s="103"/>
      <c r="F503" s="103"/>
      <c r="G503" s="103"/>
      <c r="H503" s="103"/>
      <c r="I503" s="103"/>
      <c r="J503" s="103"/>
      <c r="K503" s="103"/>
      <c r="L503" s="103"/>
      <c r="M503" s="103"/>
      <c r="N503" s="103"/>
      <c r="O503" s="103"/>
      <c r="P503" s="103"/>
      <c r="Q503" s="103"/>
      <c r="R503" s="103"/>
      <c r="S503" s="103"/>
      <c r="T503" s="103"/>
      <c r="U503" s="103"/>
      <c r="V503" s="103"/>
      <c r="W503" s="103"/>
      <c r="X503" s="103"/>
      <c r="Y503" s="157"/>
      <c r="Z503" s="157"/>
    </row>
    <row r="504" spans="1:26">
      <c r="A504" s="103"/>
      <c r="B504" s="103"/>
      <c r="C504" s="103"/>
      <c r="D504" s="103"/>
      <c r="E504" s="103"/>
      <c r="F504" s="103"/>
      <c r="G504" s="103"/>
      <c r="H504" s="103"/>
      <c r="I504" s="103"/>
      <c r="J504" s="103"/>
      <c r="K504" s="103"/>
      <c r="L504" s="103"/>
      <c r="M504" s="103"/>
      <c r="N504" s="103"/>
      <c r="O504" s="103"/>
      <c r="P504" s="103"/>
      <c r="Q504" s="103"/>
      <c r="R504" s="103"/>
      <c r="S504" s="103"/>
      <c r="T504" s="103"/>
      <c r="U504" s="103"/>
      <c r="V504" s="103"/>
      <c r="W504" s="103"/>
      <c r="X504" s="103"/>
      <c r="Y504" s="157"/>
      <c r="Z504" s="157"/>
    </row>
    <row r="505" spans="1:26">
      <c r="A505" s="103"/>
      <c r="B505" s="103"/>
      <c r="C505" s="103"/>
      <c r="D505" s="103"/>
      <c r="E505" s="103"/>
      <c r="F505" s="103"/>
      <c r="G505" s="103"/>
      <c r="H505" s="103"/>
      <c r="I505" s="103"/>
      <c r="J505" s="103"/>
      <c r="K505" s="103"/>
      <c r="L505" s="103"/>
      <c r="M505" s="103"/>
      <c r="N505" s="103"/>
      <c r="O505" s="103"/>
      <c r="P505" s="103"/>
      <c r="Q505" s="103"/>
      <c r="R505" s="103"/>
      <c r="S505" s="103"/>
      <c r="T505" s="103"/>
      <c r="U505" s="103"/>
      <c r="V505" s="103"/>
      <c r="W505" s="103"/>
      <c r="X505" s="103"/>
      <c r="Y505" s="157"/>
      <c r="Z505" s="157"/>
    </row>
    <row r="506" spans="1:26">
      <c r="A506" s="103"/>
      <c r="B506" s="103"/>
      <c r="C506" s="103"/>
      <c r="D506" s="103"/>
      <c r="E506" s="103"/>
      <c r="F506" s="103"/>
      <c r="G506" s="103"/>
      <c r="H506" s="103"/>
      <c r="I506" s="103"/>
      <c r="J506" s="103"/>
      <c r="K506" s="103"/>
      <c r="L506" s="103"/>
      <c r="M506" s="103"/>
      <c r="N506" s="103"/>
      <c r="O506" s="103"/>
      <c r="P506" s="103"/>
      <c r="Q506" s="103"/>
      <c r="R506" s="103"/>
      <c r="S506" s="103"/>
      <c r="T506" s="103"/>
      <c r="U506" s="103"/>
      <c r="V506" s="103"/>
      <c r="W506" s="103"/>
      <c r="X506" s="103"/>
      <c r="Y506" s="157"/>
      <c r="Z506" s="157"/>
    </row>
    <row r="507" spans="1:26">
      <c r="A507" s="103"/>
      <c r="B507" s="103"/>
      <c r="C507" s="103"/>
      <c r="D507" s="103"/>
      <c r="E507" s="103"/>
      <c r="F507" s="103"/>
      <c r="G507" s="103"/>
      <c r="H507" s="103"/>
      <c r="I507" s="103"/>
      <c r="J507" s="103"/>
      <c r="K507" s="103"/>
      <c r="L507" s="103"/>
      <c r="M507" s="103"/>
      <c r="N507" s="103"/>
      <c r="O507" s="103"/>
      <c r="P507" s="103"/>
      <c r="Q507" s="103"/>
      <c r="R507" s="103"/>
      <c r="S507" s="103"/>
      <c r="T507" s="103"/>
      <c r="U507" s="103"/>
      <c r="V507" s="103"/>
      <c r="W507" s="103"/>
      <c r="X507" s="103"/>
      <c r="Y507" s="157"/>
      <c r="Z507" s="157"/>
    </row>
    <row r="508" spans="1:26">
      <c r="A508" s="103"/>
      <c r="B508" s="103"/>
      <c r="C508" s="103"/>
      <c r="D508" s="103"/>
      <c r="E508" s="103"/>
      <c r="F508" s="103"/>
      <c r="G508" s="103"/>
      <c r="H508" s="103"/>
      <c r="I508" s="103"/>
      <c r="J508" s="103"/>
      <c r="K508" s="103"/>
      <c r="L508" s="103"/>
      <c r="M508" s="103"/>
      <c r="N508" s="103"/>
      <c r="O508" s="103"/>
      <c r="P508" s="103"/>
      <c r="Q508" s="103"/>
      <c r="R508" s="103"/>
      <c r="S508" s="103"/>
      <c r="T508" s="103"/>
      <c r="U508" s="103"/>
      <c r="V508" s="103"/>
      <c r="W508" s="103"/>
      <c r="X508" s="103"/>
      <c r="Y508" s="157"/>
      <c r="Z508" s="157"/>
    </row>
    <row r="509" spans="1:26">
      <c r="A509" s="103"/>
      <c r="B509" s="103"/>
      <c r="C509" s="103"/>
      <c r="D509" s="103"/>
      <c r="E509" s="103"/>
      <c r="F509" s="103"/>
      <c r="G509" s="103"/>
      <c r="H509" s="103"/>
      <c r="I509" s="103"/>
      <c r="J509" s="103"/>
      <c r="K509" s="103"/>
      <c r="L509" s="103"/>
      <c r="M509" s="103"/>
      <c r="N509" s="103"/>
      <c r="O509" s="103"/>
      <c r="P509" s="103"/>
      <c r="Q509" s="103"/>
      <c r="R509" s="103"/>
      <c r="S509" s="103"/>
      <c r="T509" s="103"/>
      <c r="U509" s="103"/>
      <c r="V509" s="103"/>
      <c r="W509" s="103"/>
      <c r="X509" s="103"/>
      <c r="Y509" s="157"/>
      <c r="Z509" s="157"/>
    </row>
    <row r="510" spans="1:26">
      <c r="A510" s="103"/>
      <c r="B510" s="103"/>
      <c r="C510" s="103"/>
      <c r="D510" s="103"/>
      <c r="E510" s="103"/>
      <c r="F510" s="103"/>
      <c r="G510" s="103"/>
      <c r="H510" s="103"/>
      <c r="I510" s="103"/>
      <c r="J510" s="103"/>
      <c r="K510" s="103"/>
      <c r="L510" s="103"/>
      <c r="M510" s="103"/>
      <c r="N510" s="103"/>
      <c r="O510" s="103"/>
      <c r="P510" s="103"/>
      <c r="Q510" s="103"/>
      <c r="R510" s="103"/>
      <c r="S510" s="103"/>
      <c r="T510" s="103"/>
      <c r="U510" s="103"/>
      <c r="V510" s="103"/>
      <c r="W510" s="103"/>
      <c r="X510" s="103"/>
      <c r="Y510" s="157"/>
      <c r="Z510" s="157"/>
    </row>
    <row r="511" spans="1:26">
      <c r="A511" s="103"/>
      <c r="B511" s="103"/>
      <c r="C511" s="103"/>
      <c r="D511" s="103"/>
      <c r="E511" s="103"/>
      <c r="F511" s="103"/>
      <c r="G511" s="103"/>
      <c r="H511" s="103"/>
      <c r="I511" s="103"/>
      <c r="J511" s="103"/>
      <c r="K511" s="103"/>
      <c r="L511" s="103"/>
      <c r="M511" s="103"/>
      <c r="N511" s="103"/>
      <c r="O511" s="103"/>
      <c r="P511" s="103"/>
      <c r="Q511" s="103"/>
      <c r="R511" s="103"/>
      <c r="S511" s="103"/>
      <c r="T511" s="103"/>
      <c r="U511" s="103"/>
      <c r="V511" s="103"/>
      <c r="W511" s="103"/>
      <c r="X511" s="103"/>
      <c r="Y511" s="157"/>
      <c r="Z511" s="157"/>
    </row>
    <row r="512" spans="1:26">
      <c r="A512" s="103"/>
      <c r="B512" s="103"/>
      <c r="C512" s="103"/>
      <c r="D512" s="103"/>
      <c r="E512" s="103"/>
      <c r="F512" s="103"/>
      <c r="G512" s="103"/>
      <c r="H512" s="103"/>
      <c r="I512" s="103"/>
      <c r="J512" s="103"/>
      <c r="K512" s="103"/>
      <c r="L512" s="103"/>
      <c r="M512" s="103"/>
      <c r="N512" s="103"/>
      <c r="O512" s="103"/>
      <c r="P512" s="103"/>
      <c r="Q512" s="103"/>
      <c r="R512" s="103"/>
      <c r="S512" s="103"/>
      <c r="T512" s="103"/>
      <c r="U512" s="103"/>
      <c r="V512" s="103"/>
      <c r="W512" s="103"/>
      <c r="X512" s="103"/>
      <c r="Y512" s="157"/>
      <c r="Z512" s="157"/>
    </row>
    <row r="513" spans="1:26">
      <c r="A513" s="103"/>
      <c r="B513" s="103"/>
      <c r="C513" s="103"/>
      <c r="D513" s="103"/>
      <c r="E513" s="103"/>
      <c r="F513" s="103"/>
      <c r="G513" s="103"/>
      <c r="H513" s="103"/>
      <c r="I513" s="103"/>
      <c r="J513" s="103"/>
      <c r="K513" s="103"/>
      <c r="L513" s="103"/>
      <c r="M513" s="103"/>
      <c r="N513" s="103"/>
      <c r="O513" s="103"/>
      <c r="P513" s="103"/>
      <c r="Q513" s="103"/>
      <c r="R513" s="103"/>
      <c r="S513" s="103"/>
      <c r="T513" s="103"/>
      <c r="U513" s="103"/>
      <c r="V513" s="103"/>
      <c r="W513" s="103"/>
      <c r="X513" s="103"/>
      <c r="Y513" s="157"/>
      <c r="Z513" s="157"/>
    </row>
    <row r="514" spans="1:26">
      <c r="A514" s="103"/>
      <c r="B514" s="103"/>
      <c r="C514" s="103"/>
      <c r="D514" s="103"/>
      <c r="E514" s="103"/>
      <c r="F514" s="103"/>
      <c r="G514" s="103"/>
      <c r="H514" s="103"/>
      <c r="I514" s="103"/>
      <c r="J514" s="103"/>
      <c r="K514" s="103"/>
      <c r="L514" s="103"/>
      <c r="M514" s="103"/>
      <c r="N514" s="103"/>
      <c r="O514" s="103"/>
      <c r="P514" s="103"/>
      <c r="Q514" s="103"/>
      <c r="R514" s="103"/>
      <c r="S514" s="103"/>
      <c r="T514" s="103"/>
      <c r="U514" s="103"/>
      <c r="V514" s="103"/>
      <c r="W514" s="103"/>
      <c r="X514" s="103"/>
      <c r="Y514" s="157"/>
      <c r="Z514" s="157"/>
    </row>
    <row r="515" spans="1:26">
      <c r="A515" s="103"/>
      <c r="B515" s="103"/>
      <c r="C515" s="103"/>
      <c r="D515" s="103"/>
      <c r="E515" s="103"/>
      <c r="F515" s="103"/>
      <c r="G515" s="103"/>
      <c r="H515" s="103"/>
      <c r="I515" s="103"/>
      <c r="J515" s="103"/>
      <c r="K515" s="103"/>
      <c r="L515" s="103"/>
      <c r="M515" s="103"/>
      <c r="N515" s="103"/>
      <c r="O515" s="103"/>
      <c r="P515" s="103"/>
      <c r="Q515" s="103"/>
      <c r="R515" s="103"/>
      <c r="S515" s="103"/>
      <c r="T515" s="103"/>
      <c r="U515" s="103"/>
      <c r="V515" s="103"/>
      <c r="W515" s="103"/>
      <c r="X515" s="103"/>
      <c r="Y515" s="157"/>
      <c r="Z515" s="157"/>
    </row>
    <row r="516" spans="1:26">
      <c r="A516" s="103"/>
      <c r="B516" s="103"/>
      <c r="C516" s="103"/>
      <c r="D516" s="103"/>
      <c r="E516" s="103"/>
      <c r="F516" s="103"/>
      <c r="G516" s="103"/>
      <c r="H516" s="103"/>
      <c r="I516" s="103"/>
      <c r="J516" s="103"/>
      <c r="K516" s="103"/>
      <c r="L516" s="103"/>
      <c r="M516" s="103"/>
      <c r="N516" s="103"/>
      <c r="O516" s="103"/>
      <c r="P516" s="103"/>
      <c r="Q516" s="103"/>
      <c r="R516" s="103"/>
      <c r="S516" s="103"/>
      <c r="T516" s="103"/>
      <c r="U516" s="103"/>
      <c r="V516" s="103"/>
      <c r="W516" s="103"/>
      <c r="X516" s="103"/>
      <c r="Y516" s="157"/>
      <c r="Z516" s="157"/>
    </row>
    <row r="517" spans="1:26">
      <c r="A517" s="103"/>
      <c r="B517" s="103"/>
      <c r="C517" s="103"/>
      <c r="D517" s="103"/>
      <c r="E517" s="103"/>
      <c r="F517" s="103"/>
      <c r="G517" s="103"/>
      <c r="H517" s="103"/>
      <c r="I517" s="103"/>
      <c r="J517" s="103"/>
      <c r="K517" s="103"/>
      <c r="L517" s="103"/>
      <c r="M517" s="103"/>
      <c r="N517" s="103"/>
      <c r="O517" s="103"/>
      <c r="P517" s="103"/>
      <c r="Q517" s="103"/>
      <c r="R517" s="103"/>
      <c r="S517" s="103"/>
      <c r="T517" s="103"/>
      <c r="U517" s="103"/>
      <c r="V517" s="103"/>
      <c r="W517" s="103"/>
      <c r="X517" s="103"/>
      <c r="Y517" s="157"/>
      <c r="Z517" s="157"/>
    </row>
    <row r="518" spans="1:26">
      <c r="A518" s="103"/>
      <c r="B518" s="103"/>
      <c r="C518" s="103"/>
      <c r="D518" s="103"/>
      <c r="E518" s="103"/>
      <c r="F518" s="103"/>
      <c r="G518" s="103"/>
      <c r="H518" s="103"/>
      <c r="I518" s="103"/>
      <c r="J518" s="103"/>
      <c r="K518" s="103"/>
      <c r="L518" s="103"/>
      <c r="M518" s="103"/>
      <c r="N518" s="103"/>
      <c r="O518" s="103"/>
      <c r="P518" s="103"/>
      <c r="Q518" s="103"/>
      <c r="R518" s="103"/>
      <c r="S518" s="103"/>
      <c r="T518" s="103"/>
      <c r="U518" s="103"/>
      <c r="V518" s="103"/>
      <c r="W518" s="103"/>
      <c r="X518" s="103"/>
      <c r="Y518" s="157"/>
      <c r="Z518" s="157"/>
    </row>
    <row r="519" spans="1:26">
      <c r="A519" s="103"/>
      <c r="B519" s="103"/>
      <c r="C519" s="103"/>
      <c r="D519" s="103"/>
      <c r="E519" s="103"/>
      <c r="F519" s="103"/>
      <c r="G519" s="103"/>
      <c r="H519" s="103"/>
      <c r="I519" s="103"/>
      <c r="J519" s="103"/>
      <c r="K519" s="103"/>
      <c r="L519" s="103"/>
      <c r="M519" s="103"/>
      <c r="N519" s="103"/>
      <c r="O519" s="103"/>
      <c r="P519" s="103"/>
      <c r="Q519" s="103"/>
      <c r="R519" s="103"/>
      <c r="S519" s="103"/>
      <c r="T519" s="103"/>
      <c r="U519" s="103"/>
      <c r="V519" s="103"/>
      <c r="W519" s="103"/>
      <c r="X519" s="103"/>
      <c r="Y519" s="157"/>
      <c r="Z519" s="157"/>
    </row>
    <row r="520" spans="1:26">
      <c r="A520" s="103"/>
      <c r="B520" s="103"/>
      <c r="C520" s="103"/>
      <c r="D520" s="103"/>
      <c r="E520" s="103"/>
      <c r="F520" s="103"/>
      <c r="G520" s="103"/>
      <c r="H520" s="103"/>
      <c r="I520" s="103"/>
      <c r="J520" s="103"/>
      <c r="K520" s="103"/>
      <c r="L520" s="103"/>
      <c r="M520" s="103"/>
      <c r="N520" s="103"/>
      <c r="O520" s="103"/>
      <c r="P520" s="103"/>
      <c r="Q520" s="103"/>
      <c r="R520" s="103"/>
      <c r="S520" s="103"/>
      <c r="T520" s="103"/>
      <c r="U520" s="103"/>
      <c r="V520" s="103"/>
      <c r="W520" s="103"/>
      <c r="X520" s="103"/>
      <c r="Y520" s="157"/>
      <c r="Z520" s="157"/>
    </row>
    <row r="521" spans="1:26">
      <c r="A521" s="103"/>
      <c r="B521" s="103"/>
      <c r="C521" s="103"/>
      <c r="D521" s="103"/>
      <c r="E521" s="103"/>
      <c r="F521" s="103"/>
      <c r="G521" s="103"/>
      <c r="H521" s="103"/>
      <c r="I521" s="103"/>
      <c r="J521" s="103"/>
      <c r="K521" s="103"/>
      <c r="L521" s="103"/>
      <c r="M521" s="103"/>
      <c r="N521" s="103"/>
      <c r="O521" s="103"/>
      <c r="P521" s="103"/>
      <c r="Q521" s="103"/>
      <c r="R521" s="103"/>
      <c r="S521" s="103"/>
      <c r="T521" s="103"/>
      <c r="U521" s="103"/>
      <c r="V521" s="103"/>
      <c r="W521" s="103"/>
      <c r="X521" s="103"/>
      <c r="Y521" s="157"/>
      <c r="Z521" s="157"/>
    </row>
    <row r="522" spans="1:26">
      <c r="A522" s="103"/>
      <c r="B522" s="103"/>
      <c r="C522" s="103"/>
      <c r="D522" s="103"/>
      <c r="E522" s="103"/>
      <c r="F522" s="103"/>
      <c r="G522" s="103"/>
      <c r="H522" s="103"/>
      <c r="I522" s="103"/>
      <c r="J522" s="103"/>
      <c r="K522" s="103"/>
      <c r="L522" s="103"/>
      <c r="M522" s="103"/>
      <c r="N522" s="103"/>
      <c r="O522" s="103"/>
      <c r="P522" s="103"/>
      <c r="Q522" s="103"/>
      <c r="R522" s="103"/>
      <c r="S522" s="103"/>
      <c r="T522" s="103"/>
      <c r="U522" s="103"/>
      <c r="V522" s="103"/>
      <c r="W522" s="103"/>
      <c r="X522" s="103"/>
      <c r="Y522" s="157"/>
      <c r="Z522" s="157"/>
    </row>
    <row r="523" spans="1:26">
      <c r="A523" s="103"/>
      <c r="B523" s="103"/>
      <c r="C523" s="103"/>
      <c r="D523" s="103"/>
      <c r="E523" s="103"/>
      <c r="F523" s="103"/>
      <c r="G523" s="103"/>
      <c r="H523" s="103"/>
      <c r="I523" s="103"/>
      <c r="J523" s="103"/>
      <c r="K523" s="103"/>
      <c r="L523" s="103"/>
      <c r="M523" s="103"/>
      <c r="N523" s="103"/>
      <c r="O523" s="103"/>
      <c r="P523" s="103"/>
      <c r="Q523" s="103"/>
      <c r="R523" s="103"/>
      <c r="S523" s="103"/>
      <c r="T523" s="103"/>
      <c r="U523" s="103"/>
      <c r="V523" s="103"/>
      <c r="W523" s="103"/>
      <c r="X523" s="103"/>
      <c r="Y523" s="157"/>
      <c r="Z523" s="157"/>
    </row>
    <row r="524" spans="1:26">
      <c r="A524" s="103"/>
      <c r="B524" s="103"/>
      <c r="C524" s="103"/>
      <c r="D524" s="103"/>
      <c r="E524" s="103"/>
      <c r="F524" s="103"/>
      <c r="G524" s="103"/>
      <c r="H524" s="103"/>
      <c r="I524" s="103"/>
      <c r="J524" s="103"/>
      <c r="K524" s="103"/>
      <c r="L524" s="103"/>
      <c r="M524" s="103"/>
      <c r="N524" s="103"/>
      <c r="O524" s="103"/>
      <c r="P524" s="103"/>
      <c r="Q524" s="103"/>
      <c r="R524" s="103"/>
      <c r="S524" s="103"/>
      <c r="T524" s="103"/>
      <c r="U524" s="103"/>
      <c r="V524" s="103"/>
      <c r="W524" s="103"/>
      <c r="X524" s="103"/>
      <c r="Y524" s="157"/>
      <c r="Z524" s="157"/>
    </row>
    <row r="525" spans="1:26">
      <c r="A525" s="103"/>
      <c r="B525" s="103"/>
      <c r="C525" s="103"/>
      <c r="D525" s="103"/>
      <c r="E525" s="103"/>
      <c r="F525" s="103"/>
      <c r="G525" s="103"/>
      <c r="H525" s="103"/>
      <c r="I525" s="103"/>
      <c r="J525" s="103"/>
      <c r="K525" s="103"/>
      <c r="L525" s="103"/>
      <c r="M525" s="103"/>
      <c r="N525" s="103"/>
      <c r="O525" s="103"/>
      <c r="P525" s="103"/>
      <c r="Q525" s="103"/>
      <c r="R525" s="103"/>
      <c r="S525" s="103"/>
      <c r="T525" s="103"/>
      <c r="U525" s="103"/>
      <c r="V525" s="103"/>
      <c r="W525" s="103"/>
      <c r="X525" s="103"/>
      <c r="Y525" s="157"/>
      <c r="Z525" s="157"/>
    </row>
    <row r="526" spans="1:26">
      <c r="A526" s="103"/>
      <c r="B526" s="103"/>
      <c r="C526" s="103"/>
      <c r="D526" s="103"/>
      <c r="E526" s="103"/>
      <c r="F526" s="103"/>
      <c r="G526" s="103"/>
      <c r="H526" s="103"/>
      <c r="I526" s="103"/>
      <c r="J526" s="103"/>
      <c r="K526" s="103"/>
      <c r="L526" s="103"/>
      <c r="M526" s="103"/>
      <c r="N526" s="103"/>
      <c r="O526" s="103"/>
      <c r="P526" s="103"/>
      <c r="Q526" s="103"/>
      <c r="R526" s="103"/>
      <c r="S526" s="103"/>
      <c r="T526" s="103"/>
      <c r="U526" s="103"/>
      <c r="V526" s="103"/>
      <c r="W526" s="103"/>
      <c r="X526" s="103"/>
      <c r="Y526" s="157"/>
      <c r="Z526" s="157"/>
    </row>
    <row r="527" spans="1:26">
      <c r="A527" s="103"/>
      <c r="B527" s="103"/>
      <c r="C527" s="103"/>
      <c r="D527" s="103"/>
      <c r="E527" s="103"/>
      <c r="F527" s="103"/>
      <c r="G527" s="103"/>
      <c r="H527" s="103"/>
      <c r="I527" s="103"/>
      <c r="J527" s="103"/>
      <c r="K527" s="103"/>
      <c r="L527" s="103"/>
      <c r="M527" s="103"/>
      <c r="N527" s="103"/>
      <c r="O527" s="103"/>
      <c r="P527" s="103"/>
      <c r="Q527" s="103"/>
      <c r="R527" s="103"/>
      <c r="S527" s="103"/>
      <c r="T527" s="103"/>
      <c r="U527" s="103"/>
      <c r="V527" s="103"/>
      <c r="W527" s="103"/>
      <c r="X527" s="103"/>
      <c r="Y527" s="157"/>
      <c r="Z527" s="157"/>
    </row>
    <row r="528" spans="1:26">
      <c r="A528" s="103"/>
      <c r="B528" s="103"/>
      <c r="C528" s="103"/>
      <c r="D528" s="103"/>
      <c r="E528" s="103"/>
      <c r="F528" s="103"/>
      <c r="G528" s="103"/>
      <c r="H528" s="103"/>
      <c r="I528" s="103"/>
      <c r="J528" s="103"/>
      <c r="K528" s="103"/>
      <c r="L528" s="103"/>
      <c r="M528" s="103"/>
      <c r="N528" s="103"/>
      <c r="O528" s="103"/>
      <c r="P528" s="103"/>
      <c r="Q528" s="103"/>
      <c r="R528" s="103"/>
      <c r="S528" s="103"/>
      <c r="T528" s="103"/>
      <c r="U528" s="103"/>
      <c r="V528" s="103"/>
      <c r="W528" s="103"/>
      <c r="X528" s="103"/>
      <c r="Y528" s="157"/>
      <c r="Z528" s="157"/>
    </row>
    <row r="529" spans="1:26">
      <c r="A529" s="103"/>
      <c r="B529" s="103"/>
      <c r="C529" s="103"/>
      <c r="D529" s="103"/>
      <c r="E529" s="103"/>
      <c r="F529" s="103"/>
      <c r="G529" s="103"/>
      <c r="H529" s="103"/>
      <c r="I529" s="103"/>
      <c r="J529" s="103"/>
      <c r="K529" s="103"/>
      <c r="L529" s="103"/>
      <c r="M529" s="103"/>
      <c r="N529" s="103"/>
      <c r="O529" s="103"/>
      <c r="P529" s="103"/>
      <c r="Q529" s="103"/>
      <c r="R529" s="103"/>
      <c r="S529" s="103"/>
      <c r="T529" s="103"/>
      <c r="U529" s="103"/>
      <c r="V529" s="103"/>
      <c r="W529" s="103"/>
      <c r="X529" s="103"/>
      <c r="Y529" s="157"/>
      <c r="Z529" s="157"/>
    </row>
    <row r="530" spans="1:26">
      <c r="A530" s="103"/>
      <c r="B530" s="103"/>
      <c r="C530" s="103"/>
      <c r="D530" s="103"/>
      <c r="E530" s="103"/>
      <c r="F530" s="103"/>
      <c r="G530" s="103"/>
      <c r="H530" s="103"/>
      <c r="I530" s="103"/>
      <c r="J530" s="103"/>
      <c r="K530" s="103"/>
      <c r="L530" s="103"/>
      <c r="M530" s="103"/>
      <c r="N530" s="103"/>
      <c r="O530" s="103"/>
      <c r="P530" s="103"/>
      <c r="Q530" s="103"/>
      <c r="R530" s="103"/>
      <c r="S530" s="103"/>
      <c r="T530" s="103"/>
      <c r="U530" s="103"/>
      <c r="V530" s="103"/>
      <c r="W530" s="103"/>
      <c r="X530" s="103"/>
      <c r="Y530" s="157"/>
      <c r="Z530" s="157"/>
    </row>
    <row r="531" spans="1:26">
      <c r="A531" s="103"/>
      <c r="B531" s="103"/>
      <c r="C531" s="103"/>
      <c r="D531" s="103"/>
      <c r="E531" s="103"/>
      <c r="F531" s="103"/>
      <c r="G531" s="103"/>
      <c r="H531" s="103"/>
      <c r="I531" s="103"/>
      <c r="J531" s="103"/>
      <c r="K531" s="103"/>
      <c r="L531" s="103"/>
      <c r="M531" s="103"/>
      <c r="N531" s="103"/>
      <c r="O531" s="103"/>
      <c r="P531" s="103"/>
      <c r="Q531" s="103"/>
      <c r="R531" s="103"/>
      <c r="S531" s="103"/>
      <c r="T531" s="103"/>
      <c r="U531" s="103"/>
      <c r="V531" s="103"/>
      <c r="W531" s="103"/>
      <c r="X531" s="103"/>
      <c r="Y531" s="157"/>
      <c r="Z531" s="157"/>
    </row>
    <row r="532" spans="1:26">
      <c r="A532" s="103"/>
      <c r="B532" s="103"/>
      <c r="C532" s="103"/>
      <c r="D532" s="103"/>
      <c r="E532" s="103"/>
      <c r="F532" s="103"/>
      <c r="G532" s="103"/>
      <c r="H532" s="103"/>
      <c r="I532" s="103"/>
      <c r="J532" s="103"/>
      <c r="K532" s="103"/>
      <c r="L532" s="103"/>
      <c r="M532" s="103"/>
      <c r="N532" s="103"/>
      <c r="O532" s="103"/>
      <c r="P532" s="103"/>
      <c r="Q532" s="103"/>
      <c r="R532" s="103"/>
      <c r="S532" s="103"/>
      <c r="T532" s="103"/>
      <c r="U532" s="103"/>
      <c r="V532" s="103"/>
      <c r="W532" s="103"/>
      <c r="X532" s="103"/>
      <c r="Y532" s="157"/>
      <c r="Z532" s="157"/>
    </row>
    <row r="533" spans="1:26">
      <c r="A533" s="103"/>
      <c r="B533" s="103"/>
      <c r="C533" s="103"/>
      <c r="D533" s="103"/>
      <c r="E533" s="103"/>
      <c r="F533" s="103"/>
      <c r="G533" s="103"/>
      <c r="H533" s="103"/>
      <c r="I533" s="103"/>
      <c r="J533" s="103"/>
      <c r="K533" s="103"/>
      <c r="L533" s="103"/>
      <c r="M533" s="103"/>
      <c r="N533" s="103"/>
      <c r="O533" s="103"/>
      <c r="P533" s="103"/>
      <c r="Q533" s="103"/>
      <c r="R533" s="103"/>
      <c r="S533" s="103"/>
      <c r="T533" s="103"/>
      <c r="U533" s="103"/>
      <c r="V533" s="103"/>
      <c r="W533" s="103"/>
      <c r="X533" s="103"/>
      <c r="Y533" s="157"/>
      <c r="Z533" s="157"/>
    </row>
    <row r="534" spans="1:26">
      <c r="A534" s="103"/>
      <c r="B534" s="103"/>
      <c r="C534" s="103"/>
      <c r="D534" s="103"/>
      <c r="E534" s="103"/>
      <c r="F534" s="103"/>
      <c r="G534" s="103"/>
      <c r="H534" s="103"/>
      <c r="I534" s="103"/>
      <c r="J534" s="103"/>
      <c r="K534" s="103"/>
      <c r="L534" s="103"/>
      <c r="M534" s="103"/>
      <c r="N534" s="103"/>
      <c r="O534" s="103"/>
      <c r="P534" s="103"/>
      <c r="Q534" s="103"/>
      <c r="R534" s="103"/>
      <c r="S534" s="103"/>
      <c r="T534" s="103"/>
      <c r="U534" s="103"/>
      <c r="V534" s="103"/>
      <c r="W534" s="103"/>
      <c r="X534" s="103"/>
      <c r="Y534" s="157"/>
      <c r="Z534" s="157"/>
    </row>
    <row r="535" spans="1:26">
      <c r="A535" s="103"/>
      <c r="B535" s="103"/>
      <c r="C535" s="103"/>
      <c r="D535" s="103"/>
      <c r="E535" s="103"/>
      <c r="F535" s="103"/>
      <c r="G535" s="103"/>
      <c r="H535" s="103"/>
      <c r="I535" s="103"/>
      <c r="J535" s="103"/>
      <c r="K535" s="103"/>
      <c r="L535" s="103"/>
      <c r="M535" s="103"/>
      <c r="N535" s="103"/>
      <c r="O535" s="103"/>
      <c r="P535" s="103"/>
      <c r="Q535" s="103"/>
      <c r="R535" s="103"/>
      <c r="S535" s="103"/>
      <c r="T535" s="103"/>
      <c r="U535" s="103"/>
      <c r="V535" s="103"/>
      <c r="W535" s="103"/>
      <c r="X535" s="103"/>
      <c r="Y535" s="157"/>
      <c r="Z535" s="157"/>
    </row>
    <row r="536" spans="1:26">
      <c r="A536" s="103"/>
      <c r="B536" s="103"/>
      <c r="C536" s="103"/>
      <c r="D536" s="103"/>
      <c r="E536" s="103"/>
      <c r="F536" s="103"/>
      <c r="G536" s="103"/>
      <c r="H536" s="103"/>
      <c r="I536" s="103"/>
      <c r="J536" s="103"/>
      <c r="K536" s="103"/>
      <c r="L536" s="103"/>
      <c r="M536" s="103"/>
      <c r="N536" s="103"/>
      <c r="O536" s="103"/>
      <c r="P536" s="103"/>
      <c r="Q536" s="103"/>
      <c r="R536" s="103"/>
      <c r="S536" s="103"/>
      <c r="T536" s="103"/>
      <c r="U536" s="103"/>
      <c r="V536" s="103"/>
      <c r="W536" s="103"/>
      <c r="X536" s="103"/>
      <c r="Y536" s="157"/>
      <c r="Z536" s="157"/>
    </row>
    <row r="537" spans="1:26">
      <c r="A537" s="103"/>
      <c r="B537" s="103"/>
      <c r="C537" s="103"/>
      <c r="D537" s="103"/>
      <c r="E537" s="103"/>
      <c r="F537" s="103"/>
      <c r="G537" s="103"/>
      <c r="H537" s="103"/>
      <c r="I537" s="103"/>
      <c r="J537" s="103"/>
      <c r="K537" s="103"/>
      <c r="L537" s="103"/>
      <c r="M537" s="103"/>
      <c r="N537" s="103"/>
      <c r="O537" s="103"/>
      <c r="P537" s="103"/>
      <c r="Q537" s="103"/>
      <c r="R537" s="103"/>
      <c r="S537" s="103"/>
      <c r="T537" s="103"/>
      <c r="U537" s="103"/>
      <c r="V537" s="103"/>
      <c r="W537" s="103"/>
      <c r="X537" s="103"/>
      <c r="Y537" s="157"/>
      <c r="Z537" s="157"/>
    </row>
    <row r="538" spans="1:26">
      <c r="A538" s="103"/>
      <c r="B538" s="103"/>
      <c r="C538" s="103"/>
      <c r="D538" s="103"/>
      <c r="E538" s="103"/>
      <c r="F538" s="103"/>
      <c r="G538" s="103"/>
      <c r="H538" s="103"/>
      <c r="I538" s="103"/>
      <c r="J538" s="103"/>
      <c r="K538" s="103"/>
      <c r="L538" s="103"/>
      <c r="M538" s="103"/>
      <c r="N538" s="103"/>
      <c r="O538" s="103"/>
      <c r="P538" s="103"/>
      <c r="Q538" s="103"/>
      <c r="R538" s="103"/>
      <c r="S538" s="103"/>
      <c r="T538" s="103"/>
      <c r="U538" s="103"/>
      <c r="V538" s="103"/>
      <c r="W538" s="103"/>
      <c r="X538" s="103"/>
      <c r="Y538" s="157"/>
      <c r="Z538" s="157"/>
    </row>
    <row r="539" spans="1:26">
      <c r="A539" s="103"/>
      <c r="B539" s="103"/>
      <c r="C539" s="103"/>
      <c r="D539" s="103"/>
      <c r="E539" s="103"/>
      <c r="F539" s="103"/>
      <c r="G539" s="103"/>
      <c r="H539" s="103"/>
      <c r="I539" s="103"/>
      <c r="J539" s="103"/>
      <c r="K539" s="103"/>
      <c r="L539" s="103"/>
      <c r="M539" s="103"/>
      <c r="N539" s="103"/>
      <c r="O539" s="103"/>
      <c r="P539" s="103"/>
      <c r="Q539" s="103"/>
      <c r="R539" s="103"/>
      <c r="S539" s="103"/>
      <c r="T539" s="103"/>
      <c r="U539" s="103"/>
      <c r="V539" s="103"/>
      <c r="W539" s="103"/>
      <c r="X539" s="103"/>
      <c r="Y539" s="157"/>
      <c r="Z539" s="157"/>
    </row>
    <row r="540" spans="1:26">
      <c r="A540" s="103"/>
      <c r="B540" s="103"/>
      <c r="C540" s="103"/>
      <c r="D540" s="103"/>
      <c r="E540" s="103"/>
      <c r="F540" s="103"/>
      <c r="G540" s="103"/>
      <c r="H540" s="103"/>
      <c r="I540" s="103"/>
      <c r="J540" s="103"/>
      <c r="K540" s="103"/>
      <c r="L540" s="103"/>
      <c r="M540" s="103"/>
      <c r="N540" s="103"/>
      <c r="O540" s="103"/>
      <c r="P540" s="103"/>
      <c r="Q540" s="103"/>
      <c r="R540" s="103"/>
      <c r="S540" s="103"/>
      <c r="T540" s="103"/>
      <c r="U540" s="103"/>
      <c r="V540" s="103"/>
      <c r="W540" s="103"/>
      <c r="X540" s="103"/>
      <c r="Y540" s="157"/>
      <c r="Z540" s="157"/>
    </row>
    <row r="541" spans="1:26">
      <c r="A541" s="103"/>
      <c r="B541" s="103"/>
      <c r="C541" s="103"/>
      <c r="D541" s="103"/>
      <c r="E541" s="103"/>
      <c r="F541" s="103"/>
      <c r="G541" s="103"/>
      <c r="H541" s="103"/>
      <c r="I541" s="103"/>
      <c r="J541" s="103"/>
      <c r="K541" s="103"/>
      <c r="L541" s="103"/>
      <c r="M541" s="103"/>
      <c r="N541" s="103"/>
      <c r="O541" s="103"/>
      <c r="P541" s="103"/>
      <c r="Q541" s="103"/>
      <c r="R541" s="103"/>
      <c r="S541" s="103"/>
      <c r="T541" s="103"/>
      <c r="U541" s="103"/>
      <c r="V541" s="103"/>
      <c r="W541" s="103"/>
      <c r="X541" s="103"/>
      <c r="Y541" s="157"/>
      <c r="Z541" s="157"/>
    </row>
    <row r="542" spans="1:26">
      <c r="A542" s="103"/>
      <c r="B542" s="103"/>
      <c r="C542" s="103"/>
      <c r="D542" s="103"/>
      <c r="E542" s="103"/>
      <c r="F542" s="103"/>
      <c r="G542" s="103"/>
      <c r="H542" s="103"/>
      <c r="I542" s="103"/>
      <c r="J542" s="103"/>
      <c r="K542" s="103"/>
      <c r="L542" s="103"/>
      <c r="M542" s="103"/>
      <c r="N542" s="103"/>
      <c r="O542" s="103"/>
      <c r="P542" s="103"/>
      <c r="Q542" s="103"/>
      <c r="R542" s="103"/>
      <c r="S542" s="103"/>
      <c r="T542" s="103"/>
      <c r="U542" s="103"/>
      <c r="V542" s="103"/>
      <c r="W542" s="103"/>
      <c r="X542" s="103"/>
      <c r="Y542" s="157"/>
      <c r="Z542" s="157"/>
    </row>
    <row r="543" spans="1:26">
      <c r="A543" s="103"/>
      <c r="B543" s="103"/>
      <c r="C543" s="103"/>
      <c r="D543" s="103"/>
      <c r="E543" s="103"/>
      <c r="F543" s="103"/>
      <c r="G543" s="103"/>
      <c r="H543" s="103"/>
      <c r="I543" s="103"/>
      <c r="J543" s="103"/>
      <c r="K543" s="103"/>
      <c r="L543" s="103"/>
      <c r="M543" s="103"/>
      <c r="N543" s="103"/>
      <c r="O543" s="103"/>
      <c r="P543" s="103"/>
      <c r="Q543" s="103"/>
      <c r="R543" s="103"/>
      <c r="S543" s="103"/>
      <c r="T543" s="103"/>
      <c r="U543" s="103"/>
      <c r="V543" s="103"/>
      <c r="W543" s="103"/>
      <c r="X543" s="103"/>
      <c r="Y543" s="157"/>
      <c r="Z543" s="157"/>
    </row>
    <row r="544" spans="1:26">
      <c r="A544" s="103"/>
      <c r="B544" s="103"/>
      <c r="C544" s="103"/>
      <c r="D544" s="103"/>
      <c r="E544" s="103"/>
      <c r="F544" s="103"/>
      <c r="G544" s="103"/>
      <c r="H544" s="103"/>
      <c r="I544" s="103"/>
      <c r="J544" s="103"/>
      <c r="K544" s="103"/>
      <c r="L544" s="103"/>
      <c r="M544" s="103"/>
      <c r="N544" s="103"/>
      <c r="O544" s="103"/>
      <c r="P544" s="103"/>
      <c r="Q544" s="103"/>
      <c r="R544" s="103"/>
      <c r="S544" s="103"/>
      <c r="T544" s="103"/>
      <c r="U544" s="103"/>
      <c r="V544" s="103"/>
      <c r="W544" s="103"/>
      <c r="X544" s="103"/>
      <c r="Y544" s="157"/>
      <c r="Z544" s="157"/>
    </row>
    <row r="545" spans="1:26">
      <c r="A545" s="103"/>
      <c r="B545" s="103"/>
      <c r="C545" s="103"/>
      <c r="D545" s="103"/>
      <c r="E545" s="103"/>
      <c r="F545" s="103"/>
      <c r="G545" s="103"/>
      <c r="H545" s="103"/>
      <c r="I545" s="103"/>
      <c r="J545" s="103"/>
      <c r="K545" s="103"/>
      <c r="L545" s="103"/>
      <c r="M545" s="103"/>
      <c r="N545" s="103"/>
      <c r="O545" s="103"/>
      <c r="P545" s="103"/>
      <c r="Q545" s="103"/>
      <c r="R545" s="103"/>
      <c r="S545" s="103"/>
      <c r="T545" s="103"/>
      <c r="U545" s="103"/>
      <c r="V545" s="103"/>
      <c r="W545" s="103"/>
      <c r="X545" s="103"/>
      <c r="Y545" s="157"/>
      <c r="Z545" s="157"/>
    </row>
    <row r="546" spans="1:26">
      <c r="A546" s="103"/>
      <c r="B546" s="103"/>
      <c r="C546" s="103"/>
      <c r="D546" s="103"/>
      <c r="E546" s="103"/>
      <c r="F546" s="103"/>
      <c r="G546" s="103"/>
      <c r="H546" s="103"/>
      <c r="I546" s="103"/>
      <c r="J546" s="103"/>
      <c r="K546" s="103"/>
      <c r="L546" s="103"/>
      <c r="M546" s="103"/>
      <c r="N546" s="103"/>
      <c r="O546" s="103"/>
      <c r="P546" s="103"/>
      <c r="Q546" s="103"/>
      <c r="R546" s="103"/>
      <c r="S546" s="103"/>
      <c r="T546" s="103"/>
      <c r="U546" s="103"/>
      <c r="V546" s="103"/>
      <c r="W546" s="103"/>
      <c r="X546" s="103"/>
      <c r="Y546" s="157"/>
      <c r="Z546" s="157"/>
    </row>
    <row r="547" spans="1:26">
      <c r="A547" s="103"/>
      <c r="B547" s="103"/>
      <c r="C547" s="103"/>
      <c r="D547" s="103"/>
      <c r="E547" s="103"/>
      <c r="F547" s="103"/>
      <c r="G547" s="103"/>
      <c r="H547" s="103"/>
      <c r="I547" s="103"/>
      <c r="J547" s="103"/>
      <c r="K547" s="103"/>
      <c r="L547" s="103"/>
      <c r="M547" s="103"/>
      <c r="N547" s="103"/>
      <c r="O547" s="103"/>
      <c r="P547" s="103"/>
      <c r="Q547" s="103"/>
      <c r="R547" s="103"/>
      <c r="S547" s="103"/>
      <c r="T547" s="103"/>
      <c r="U547" s="103"/>
      <c r="V547" s="103"/>
      <c r="W547" s="103"/>
      <c r="X547" s="103"/>
      <c r="Y547" s="157"/>
      <c r="Z547" s="157"/>
    </row>
    <row r="548" spans="1:26">
      <c r="A548" s="103"/>
      <c r="B548" s="103"/>
      <c r="C548" s="103"/>
      <c r="D548" s="103"/>
      <c r="E548" s="103"/>
      <c r="F548" s="103"/>
      <c r="G548" s="103"/>
      <c r="H548" s="103"/>
      <c r="I548" s="103"/>
      <c r="J548" s="103"/>
      <c r="K548" s="103"/>
      <c r="L548" s="103"/>
      <c r="M548" s="103"/>
      <c r="N548" s="103"/>
      <c r="O548" s="103"/>
      <c r="P548" s="103"/>
      <c r="Q548" s="103"/>
      <c r="R548" s="103"/>
      <c r="S548" s="103"/>
      <c r="T548" s="103"/>
      <c r="U548" s="103"/>
      <c r="V548" s="103"/>
      <c r="W548" s="103"/>
      <c r="X548" s="103"/>
      <c r="Y548" s="157"/>
      <c r="Z548" s="157"/>
    </row>
    <row r="549" spans="1:26">
      <c r="A549" s="103"/>
      <c r="B549" s="103"/>
      <c r="C549" s="103"/>
      <c r="D549" s="103"/>
      <c r="E549" s="103"/>
      <c r="F549" s="103"/>
      <c r="G549" s="103"/>
      <c r="H549" s="103"/>
      <c r="I549" s="103"/>
      <c r="J549" s="103"/>
      <c r="K549" s="103"/>
      <c r="L549" s="103"/>
      <c r="M549" s="103"/>
      <c r="N549" s="103"/>
      <c r="O549" s="103"/>
      <c r="P549" s="103"/>
      <c r="Q549" s="103"/>
      <c r="R549" s="103"/>
      <c r="S549" s="103"/>
      <c r="T549" s="103"/>
      <c r="U549" s="103"/>
      <c r="V549" s="103"/>
      <c r="W549" s="103"/>
      <c r="X549" s="103"/>
      <c r="Y549" s="157"/>
      <c r="Z549" s="157"/>
    </row>
    <row r="550" spans="1:26">
      <c r="A550" s="103"/>
      <c r="B550" s="103"/>
      <c r="C550" s="103"/>
      <c r="D550" s="103"/>
      <c r="E550" s="103"/>
      <c r="F550" s="103"/>
      <c r="G550" s="103"/>
      <c r="H550" s="103"/>
      <c r="I550" s="103"/>
      <c r="J550" s="103"/>
      <c r="K550" s="103"/>
      <c r="L550" s="103"/>
      <c r="M550" s="103"/>
      <c r="N550" s="103"/>
      <c r="O550" s="103"/>
      <c r="P550" s="103"/>
      <c r="Q550" s="103"/>
      <c r="R550" s="103"/>
      <c r="S550" s="103"/>
      <c r="T550" s="103"/>
      <c r="U550" s="103"/>
      <c r="V550" s="103"/>
      <c r="W550" s="103"/>
      <c r="X550" s="103"/>
      <c r="Y550" s="157"/>
      <c r="Z550" s="157"/>
    </row>
    <row r="551" spans="1:26">
      <c r="A551" s="103"/>
      <c r="B551" s="103"/>
      <c r="C551" s="103"/>
      <c r="D551" s="103"/>
      <c r="E551" s="103"/>
      <c r="F551" s="103"/>
      <c r="G551" s="103"/>
      <c r="H551" s="103"/>
      <c r="I551" s="103"/>
      <c r="J551" s="103"/>
      <c r="K551" s="103"/>
      <c r="L551" s="103"/>
      <c r="M551" s="103"/>
      <c r="N551" s="103"/>
      <c r="O551" s="103"/>
      <c r="P551" s="103"/>
      <c r="Q551" s="103"/>
      <c r="R551" s="103"/>
      <c r="S551" s="103"/>
      <c r="T551" s="103"/>
      <c r="U551" s="103"/>
      <c r="V551" s="103"/>
      <c r="W551" s="103"/>
      <c r="X551" s="103"/>
      <c r="Y551" s="157"/>
      <c r="Z551" s="157"/>
    </row>
    <row r="552" spans="1:26">
      <c r="A552" s="103"/>
      <c r="B552" s="103"/>
      <c r="C552" s="103"/>
      <c r="D552" s="103"/>
      <c r="E552" s="103"/>
      <c r="F552" s="103"/>
      <c r="G552" s="103"/>
      <c r="H552" s="103"/>
      <c r="I552" s="103"/>
      <c r="J552" s="103"/>
      <c r="K552" s="103"/>
      <c r="L552" s="103"/>
      <c r="M552" s="103"/>
      <c r="N552" s="103"/>
      <c r="O552" s="103"/>
      <c r="P552" s="103"/>
      <c r="Q552" s="103"/>
      <c r="R552" s="103"/>
      <c r="S552" s="103"/>
      <c r="T552" s="103"/>
      <c r="U552" s="103"/>
      <c r="V552" s="103"/>
      <c r="W552" s="103"/>
      <c r="X552" s="103"/>
      <c r="Y552" s="157"/>
      <c r="Z552" s="157"/>
    </row>
    <row r="553" spans="1:26">
      <c r="A553" s="103"/>
      <c r="B553" s="103"/>
      <c r="C553" s="103"/>
      <c r="D553" s="103"/>
      <c r="E553" s="103"/>
      <c r="F553" s="103"/>
      <c r="G553" s="103"/>
      <c r="H553" s="103"/>
      <c r="I553" s="103"/>
      <c r="J553" s="103"/>
      <c r="K553" s="103"/>
      <c r="L553" s="103"/>
      <c r="M553" s="103"/>
      <c r="N553" s="103"/>
      <c r="O553" s="103"/>
      <c r="P553" s="103"/>
      <c r="Q553" s="103"/>
      <c r="R553" s="103"/>
      <c r="S553" s="103"/>
      <c r="T553" s="103"/>
      <c r="U553" s="103"/>
      <c r="V553" s="103"/>
      <c r="W553" s="103"/>
      <c r="X553" s="103"/>
      <c r="Y553" s="157"/>
      <c r="Z553" s="157"/>
    </row>
    <row r="554" spans="1:26">
      <c r="A554" s="103"/>
      <c r="B554" s="103"/>
      <c r="C554" s="103"/>
      <c r="D554" s="103"/>
      <c r="E554" s="103"/>
      <c r="F554" s="103"/>
      <c r="G554" s="103"/>
      <c r="H554" s="103"/>
      <c r="I554" s="103"/>
      <c r="J554" s="103"/>
      <c r="K554" s="103"/>
      <c r="L554" s="103"/>
      <c r="M554" s="103"/>
      <c r="N554" s="103"/>
      <c r="O554" s="103"/>
      <c r="P554" s="103"/>
      <c r="Q554" s="103"/>
      <c r="R554" s="103"/>
      <c r="S554" s="103"/>
      <c r="T554" s="103"/>
      <c r="U554" s="103"/>
      <c r="V554" s="103"/>
      <c r="W554" s="103"/>
      <c r="X554" s="103"/>
      <c r="Y554" s="157"/>
      <c r="Z554" s="157"/>
    </row>
    <row r="555" spans="1:26">
      <c r="A555" s="103"/>
      <c r="B555" s="103"/>
      <c r="C555" s="103"/>
      <c r="D555" s="103"/>
      <c r="E555" s="103"/>
      <c r="F555" s="103"/>
      <c r="G555" s="103"/>
      <c r="H555" s="103"/>
      <c r="I555" s="103"/>
      <c r="J555" s="103"/>
      <c r="K555" s="103"/>
      <c r="L555" s="103"/>
      <c r="M555" s="103"/>
      <c r="N555" s="103"/>
      <c r="O555" s="103"/>
      <c r="P555" s="103"/>
      <c r="Q555" s="103"/>
      <c r="R555" s="103"/>
      <c r="S555" s="103"/>
      <c r="T555" s="103"/>
      <c r="U555" s="103"/>
      <c r="V555" s="103"/>
      <c r="W555" s="103"/>
      <c r="X555" s="103"/>
      <c r="Y555" s="157"/>
      <c r="Z555" s="157"/>
    </row>
    <row r="556" spans="1:26">
      <c r="A556" s="103"/>
      <c r="B556" s="103"/>
      <c r="C556" s="103"/>
      <c r="D556" s="103"/>
      <c r="E556" s="103"/>
      <c r="F556" s="103"/>
      <c r="G556" s="103"/>
      <c r="H556" s="103"/>
      <c r="I556" s="103"/>
      <c r="J556" s="103"/>
      <c r="K556" s="103"/>
      <c r="L556" s="103"/>
      <c r="M556" s="103"/>
      <c r="N556" s="103"/>
      <c r="O556" s="103"/>
      <c r="P556" s="103"/>
      <c r="Q556" s="103"/>
      <c r="R556" s="103"/>
      <c r="S556" s="103"/>
      <c r="T556" s="103"/>
      <c r="U556" s="103"/>
      <c r="V556" s="103"/>
      <c r="W556" s="103"/>
      <c r="X556" s="103"/>
      <c r="Y556" s="157"/>
      <c r="Z556" s="157"/>
    </row>
    <row r="557" spans="1:26">
      <c r="A557" s="103"/>
      <c r="B557" s="103"/>
      <c r="C557" s="103"/>
      <c r="D557" s="103"/>
      <c r="E557" s="103"/>
      <c r="F557" s="103"/>
      <c r="G557" s="103"/>
      <c r="H557" s="103"/>
      <c r="I557" s="103"/>
      <c r="J557" s="103"/>
      <c r="K557" s="103"/>
      <c r="L557" s="103"/>
      <c r="M557" s="103"/>
      <c r="N557" s="103"/>
      <c r="O557" s="103"/>
      <c r="P557" s="103"/>
      <c r="Q557" s="103"/>
      <c r="R557" s="103"/>
      <c r="S557" s="103"/>
      <c r="T557" s="103"/>
      <c r="U557" s="103"/>
      <c r="V557" s="103"/>
      <c r="W557" s="103"/>
      <c r="X557" s="103"/>
      <c r="Y557" s="157"/>
      <c r="Z557" s="157"/>
    </row>
    <row r="558" spans="1:26">
      <c r="A558" s="103"/>
      <c r="B558" s="103"/>
      <c r="C558" s="103"/>
      <c r="D558" s="103"/>
      <c r="E558" s="103"/>
      <c r="F558" s="103"/>
      <c r="G558" s="103"/>
      <c r="H558" s="103"/>
      <c r="I558" s="103"/>
      <c r="J558" s="103"/>
      <c r="K558" s="103"/>
      <c r="L558" s="103"/>
      <c r="M558" s="103"/>
      <c r="N558" s="103"/>
      <c r="O558" s="103"/>
      <c r="P558" s="103"/>
      <c r="Q558" s="103"/>
      <c r="R558" s="103"/>
      <c r="S558" s="103"/>
      <c r="T558" s="103"/>
      <c r="U558" s="103"/>
      <c r="V558" s="103"/>
      <c r="W558" s="103"/>
      <c r="X558" s="103"/>
      <c r="Y558" s="157"/>
      <c r="Z558" s="157"/>
    </row>
    <row r="559" spans="1:26">
      <c r="A559" s="103"/>
      <c r="B559" s="103"/>
      <c r="C559" s="103"/>
      <c r="D559" s="103"/>
      <c r="E559" s="103"/>
      <c r="F559" s="103"/>
      <c r="G559" s="103"/>
      <c r="H559" s="103"/>
      <c r="I559" s="103"/>
      <c r="J559" s="103"/>
      <c r="K559" s="103"/>
      <c r="L559" s="103"/>
      <c r="M559" s="103"/>
      <c r="N559" s="103"/>
      <c r="O559" s="103"/>
      <c r="P559" s="103"/>
      <c r="Q559" s="103"/>
      <c r="R559" s="103"/>
      <c r="S559" s="103"/>
      <c r="T559" s="103"/>
      <c r="U559" s="103"/>
      <c r="V559" s="103"/>
      <c r="W559" s="103"/>
      <c r="X559" s="103"/>
      <c r="Y559" s="157"/>
      <c r="Z559" s="157"/>
    </row>
    <row r="560" spans="1:26">
      <c r="A560" s="103"/>
      <c r="B560" s="103"/>
      <c r="C560" s="103"/>
      <c r="D560" s="103"/>
      <c r="E560" s="103"/>
      <c r="F560" s="103"/>
      <c r="G560" s="103"/>
      <c r="H560" s="103"/>
      <c r="I560" s="103"/>
      <c r="J560" s="103"/>
      <c r="K560" s="103"/>
      <c r="L560" s="103"/>
      <c r="M560" s="103"/>
      <c r="N560" s="103"/>
      <c r="O560" s="103"/>
      <c r="P560" s="103"/>
      <c r="Q560" s="103"/>
      <c r="R560" s="103"/>
      <c r="S560" s="103"/>
      <c r="T560" s="103"/>
      <c r="U560" s="103"/>
      <c r="V560" s="103"/>
      <c r="W560" s="103"/>
      <c r="X560" s="103"/>
      <c r="Y560" s="157"/>
      <c r="Z560" s="157"/>
    </row>
    <row r="561" spans="1:26">
      <c r="A561" s="103"/>
      <c r="B561" s="103"/>
      <c r="C561" s="103"/>
      <c r="D561" s="103"/>
      <c r="E561" s="103"/>
      <c r="F561" s="103"/>
      <c r="G561" s="103"/>
      <c r="H561" s="103"/>
      <c r="I561" s="103"/>
      <c r="J561" s="103"/>
      <c r="K561" s="103"/>
      <c r="L561" s="103"/>
      <c r="M561" s="103"/>
      <c r="N561" s="103"/>
      <c r="O561" s="103"/>
      <c r="P561" s="103"/>
      <c r="Q561" s="103"/>
      <c r="R561" s="103"/>
      <c r="S561" s="103"/>
      <c r="T561" s="103"/>
      <c r="U561" s="103"/>
      <c r="V561" s="103"/>
      <c r="W561" s="103"/>
      <c r="X561" s="103"/>
      <c r="Y561" s="157"/>
      <c r="Z561" s="157"/>
    </row>
    <row r="562" spans="1:26">
      <c r="A562" s="103"/>
      <c r="B562" s="103"/>
      <c r="C562" s="103"/>
      <c r="D562" s="103"/>
      <c r="E562" s="103"/>
      <c r="F562" s="103"/>
      <c r="G562" s="103"/>
      <c r="H562" s="103"/>
      <c r="I562" s="103"/>
      <c r="J562" s="103"/>
      <c r="K562" s="103"/>
      <c r="L562" s="103"/>
      <c r="M562" s="103"/>
      <c r="N562" s="103"/>
      <c r="O562" s="103"/>
      <c r="P562" s="103"/>
      <c r="Q562" s="103"/>
      <c r="R562" s="103"/>
      <c r="S562" s="103"/>
      <c r="T562" s="103"/>
      <c r="U562" s="103"/>
      <c r="V562" s="103"/>
      <c r="W562" s="103"/>
      <c r="X562" s="103"/>
      <c r="Y562" s="157"/>
      <c r="Z562" s="157"/>
    </row>
    <row r="563" spans="1:26">
      <c r="A563" s="103"/>
      <c r="B563" s="103"/>
      <c r="C563" s="103"/>
      <c r="D563" s="103"/>
      <c r="E563" s="103"/>
      <c r="F563" s="103"/>
      <c r="G563" s="103"/>
      <c r="H563" s="103"/>
      <c r="I563" s="103"/>
      <c r="J563" s="103"/>
      <c r="K563" s="103"/>
      <c r="L563" s="103"/>
      <c r="M563" s="103"/>
      <c r="N563" s="103"/>
      <c r="O563" s="103"/>
      <c r="P563" s="103"/>
      <c r="Q563" s="103"/>
      <c r="R563" s="103"/>
      <c r="S563" s="103"/>
      <c r="T563" s="103"/>
      <c r="U563" s="103"/>
      <c r="V563" s="103"/>
      <c r="W563" s="103"/>
      <c r="X563" s="103"/>
      <c r="Y563" s="157"/>
      <c r="Z563" s="157"/>
    </row>
    <row r="564" spans="1:26">
      <c r="A564" s="103"/>
      <c r="B564" s="103"/>
      <c r="C564" s="103"/>
      <c r="D564" s="103"/>
      <c r="E564" s="103"/>
      <c r="F564" s="103"/>
      <c r="G564" s="103"/>
      <c r="H564" s="103"/>
      <c r="I564" s="103"/>
      <c r="J564" s="103"/>
      <c r="K564" s="103"/>
      <c r="L564" s="103"/>
      <c r="M564" s="103"/>
      <c r="N564" s="103"/>
      <c r="O564" s="103"/>
      <c r="P564" s="103"/>
      <c r="Q564" s="103"/>
      <c r="R564" s="103"/>
      <c r="S564" s="103"/>
      <c r="T564" s="103"/>
      <c r="U564" s="103"/>
      <c r="V564" s="103"/>
      <c r="W564" s="103"/>
      <c r="X564" s="103"/>
      <c r="Y564" s="157"/>
      <c r="Z564" s="157"/>
    </row>
    <row r="565" spans="1:26">
      <c r="A565" s="103"/>
      <c r="B565" s="103"/>
      <c r="C565" s="103"/>
      <c r="D565" s="103"/>
      <c r="E565" s="103"/>
      <c r="F565" s="103"/>
      <c r="G565" s="103"/>
      <c r="H565" s="103"/>
      <c r="I565" s="103"/>
      <c r="J565" s="103"/>
      <c r="K565" s="103"/>
      <c r="L565" s="103"/>
      <c r="M565" s="103"/>
      <c r="N565" s="103"/>
      <c r="O565" s="103"/>
      <c r="P565" s="103"/>
      <c r="Q565" s="103"/>
      <c r="R565" s="103"/>
      <c r="S565" s="103"/>
      <c r="T565" s="103"/>
      <c r="U565" s="103"/>
      <c r="V565" s="103"/>
      <c r="W565" s="103"/>
      <c r="X565" s="103"/>
      <c r="Y565" s="157"/>
      <c r="Z565" s="157"/>
    </row>
    <row r="566" spans="1:26">
      <c r="A566" s="103"/>
      <c r="B566" s="103"/>
      <c r="C566" s="103"/>
      <c r="D566" s="103"/>
      <c r="E566" s="103"/>
      <c r="F566" s="103"/>
      <c r="G566" s="103"/>
      <c r="H566" s="103"/>
      <c r="I566" s="103"/>
      <c r="J566" s="103"/>
      <c r="K566" s="103"/>
      <c r="L566" s="103"/>
      <c r="M566" s="103"/>
      <c r="N566" s="103"/>
      <c r="O566" s="103"/>
      <c r="P566" s="103"/>
      <c r="Q566" s="103"/>
      <c r="R566" s="103"/>
      <c r="S566" s="103"/>
      <c r="T566" s="103"/>
      <c r="U566" s="103"/>
      <c r="V566" s="103"/>
      <c r="W566" s="103"/>
      <c r="X566" s="103"/>
      <c r="Y566" s="157"/>
      <c r="Z566" s="157"/>
    </row>
    <row r="567" spans="1:26">
      <c r="A567" s="103"/>
      <c r="B567" s="103"/>
      <c r="C567" s="103"/>
      <c r="D567" s="103"/>
      <c r="E567" s="103"/>
      <c r="F567" s="103"/>
      <c r="G567" s="103"/>
      <c r="H567" s="103"/>
      <c r="I567" s="103"/>
      <c r="J567" s="103"/>
      <c r="K567" s="103"/>
      <c r="L567" s="103"/>
      <c r="M567" s="103"/>
      <c r="N567" s="103"/>
      <c r="O567" s="103"/>
      <c r="P567" s="103"/>
      <c r="Q567" s="103"/>
      <c r="R567" s="103"/>
      <c r="S567" s="103"/>
      <c r="T567" s="103"/>
      <c r="U567" s="103"/>
      <c r="V567" s="103"/>
      <c r="W567" s="103"/>
      <c r="X567" s="103"/>
      <c r="Y567" s="157"/>
      <c r="Z567" s="157"/>
    </row>
    <row r="568" spans="1:26">
      <c r="A568" s="103"/>
      <c r="B568" s="103"/>
      <c r="C568" s="103"/>
      <c r="D568" s="103"/>
      <c r="E568" s="103"/>
      <c r="F568" s="103"/>
      <c r="G568" s="103"/>
      <c r="H568" s="103"/>
      <c r="I568" s="103"/>
      <c r="J568" s="103"/>
      <c r="K568" s="103"/>
      <c r="L568" s="103"/>
      <c r="M568" s="103"/>
      <c r="N568" s="103"/>
      <c r="O568" s="103"/>
      <c r="P568" s="103"/>
      <c r="Q568" s="103"/>
      <c r="R568" s="103"/>
      <c r="S568" s="103"/>
      <c r="T568" s="103"/>
      <c r="U568" s="103"/>
      <c r="V568" s="103"/>
      <c r="W568" s="103"/>
      <c r="X568" s="103"/>
      <c r="Y568" s="157"/>
      <c r="Z568" s="157"/>
    </row>
    <row r="569" spans="1:26">
      <c r="A569" s="103"/>
      <c r="B569" s="103"/>
      <c r="C569" s="103"/>
      <c r="D569" s="103"/>
      <c r="E569" s="103"/>
      <c r="F569" s="103"/>
      <c r="G569" s="103"/>
      <c r="H569" s="103"/>
      <c r="I569" s="103"/>
      <c r="J569" s="103"/>
      <c r="K569" s="103"/>
      <c r="L569" s="103"/>
      <c r="M569" s="103"/>
      <c r="N569" s="103"/>
      <c r="O569" s="103"/>
      <c r="P569" s="103"/>
      <c r="Q569" s="103"/>
      <c r="R569" s="103"/>
      <c r="S569" s="103"/>
      <c r="T569" s="103"/>
      <c r="U569" s="103"/>
      <c r="V569" s="103"/>
      <c r="W569" s="103"/>
      <c r="X569" s="103"/>
      <c r="Y569" s="157"/>
      <c r="Z569" s="157"/>
    </row>
    <row r="570" spans="1:26">
      <c r="A570" s="103"/>
      <c r="B570" s="103"/>
      <c r="C570" s="103"/>
      <c r="D570" s="103"/>
      <c r="E570" s="103"/>
      <c r="F570" s="103"/>
      <c r="G570" s="103"/>
      <c r="H570" s="103"/>
      <c r="I570" s="103"/>
      <c r="J570" s="103"/>
      <c r="K570" s="103"/>
      <c r="L570" s="103"/>
      <c r="M570" s="103"/>
      <c r="N570" s="103"/>
      <c r="O570" s="103"/>
      <c r="P570" s="103"/>
      <c r="Q570" s="103"/>
      <c r="R570" s="103"/>
      <c r="S570" s="103"/>
      <c r="T570" s="103"/>
      <c r="U570" s="103"/>
      <c r="V570" s="103"/>
      <c r="W570" s="103"/>
      <c r="X570" s="103"/>
      <c r="Y570" s="157"/>
      <c r="Z570" s="157"/>
    </row>
    <row r="571" spans="1:26">
      <c r="A571" s="103"/>
      <c r="B571" s="103"/>
      <c r="C571" s="103"/>
      <c r="D571" s="103"/>
      <c r="E571" s="103"/>
      <c r="F571" s="103"/>
      <c r="G571" s="103"/>
      <c r="H571" s="103"/>
      <c r="I571" s="103"/>
      <c r="J571" s="103"/>
      <c r="K571" s="103"/>
      <c r="L571" s="103"/>
      <c r="M571" s="103"/>
      <c r="N571" s="103"/>
      <c r="O571" s="103"/>
      <c r="P571" s="103"/>
      <c r="Q571" s="103"/>
      <c r="R571" s="103"/>
      <c r="S571" s="103"/>
      <c r="T571" s="103"/>
      <c r="U571" s="103"/>
      <c r="V571" s="103"/>
      <c r="W571" s="103"/>
      <c r="X571" s="103"/>
      <c r="Y571" s="157"/>
      <c r="Z571" s="157"/>
    </row>
    <row r="572" spans="1:26">
      <c r="A572" s="103"/>
      <c r="B572" s="103"/>
      <c r="C572" s="103"/>
      <c r="D572" s="103"/>
      <c r="E572" s="103"/>
      <c r="F572" s="103"/>
      <c r="G572" s="103"/>
      <c r="H572" s="103"/>
      <c r="I572" s="103"/>
      <c r="J572" s="103"/>
      <c r="K572" s="103"/>
      <c r="L572" s="103"/>
      <c r="M572" s="103"/>
      <c r="N572" s="103"/>
      <c r="O572" s="103"/>
      <c r="P572" s="103"/>
      <c r="Q572" s="103"/>
      <c r="R572" s="103"/>
      <c r="S572" s="103"/>
      <c r="T572" s="103"/>
      <c r="U572" s="103"/>
      <c r="V572" s="103"/>
      <c r="W572" s="103"/>
      <c r="X572" s="103"/>
      <c r="Y572" s="157"/>
      <c r="Z572" s="157"/>
    </row>
    <row r="573" spans="1:26">
      <c r="A573" s="103"/>
      <c r="B573" s="103"/>
      <c r="C573" s="103"/>
      <c r="D573" s="103"/>
      <c r="E573" s="103"/>
      <c r="F573" s="103"/>
      <c r="G573" s="103"/>
      <c r="H573" s="103"/>
      <c r="I573" s="103"/>
      <c r="J573" s="103"/>
      <c r="K573" s="103"/>
      <c r="L573" s="103"/>
      <c r="M573" s="103"/>
      <c r="N573" s="103"/>
      <c r="O573" s="103"/>
      <c r="P573" s="103"/>
      <c r="Q573" s="103"/>
      <c r="R573" s="103"/>
      <c r="S573" s="103"/>
      <c r="T573" s="103"/>
      <c r="U573" s="103"/>
      <c r="V573" s="103"/>
      <c r="W573" s="103"/>
      <c r="X573" s="103"/>
      <c r="Y573" s="157"/>
      <c r="Z573" s="157"/>
    </row>
    <row r="574" spans="1:26">
      <c r="A574" s="103"/>
      <c r="B574" s="103"/>
      <c r="C574" s="103"/>
      <c r="D574" s="103"/>
      <c r="E574" s="103"/>
      <c r="F574" s="103"/>
      <c r="G574" s="103"/>
      <c r="H574" s="103"/>
      <c r="I574" s="103"/>
      <c r="J574" s="103"/>
      <c r="K574" s="103"/>
      <c r="L574" s="103"/>
      <c r="M574" s="103"/>
      <c r="N574" s="103"/>
      <c r="O574" s="103"/>
      <c r="P574" s="103"/>
      <c r="Q574" s="103"/>
      <c r="R574" s="103"/>
      <c r="S574" s="103"/>
      <c r="T574" s="103"/>
      <c r="U574" s="103"/>
      <c r="V574" s="103"/>
      <c r="W574" s="103"/>
      <c r="X574" s="103"/>
      <c r="Y574" s="157"/>
      <c r="Z574" s="157"/>
    </row>
    <row r="575" spans="1:26">
      <c r="A575" s="103"/>
      <c r="B575" s="103"/>
      <c r="C575" s="103"/>
      <c r="D575" s="103"/>
      <c r="E575" s="103"/>
      <c r="F575" s="103"/>
      <c r="G575" s="103"/>
      <c r="H575" s="103"/>
      <c r="I575" s="103"/>
      <c r="J575" s="103"/>
      <c r="K575" s="103"/>
      <c r="L575" s="103"/>
      <c r="M575" s="103"/>
      <c r="N575" s="103"/>
      <c r="O575" s="103"/>
      <c r="P575" s="103"/>
      <c r="Q575" s="103"/>
      <c r="R575" s="103"/>
      <c r="S575" s="103"/>
      <c r="T575" s="103"/>
      <c r="U575" s="103"/>
      <c r="V575" s="103"/>
      <c r="W575" s="103"/>
      <c r="X575" s="103"/>
      <c r="Y575" s="157"/>
      <c r="Z575" s="157"/>
    </row>
    <row r="576" spans="1:26">
      <c r="A576" s="103"/>
      <c r="B576" s="103"/>
      <c r="C576" s="103"/>
      <c r="D576" s="103"/>
      <c r="E576" s="103"/>
      <c r="F576" s="103"/>
      <c r="G576" s="103"/>
      <c r="H576" s="103"/>
      <c r="I576" s="103"/>
      <c r="J576" s="103"/>
      <c r="K576" s="103"/>
      <c r="L576" s="103"/>
      <c r="M576" s="103"/>
      <c r="N576" s="103"/>
      <c r="O576" s="103"/>
      <c r="P576" s="103"/>
      <c r="Q576" s="103"/>
      <c r="R576" s="103"/>
      <c r="S576" s="103"/>
      <c r="T576" s="103"/>
      <c r="U576" s="103"/>
      <c r="V576" s="103"/>
      <c r="W576" s="103"/>
      <c r="X576" s="103"/>
      <c r="Y576" s="157"/>
      <c r="Z576" s="157"/>
    </row>
    <row r="577" spans="1:26">
      <c r="A577" s="103"/>
      <c r="B577" s="103"/>
      <c r="C577" s="103"/>
      <c r="D577" s="103"/>
      <c r="E577" s="103"/>
      <c r="F577" s="103"/>
      <c r="G577" s="103"/>
      <c r="H577" s="103"/>
      <c r="I577" s="103"/>
      <c r="J577" s="103"/>
      <c r="K577" s="103"/>
      <c r="L577" s="103"/>
      <c r="M577" s="103"/>
      <c r="N577" s="103"/>
      <c r="O577" s="103"/>
      <c r="P577" s="103"/>
      <c r="Q577" s="103"/>
      <c r="R577" s="103"/>
      <c r="S577" s="103"/>
      <c r="T577" s="103"/>
      <c r="U577" s="103"/>
      <c r="V577" s="103"/>
      <c r="W577" s="103"/>
      <c r="X577" s="103"/>
      <c r="Y577" s="157"/>
      <c r="Z577" s="157"/>
    </row>
    <row r="578" spans="1:26">
      <c r="A578" s="103"/>
      <c r="B578" s="103"/>
      <c r="C578" s="103"/>
      <c r="D578" s="103"/>
      <c r="E578" s="103"/>
      <c r="F578" s="103"/>
      <c r="G578" s="103"/>
      <c r="H578" s="103"/>
      <c r="I578" s="103"/>
      <c r="J578" s="103"/>
      <c r="K578" s="103"/>
      <c r="L578" s="103"/>
      <c r="M578" s="103"/>
      <c r="N578" s="103"/>
      <c r="O578" s="103"/>
      <c r="P578" s="103"/>
      <c r="Q578" s="103"/>
      <c r="R578" s="103"/>
      <c r="S578" s="103"/>
      <c r="T578" s="103"/>
      <c r="U578" s="103"/>
      <c r="V578" s="103"/>
      <c r="W578" s="103"/>
      <c r="X578" s="103"/>
      <c r="Y578" s="157"/>
      <c r="Z578" s="157"/>
    </row>
    <row r="579" spans="1:26">
      <c r="A579" s="103"/>
      <c r="B579" s="103"/>
      <c r="C579" s="103"/>
      <c r="D579" s="103"/>
      <c r="E579" s="103"/>
      <c r="F579" s="103"/>
      <c r="G579" s="103"/>
      <c r="H579" s="103"/>
      <c r="I579" s="103"/>
      <c r="J579" s="103"/>
      <c r="K579" s="103"/>
      <c r="L579" s="103"/>
      <c r="M579" s="103"/>
      <c r="N579" s="103"/>
      <c r="O579" s="103"/>
      <c r="P579" s="103"/>
      <c r="Q579" s="103"/>
      <c r="R579" s="103"/>
      <c r="S579" s="103"/>
      <c r="T579" s="103"/>
      <c r="U579" s="103"/>
      <c r="V579" s="103"/>
      <c r="W579" s="103"/>
      <c r="X579" s="103"/>
      <c r="Y579" s="157"/>
      <c r="Z579" s="157"/>
    </row>
    <row r="580" spans="1:26">
      <c r="A580" s="103"/>
      <c r="B580" s="103"/>
      <c r="C580" s="103"/>
      <c r="D580" s="103"/>
      <c r="E580" s="103"/>
      <c r="F580" s="103"/>
      <c r="G580" s="103"/>
      <c r="H580" s="103"/>
      <c r="I580" s="103"/>
      <c r="J580" s="103"/>
      <c r="K580" s="103"/>
      <c r="L580" s="103"/>
      <c r="M580" s="103"/>
      <c r="N580" s="103"/>
      <c r="O580" s="103"/>
      <c r="P580" s="103"/>
      <c r="Q580" s="103"/>
      <c r="R580" s="103"/>
      <c r="S580" s="103"/>
      <c r="T580" s="103"/>
      <c r="U580" s="103"/>
      <c r="V580" s="103"/>
      <c r="W580" s="103"/>
      <c r="X580" s="103"/>
      <c r="Y580" s="157"/>
      <c r="Z580" s="157"/>
    </row>
    <row r="581" spans="1:26">
      <c r="A581" s="103"/>
      <c r="B581" s="103"/>
      <c r="C581" s="103"/>
      <c r="D581" s="103"/>
      <c r="E581" s="103"/>
      <c r="F581" s="103"/>
      <c r="G581" s="103"/>
      <c r="H581" s="103"/>
      <c r="I581" s="103"/>
      <c r="J581" s="103"/>
      <c r="K581" s="103"/>
      <c r="L581" s="103"/>
      <c r="M581" s="103"/>
      <c r="N581" s="103"/>
      <c r="O581" s="103"/>
      <c r="P581" s="103"/>
      <c r="Q581" s="103"/>
      <c r="R581" s="103"/>
      <c r="S581" s="103"/>
      <c r="T581" s="103"/>
      <c r="U581" s="103"/>
      <c r="V581" s="103"/>
      <c r="W581" s="103"/>
      <c r="X581" s="103"/>
      <c r="Y581" s="157"/>
      <c r="Z581" s="157"/>
    </row>
    <row r="582" spans="1:26">
      <c r="A582" s="103"/>
      <c r="B582" s="103"/>
      <c r="C582" s="103"/>
      <c r="D582" s="103"/>
      <c r="E582" s="103"/>
      <c r="F582" s="103"/>
      <c r="G582" s="103"/>
      <c r="H582" s="103"/>
      <c r="I582" s="103"/>
      <c r="J582" s="103"/>
      <c r="K582" s="103"/>
      <c r="L582" s="103"/>
      <c r="M582" s="103"/>
      <c r="N582" s="103"/>
      <c r="O582" s="103"/>
      <c r="P582" s="103"/>
      <c r="Q582" s="103"/>
      <c r="R582" s="103"/>
      <c r="S582" s="103"/>
      <c r="T582" s="103"/>
      <c r="U582" s="103"/>
      <c r="V582" s="103"/>
      <c r="W582" s="103"/>
      <c r="X582" s="103"/>
      <c r="Y582" s="157"/>
      <c r="Z582" s="157"/>
    </row>
    <row r="583" spans="1:26">
      <c r="A583" s="103"/>
      <c r="B583" s="103"/>
      <c r="C583" s="103"/>
      <c r="D583" s="103"/>
      <c r="E583" s="103"/>
      <c r="F583" s="103"/>
      <c r="G583" s="103"/>
      <c r="H583" s="103"/>
      <c r="I583" s="103"/>
      <c r="J583" s="103"/>
      <c r="K583" s="103"/>
      <c r="L583" s="103"/>
      <c r="M583" s="103"/>
      <c r="N583" s="103"/>
      <c r="O583" s="103"/>
      <c r="P583" s="103"/>
      <c r="Q583" s="103"/>
      <c r="R583" s="103"/>
      <c r="S583" s="103"/>
      <c r="T583" s="103"/>
      <c r="U583" s="103"/>
      <c r="V583" s="103"/>
      <c r="W583" s="103"/>
      <c r="X583" s="103"/>
      <c r="Y583" s="157"/>
      <c r="Z583" s="157"/>
    </row>
    <row r="584" spans="1:26">
      <c r="A584" s="103"/>
      <c r="B584" s="103"/>
      <c r="C584" s="103"/>
      <c r="D584" s="103"/>
      <c r="E584" s="103"/>
      <c r="F584" s="103"/>
      <c r="G584" s="103"/>
      <c r="H584" s="103"/>
      <c r="I584" s="103"/>
      <c r="J584" s="103"/>
      <c r="K584" s="103"/>
      <c r="L584" s="103"/>
      <c r="M584" s="103"/>
      <c r="N584" s="103"/>
      <c r="O584" s="103"/>
      <c r="P584" s="103"/>
      <c r="Q584" s="103"/>
      <c r="R584" s="103"/>
      <c r="S584" s="103"/>
      <c r="T584" s="103"/>
      <c r="U584" s="103"/>
      <c r="V584" s="103"/>
      <c r="W584" s="103"/>
      <c r="X584" s="103"/>
      <c r="Y584" s="157"/>
      <c r="Z584" s="157"/>
    </row>
    <row r="585" spans="1:26">
      <c r="A585" s="103"/>
      <c r="B585" s="103"/>
      <c r="C585" s="103"/>
      <c r="D585" s="103"/>
      <c r="E585" s="103"/>
      <c r="F585" s="103"/>
      <c r="G585" s="103"/>
      <c r="H585" s="103"/>
      <c r="I585" s="103"/>
      <c r="J585" s="103"/>
      <c r="K585" s="103"/>
      <c r="L585" s="103"/>
      <c r="M585" s="103"/>
      <c r="N585" s="103"/>
      <c r="O585" s="103"/>
      <c r="P585" s="103"/>
      <c r="Q585" s="103"/>
      <c r="R585" s="103"/>
      <c r="S585" s="103"/>
      <c r="T585" s="103"/>
      <c r="U585" s="103"/>
      <c r="V585" s="103"/>
      <c r="W585" s="103"/>
      <c r="X585" s="103"/>
      <c r="Y585" s="157"/>
      <c r="Z585" s="157"/>
    </row>
    <row r="586" spans="1:26">
      <c r="A586" s="103"/>
      <c r="B586" s="103"/>
      <c r="C586" s="103"/>
      <c r="D586" s="103"/>
      <c r="E586" s="103"/>
      <c r="F586" s="103"/>
      <c r="G586" s="103"/>
      <c r="H586" s="103"/>
      <c r="I586" s="103"/>
      <c r="J586" s="103"/>
      <c r="K586" s="103"/>
      <c r="L586" s="103"/>
      <c r="M586" s="103"/>
      <c r="N586" s="103"/>
      <c r="O586" s="103"/>
      <c r="P586" s="103"/>
      <c r="Q586" s="103"/>
      <c r="R586" s="103"/>
      <c r="S586" s="103"/>
      <c r="T586" s="103"/>
      <c r="U586" s="103"/>
      <c r="V586" s="103"/>
      <c r="W586" s="103"/>
      <c r="X586" s="103"/>
      <c r="Y586" s="157"/>
      <c r="Z586" s="157"/>
    </row>
    <row r="587" spans="1:26">
      <c r="A587" s="103"/>
      <c r="B587" s="103"/>
      <c r="C587" s="103"/>
      <c r="D587" s="103"/>
      <c r="E587" s="103"/>
      <c r="F587" s="103"/>
      <c r="G587" s="103"/>
      <c r="H587" s="103"/>
      <c r="I587" s="103"/>
      <c r="J587" s="103"/>
      <c r="K587" s="103"/>
      <c r="L587" s="103"/>
      <c r="M587" s="103"/>
      <c r="N587" s="103"/>
      <c r="O587" s="103"/>
      <c r="P587" s="103"/>
      <c r="Q587" s="103"/>
      <c r="R587" s="103"/>
      <c r="S587" s="103"/>
      <c r="T587" s="103"/>
      <c r="U587" s="103"/>
      <c r="V587" s="103"/>
      <c r="W587" s="103"/>
      <c r="X587" s="103"/>
      <c r="Y587" s="157"/>
      <c r="Z587" s="157"/>
    </row>
    <row r="588" spans="1:26">
      <c r="A588" s="103"/>
      <c r="B588" s="103"/>
      <c r="C588" s="103"/>
      <c r="D588" s="103"/>
      <c r="E588" s="103"/>
      <c r="F588" s="103"/>
      <c r="G588" s="103"/>
      <c r="H588" s="103"/>
      <c r="I588" s="103"/>
      <c r="J588" s="103"/>
      <c r="K588" s="103"/>
      <c r="L588" s="103"/>
      <c r="M588" s="103"/>
      <c r="N588" s="103"/>
      <c r="O588" s="103"/>
      <c r="P588" s="103"/>
      <c r="Q588" s="103"/>
      <c r="R588" s="103"/>
      <c r="S588" s="103"/>
      <c r="T588" s="103"/>
      <c r="U588" s="103"/>
      <c r="V588" s="103"/>
      <c r="W588" s="103"/>
      <c r="X588" s="103"/>
      <c r="Y588" s="157"/>
      <c r="Z588" s="157"/>
    </row>
    <row r="589" spans="1:26">
      <c r="A589" s="103"/>
      <c r="B589" s="103"/>
      <c r="C589" s="103"/>
      <c r="D589" s="103"/>
      <c r="E589" s="103"/>
      <c r="F589" s="103"/>
      <c r="G589" s="103"/>
      <c r="H589" s="103"/>
      <c r="I589" s="103"/>
      <c r="J589" s="103"/>
      <c r="K589" s="103"/>
      <c r="L589" s="103"/>
      <c r="M589" s="103"/>
      <c r="N589" s="103"/>
      <c r="O589" s="103"/>
      <c r="P589" s="103"/>
      <c r="Q589" s="103"/>
      <c r="R589" s="103"/>
      <c r="S589" s="103"/>
      <c r="T589" s="103"/>
      <c r="U589" s="103"/>
      <c r="V589" s="103"/>
      <c r="W589" s="103"/>
      <c r="X589" s="103"/>
      <c r="Y589" s="157"/>
      <c r="Z589" s="157"/>
    </row>
    <row r="590" spans="1:26">
      <c r="A590" s="103"/>
      <c r="B590" s="103"/>
      <c r="C590" s="103"/>
      <c r="D590" s="103"/>
      <c r="E590" s="103"/>
      <c r="F590" s="103"/>
      <c r="G590" s="103"/>
      <c r="H590" s="103"/>
      <c r="I590" s="103"/>
      <c r="J590" s="103"/>
      <c r="K590" s="103"/>
      <c r="L590" s="103"/>
      <c r="M590" s="103"/>
      <c r="N590" s="103"/>
      <c r="O590" s="103"/>
      <c r="P590" s="103"/>
      <c r="Q590" s="103"/>
      <c r="R590" s="103"/>
      <c r="S590" s="103"/>
      <c r="T590" s="103"/>
      <c r="U590" s="103"/>
      <c r="V590" s="103"/>
      <c r="W590" s="103"/>
      <c r="X590" s="103"/>
      <c r="Y590" s="157"/>
      <c r="Z590" s="157"/>
    </row>
    <row r="591" spans="1:26">
      <c r="A591" s="103"/>
      <c r="B591" s="103"/>
      <c r="C591" s="103"/>
      <c r="D591" s="103"/>
      <c r="E591" s="103"/>
      <c r="F591" s="103"/>
      <c r="G591" s="103"/>
      <c r="H591" s="103"/>
      <c r="I591" s="103"/>
      <c r="J591" s="103"/>
      <c r="K591" s="103"/>
      <c r="L591" s="103"/>
      <c r="M591" s="103"/>
      <c r="N591" s="103"/>
      <c r="O591" s="103"/>
      <c r="P591" s="103"/>
      <c r="Q591" s="103"/>
      <c r="R591" s="103"/>
      <c r="S591" s="103"/>
      <c r="T591" s="103"/>
      <c r="U591" s="103"/>
      <c r="V591" s="103"/>
      <c r="W591" s="103"/>
      <c r="X591" s="103"/>
      <c r="Y591" s="157"/>
      <c r="Z591" s="157"/>
    </row>
    <row r="592" spans="1:26">
      <c r="A592" s="103"/>
      <c r="B592" s="103"/>
      <c r="C592" s="103"/>
      <c r="D592" s="103"/>
      <c r="E592" s="103"/>
      <c r="F592" s="103"/>
      <c r="G592" s="103"/>
      <c r="H592" s="103"/>
      <c r="I592" s="103"/>
      <c r="J592" s="103"/>
      <c r="K592" s="103"/>
      <c r="L592" s="103"/>
      <c r="M592" s="103"/>
      <c r="N592" s="103"/>
      <c r="O592" s="103"/>
      <c r="P592" s="103"/>
      <c r="Q592" s="103"/>
      <c r="R592" s="103"/>
      <c r="S592" s="103"/>
      <c r="T592" s="103"/>
      <c r="U592" s="103"/>
      <c r="V592" s="103"/>
      <c r="W592" s="103"/>
      <c r="X592" s="103"/>
      <c r="Y592" s="157"/>
      <c r="Z592" s="157"/>
    </row>
    <row r="593" spans="1:26">
      <c r="A593" s="103"/>
      <c r="B593" s="103"/>
      <c r="C593" s="103"/>
      <c r="D593" s="103"/>
      <c r="E593" s="103"/>
      <c r="F593" s="103"/>
      <c r="G593" s="103"/>
      <c r="H593" s="103"/>
      <c r="I593" s="103"/>
      <c r="J593" s="103"/>
      <c r="K593" s="103"/>
      <c r="L593" s="103"/>
      <c r="M593" s="103"/>
      <c r="N593" s="103"/>
      <c r="O593" s="103"/>
      <c r="P593" s="103"/>
      <c r="Q593" s="103"/>
      <c r="R593" s="103"/>
      <c r="S593" s="103"/>
      <c r="T593" s="103"/>
      <c r="U593" s="103"/>
      <c r="V593" s="103"/>
      <c r="W593" s="103"/>
      <c r="X593" s="103"/>
      <c r="Y593" s="157"/>
      <c r="Z593" s="157"/>
    </row>
    <row r="594" spans="1:26">
      <c r="A594" s="103"/>
      <c r="B594" s="103"/>
      <c r="C594" s="103"/>
      <c r="D594" s="103"/>
      <c r="E594" s="103"/>
      <c r="F594" s="103"/>
      <c r="G594" s="103"/>
      <c r="H594" s="103"/>
      <c r="I594" s="103"/>
      <c r="J594" s="103"/>
      <c r="K594" s="103"/>
      <c r="L594" s="103"/>
      <c r="M594" s="103"/>
      <c r="N594" s="103"/>
      <c r="O594" s="103"/>
      <c r="P594" s="103"/>
      <c r="Q594" s="103"/>
      <c r="R594" s="103"/>
      <c r="S594" s="103"/>
      <c r="T594" s="103"/>
      <c r="U594" s="103"/>
      <c r="V594" s="103"/>
      <c r="W594" s="103"/>
      <c r="X594" s="103"/>
      <c r="Y594" s="157"/>
      <c r="Z594" s="157"/>
    </row>
    <row r="595" spans="1:26">
      <c r="A595" s="103"/>
      <c r="B595" s="103"/>
      <c r="C595" s="103"/>
      <c r="D595" s="103"/>
      <c r="E595" s="103"/>
      <c r="F595" s="103"/>
      <c r="G595" s="103"/>
      <c r="H595" s="103"/>
      <c r="I595" s="103"/>
      <c r="J595" s="103"/>
      <c r="K595" s="103"/>
      <c r="L595" s="103"/>
      <c r="M595" s="103"/>
      <c r="N595" s="103"/>
      <c r="O595" s="103"/>
      <c r="P595" s="103"/>
      <c r="Q595" s="103"/>
      <c r="R595" s="103"/>
      <c r="S595" s="103"/>
      <c r="T595" s="103"/>
      <c r="U595" s="103"/>
      <c r="V595" s="103"/>
      <c r="W595" s="103"/>
      <c r="X595" s="103"/>
      <c r="Y595" s="157"/>
      <c r="Z595" s="157"/>
    </row>
    <row r="596" spans="1:26">
      <c r="A596" s="103"/>
      <c r="B596" s="103"/>
      <c r="C596" s="103"/>
      <c r="D596" s="103"/>
      <c r="E596" s="103"/>
      <c r="F596" s="103"/>
      <c r="G596" s="103"/>
      <c r="H596" s="103"/>
      <c r="I596" s="103"/>
      <c r="J596" s="103"/>
      <c r="K596" s="103"/>
      <c r="L596" s="103"/>
      <c r="M596" s="103"/>
      <c r="N596" s="103"/>
      <c r="O596" s="103"/>
      <c r="P596" s="103"/>
      <c r="Q596" s="103"/>
      <c r="R596" s="103"/>
      <c r="S596" s="103"/>
      <c r="T596" s="103"/>
      <c r="U596" s="103"/>
      <c r="V596" s="103"/>
      <c r="W596" s="103"/>
      <c r="X596" s="103"/>
      <c r="Y596" s="157"/>
      <c r="Z596" s="157"/>
    </row>
    <row r="597" spans="1:26">
      <c r="A597" s="103"/>
      <c r="B597" s="103"/>
      <c r="C597" s="103"/>
      <c r="D597" s="103"/>
      <c r="E597" s="103"/>
      <c r="F597" s="103"/>
      <c r="G597" s="103"/>
      <c r="H597" s="103"/>
      <c r="I597" s="103"/>
      <c r="J597" s="103"/>
      <c r="K597" s="103"/>
      <c r="L597" s="103"/>
      <c r="M597" s="103"/>
      <c r="N597" s="103"/>
      <c r="O597" s="103"/>
      <c r="P597" s="103"/>
      <c r="Q597" s="103"/>
      <c r="R597" s="103"/>
      <c r="S597" s="103"/>
      <c r="T597" s="103"/>
      <c r="U597" s="103"/>
      <c r="V597" s="103"/>
      <c r="W597" s="103"/>
      <c r="X597" s="103"/>
      <c r="Y597" s="157"/>
      <c r="Z597" s="157"/>
    </row>
    <row r="598" spans="1:26">
      <c r="A598" s="103"/>
      <c r="B598" s="103"/>
      <c r="C598" s="103"/>
      <c r="D598" s="103"/>
      <c r="E598" s="103"/>
      <c r="F598" s="103"/>
      <c r="G598" s="103"/>
      <c r="H598" s="103"/>
      <c r="I598" s="103"/>
      <c r="J598" s="103"/>
      <c r="K598" s="103"/>
      <c r="L598" s="103"/>
      <c r="M598" s="103"/>
      <c r="N598" s="103"/>
      <c r="O598" s="103"/>
      <c r="P598" s="103"/>
      <c r="Q598" s="103"/>
      <c r="R598" s="103"/>
      <c r="S598" s="103"/>
      <c r="T598" s="103"/>
      <c r="U598" s="103"/>
      <c r="V598" s="103"/>
      <c r="W598" s="103"/>
      <c r="X598" s="103"/>
      <c r="Y598" s="157"/>
      <c r="Z598" s="157"/>
    </row>
    <row r="599" spans="1:26">
      <c r="A599" s="103"/>
      <c r="B599" s="103"/>
      <c r="C599" s="103"/>
      <c r="D599" s="103"/>
      <c r="E599" s="103"/>
      <c r="F599" s="103"/>
      <c r="G599" s="103"/>
      <c r="H599" s="103"/>
      <c r="I599" s="103"/>
      <c r="J599" s="103"/>
      <c r="K599" s="103"/>
      <c r="L599" s="103"/>
      <c r="M599" s="103"/>
      <c r="N599" s="103"/>
      <c r="O599" s="103"/>
      <c r="P599" s="103"/>
      <c r="Q599" s="103"/>
      <c r="R599" s="103"/>
      <c r="S599" s="103"/>
      <c r="T599" s="103"/>
      <c r="U599" s="103"/>
      <c r="V599" s="103"/>
      <c r="W599" s="103"/>
      <c r="X599" s="103"/>
      <c r="Y599" s="157"/>
      <c r="Z599" s="157"/>
    </row>
    <row r="600" spans="1:26">
      <c r="A600" s="103"/>
      <c r="B600" s="103"/>
      <c r="C600" s="103"/>
      <c r="D600" s="103"/>
      <c r="E600" s="103"/>
      <c r="F600" s="103"/>
      <c r="G600" s="103"/>
      <c r="H600" s="103"/>
      <c r="I600" s="103"/>
      <c r="J600" s="103"/>
      <c r="K600" s="103"/>
      <c r="L600" s="103"/>
      <c r="M600" s="103"/>
      <c r="N600" s="103"/>
      <c r="O600" s="103"/>
      <c r="P600" s="103"/>
      <c r="Q600" s="103"/>
      <c r="R600" s="103"/>
      <c r="S600" s="103"/>
      <c r="T600" s="103"/>
      <c r="U600" s="103"/>
      <c r="V600" s="103"/>
      <c r="W600" s="103"/>
      <c r="X600" s="103"/>
      <c r="Y600" s="157"/>
      <c r="Z600" s="157"/>
    </row>
    <row r="601" spans="1:26">
      <c r="A601" s="103"/>
      <c r="B601" s="103"/>
      <c r="C601" s="103"/>
      <c r="D601" s="103"/>
      <c r="E601" s="103"/>
      <c r="F601" s="103"/>
      <c r="G601" s="103"/>
      <c r="H601" s="103"/>
      <c r="I601" s="103"/>
      <c r="J601" s="103"/>
      <c r="K601" s="103"/>
      <c r="L601" s="103"/>
      <c r="M601" s="103"/>
      <c r="N601" s="103"/>
      <c r="O601" s="103"/>
      <c r="P601" s="103"/>
      <c r="Q601" s="103"/>
      <c r="R601" s="103"/>
      <c r="S601" s="103"/>
      <c r="T601" s="103"/>
      <c r="U601" s="103"/>
      <c r="V601" s="103"/>
      <c r="W601" s="103"/>
      <c r="X601" s="103"/>
      <c r="Y601" s="157"/>
      <c r="Z601" s="157"/>
    </row>
    <row r="602" spans="1:26">
      <c r="A602" s="103"/>
      <c r="B602" s="103"/>
      <c r="C602" s="103"/>
      <c r="D602" s="103"/>
      <c r="E602" s="103"/>
      <c r="F602" s="103"/>
      <c r="G602" s="103"/>
      <c r="H602" s="103"/>
      <c r="I602" s="103"/>
      <c r="J602" s="103"/>
      <c r="K602" s="103"/>
      <c r="L602" s="103"/>
      <c r="M602" s="103"/>
      <c r="N602" s="103"/>
      <c r="O602" s="103"/>
      <c r="P602" s="103"/>
      <c r="Q602" s="103"/>
      <c r="R602" s="103"/>
      <c r="S602" s="103"/>
      <c r="T602" s="103"/>
      <c r="U602" s="103"/>
      <c r="V602" s="103"/>
      <c r="W602" s="103"/>
      <c r="X602" s="103"/>
      <c r="Y602" s="157"/>
      <c r="Z602" s="157"/>
    </row>
    <row r="603" spans="1:26">
      <c r="A603" s="103"/>
      <c r="B603" s="103"/>
      <c r="C603" s="103"/>
      <c r="D603" s="103"/>
      <c r="E603" s="103"/>
      <c r="F603" s="103"/>
      <c r="G603" s="103"/>
      <c r="H603" s="103"/>
      <c r="I603" s="103"/>
      <c r="J603" s="103"/>
      <c r="K603" s="103"/>
      <c r="L603" s="103"/>
      <c r="M603" s="103"/>
      <c r="N603" s="103"/>
      <c r="O603" s="103"/>
      <c r="P603" s="103"/>
      <c r="Q603" s="103"/>
      <c r="R603" s="103"/>
      <c r="S603" s="103"/>
      <c r="T603" s="103"/>
      <c r="U603" s="103"/>
      <c r="V603" s="103"/>
      <c r="W603" s="103"/>
      <c r="X603" s="103"/>
      <c r="Y603" s="157"/>
      <c r="Z603" s="157"/>
    </row>
    <row r="604" spans="1:26">
      <c r="A604" s="103"/>
      <c r="B604" s="103"/>
      <c r="C604" s="103"/>
      <c r="D604" s="103"/>
      <c r="E604" s="103"/>
      <c r="F604" s="103"/>
      <c r="G604" s="103"/>
      <c r="H604" s="103"/>
      <c r="I604" s="103"/>
      <c r="J604" s="103"/>
      <c r="K604" s="103"/>
      <c r="L604" s="103"/>
      <c r="M604" s="103"/>
      <c r="N604" s="103"/>
      <c r="O604" s="103"/>
      <c r="P604" s="103"/>
      <c r="Q604" s="103"/>
      <c r="R604" s="103"/>
      <c r="S604" s="103"/>
      <c r="T604" s="103"/>
      <c r="U604" s="103"/>
      <c r="V604" s="103"/>
      <c r="W604" s="103"/>
      <c r="X604" s="103"/>
      <c r="Y604" s="157"/>
      <c r="Z604" s="157"/>
    </row>
    <row r="605" spans="1:26">
      <c r="A605" s="103"/>
      <c r="B605" s="103"/>
      <c r="C605" s="103"/>
      <c r="D605" s="103"/>
      <c r="E605" s="103"/>
      <c r="F605" s="103"/>
      <c r="G605" s="103"/>
      <c r="H605" s="103"/>
      <c r="I605" s="103"/>
      <c r="J605" s="103"/>
      <c r="K605" s="103"/>
      <c r="L605" s="103"/>
      <c r="M605" s="103"/>
      <c r="N605" s="103"/>
      <c r="O605" s="103"/>
      <c r="P605" s="103"/>
      <c r="Q605" s="103"/>
      <c r="R605" s="103"/>
      <c r="S605" s="103"/>
      <c r="T605" s="103"/>
      <c r="U605" s="103"/>
      <c r="V605" s="103"/>
      <c r="W605" s="103"/>
      <c r="X605" s="103"/>
      <c r="Y605" s="157"/>
      <c r="Z605" s="157"/>
    </row>
    <row r="606" spans="1:26">
      <c r="A606" s="103"/>
      <c r="B606" s="103"/>
      <c r="C606" s="103"/>
      <c r="D606" s="103"/>
      <c r="E606" s="103"/>
      <c r="F606" s="103"/>
      <c r="G606" s="103"/>
      <c r="H606" s="103"/>
      <c r="I606" s="103"/>
      <c r="J606" s="103"/>
      <c r="K606" s="103"/>
      <c r="L606" s="103"/>
      <c r="M606" s="103"/>
      <c r="N606" s="103"/>
      <c r="O606" s="103"/>
      <c r="P606" s="103"/>
      <c r="Q606" s="103"/>
      <c r="R606" s="103"/>
      <c r="S606" s="103"/>
      <c r="T606" s="103"/>
      <c r="U606" s="103"/>
      <c r="V606" s="103"/>
      <c r="W606" s="103"/>
      <c r="X606" s="103"/>
      <c r="Y606" s="157"/>
      <c r="Z606" s="157"/>
    </row>
    <row r="607" spans="1:26">
      <c r="A607" s="103"/>
      <c r="B607" s="103"/>
      <c r="C607" s="103"/>
      <c r="D607" s="103"/>
      <c r="E607" s="103"/>
      <c r="F607" s="103"/>
      <c r="G607" s="103"/>
      <c r="H607" s="103"/>
      <c r="I607" s="103"/>
      <c r="J607" s="103"/>
      <c r="K607" s="103"/>
      <c r="L607" s="103"/>
      <c r="M607" s="103"/>
      <c r="N607" s="103"/>
      <c r="O607" s="103"/>
      <c r="P607" s="103"/>
      <c r="Q607" s="103"/>
      <c r="R607" s="103"/>
      <c r="S607" s="103"/>
      <c r="T607" s="103"/>
      <c r="U607" s="103"/>
      <c r="V607" s="103"/>
      <c r="W607" s="103"/>
      <c r="X607" s="103"/>
      <c r="Y607" s="157"/>
      <c r="Z607" s="157"/>
    </row>
    <row r="608" spans="1:26">
      <c r="A608" s="103"/>
      <c r="B608" s="103"/>
      <c r="C608" s="103"/>
      <c r="D608" s="103"/>
      <c r="E608" s="103"/>
      <c r="F608" s="103"/>
      <c r="G608" s="103"/>
      <c r="H608" s="103"/>
      <c r="I608" s="103"/>
      <c r="J608" s="103"/>
      <c r="K608" s="103"/>
      <c r="L608" s="103"/>
      <c r="M608" s="103"/>
      <c r="N608" s="103"/>
      <c r="O608" s="103"/>
      <c r="P608" s="103"/>
      <c r="Q608" s="103"/>
      <c r="R608" s="103"/>
      <c r="S608" s="103"/>
      <c r="T608" s="103"/>
      <c r="U608" s="103"/>
      <c r="V608" s="103"/>
      <c r="W608" s="103"/>
      <c r="X608" s="103"/>
      <c r="Y608" s="157"/>
      <c r="Z608" s="157"/>
    </row>
    <row r="609" spans="1:26">
      <c r="A609" s="103"/>
      <c r="B609" s="103"/>
      <c r="C609" s="103"/>
      <c r="D609" s="103"/>
      <c r="E609" s="103"/>
      <c r="F609" s="103"/>
      <c r="G609" s="103"/>
      <c r="H609" s="103"/>
      <c r="I609" s="103"/>
      <c r="J609" s="103"/>
      <c r="K609" s="103"/>
      <c r="L609" s="103"/>
      <c r="M609" s="103"/>
      <c r="N609" s="103"/>
      <c r="O609" s="103"/>
      <c r="P609" s="103"/>
      <c r="Q609" s="103"/>
      <c r="R609" s="103"/>
      <c r="S609" s="103"/>
      <c r="T609" s="103"/>
      <c r="U609" s="103"/>
      <c r="V609" s="103"/>
      <c r="W609" s="103"/>
      <c r="X609" s="103"/>
      <c r="Y609" s="157"/>
      <c r="Z609" s="157"/>
    </row>
    <row r="610" spans="1:26">
      <c r="A610" s="103"/>
      <c r="B610" s="103"/>
      <c r="C610" s="103"/>
      <c r="D610" s="103"/>
      <c r="E610" s="103"/>
      <c r="F610" s="103"/>
      <c r="G610" s="103"/>
      <c r="H610" s="103"/>
      <c r="I610" s="103"/>
      <c r="J610" s="103"/>
      <c r="K610" s="103"/>
      <c r="L610" s="103"/>
      <c r="M610" s="103"/>
      <c r="N610" s="103"/>
      <c r="O610" s="103"/>
      <c r="P610" s="103"/>
      <c r="Q610" s="103"/>
      <c r="R610" s="103"/>
      <c r="S610" s="103"/>
      <c r="T610" s="103"/>
      <c r="U610" s="103"/>
      <c r="V610" s="103"/>
      <c r="W610" s="103"/>
      <c r="X610" s="103"/>
      <c r="Y610" s="157"/>
      <c r="Z610" s="157"/>
    </row>
    <row r="611" spans="1:26">
      <c r="A611" s="103"/>
      <c r="B611" s="103"/>
      <c r="C611" s="103"/>
      <c r="D611" s="103"/>
      <c r="E611" s="103"/>
      <c r="F611" s="103"/>
      <c r="G611" s="103"/>
      <c r="H611" s="103"/>
      <c r="I611" s="103"/>
      <c r="J611" s="103"/>
      <c r="K611" s="103"/>
      <c r="L611" s="103"/>
      <c r="M611" s="103"/>
      <c r="N611" s="103"/>
      <c r="O611" s="103"/>
      <c r="P611" s="103"/>
      <c r="Q611" s="103"/>
      <c r="R611" s="103"/>
      <c r="S611" s="103"/>
      <c r="T611" s="103"/>
      <c r="U611" s="103"/>
      <c r="V611" s="103"/>
      <c r="W611" s="103"/>
      <c r="X611" s="103"/>
      <c r="Y611" s="157"/>
      <c r="Z611" s="157"/>
    </row>
    <row r="612" spans="1:26">
      <c r="A612" s="103"/>
      <c r="B612" s="103"/>
      <c r="C612" s="103"/>
      <c r="D612" s="103"/>
      <c r="E612" s="103"/>
      <c r="F612" s="103"/>
      <c r="G612" s="103"/>
      <c r="H612" s="103"/>
      <c r="I612" s="103"/>
      <c r="J612" s="103"/>
      <c r="K612" s="103"/>
      <c r="L612" s="103"/>
      <c r="M612" s="103"/>
      <c r="N612" s="103"/>
      <c r="O612" s="103"/>
      <c r="P612" s="103"/>
      <c r="Q612" s="103"/>
      <c r="R612" s="103"/>
      <c r="S612" s="103"/>
      <c r="T612" s="103"/>
      <c r="U612" s="103"/>
      <c r="V612" s="103"/>
      <c r="W612" s="103"/>
      <c r="X612" s="103"/>
      <c r="Y612" s="157"/>
      <c r="Z612" s="157"/>
    </row>
    <row r="613" spans="1:26">
      <c r="A613" s="103"/>
      <c r="B613" s="103"/>
      <c r="C613" s="103"/>
      <c r="D613" s="103"/>
      <c r="E613" s="103"/>
      <c r="F613" s="103"/>
      <c r="G613" s="103"/>
      <c r="H613" s="103"/>
      <c r="I613" s="103"/>
      <c r="J613" s="103"/>
      <c r="K613" s="103"/>
      <c r="L613" s="103"/>
      <c r="M613" s="103"/>
      <c r="N613" s="103"/>
      <c r="O613" s="103"/>
      <c r="P613" s="103"/>
      <c r="Q613" s="103"/>
      <c r="R613" s="103"/>
      <c r="S613" s="103"/>
      <c r="T613" s="103"/>
      <c r="U613" s="103"/>
      <c r="V613" s="103"/>
      <c r="W613" s="103"/>
      <c r="X613" s="103"/>
      <c r="Y613" s="157"/>
      <c r="Z613" s="157"/>
    </row>
    <row r="614" spans="1:26">
      <c r="A614" s="103"/>
      <c r="B614" s="103"/>
      <c r="C614" s="103"/>
      <c r="D614" s="103"/>
      <c r="E614" s="103"/>
      <c r="F614" s="103"/>
      <c r="G614" s="103"/>
      <c r="H614" s="103"/>
      <c r="I614" s="103"/>
      <c r="J614" s="103"/>
      <c r="K614" s="103"/>
      <c r="L614" s="103"/>
      <c r="M614" s="103"/>
      <c r="N614" s="103"/>
      <c r="O614" s="103"/>
      <c r="P614" s="103"/>
      <c r="Q614" s="103"/>
      <c r="R614" s="103"/>
      <c r="S614" s="103"/>
      <c r="T614" s="103"/>
      <c r="U614" s="103"/>
      <c r="V614" s="103"/>
      <c r="W614" s="103"/>
      <c r="X614" s="103"/>
      <c r="Y614" s="157"/>
      <c r="Z614" s="157"/>
    </row>
    <row r="615" spans="1:26">
      <c r="A615" s="103"/>
      <c r="B615" s="103"/>
      <c r="C615" s="103"/>
      <c r="D615" s="103"/>
      <c r="E615" s="103"/>
      <c r="F615" s="103"/>
      <c r="G615" s="103"/>
      <c r="H615" s="103"/>
      <c r="I615" s="103"/>
      <c r="J615" s="103"/>
      <c r="K615" s="103"/>
      <c r="L615" s="103"/>
      <c r="M615" s="103"/>
      <c r="N615" s="103"/>
      <c r="O615" s="103"/>
      <c r="P615" s="103"/>
      <c r="Q615" s="103"/>
      <c r="R615" s="103"/>
      <c r="S615" s="103"/>
      <c r="T615" s="103"/>
      <c r="U615" s="103"/>
      <c r="V615" s="103"/>
      <c r="W615" s="103"/>
      <c r="X615" s="103"/>
      <c r="Y615" s="157"/>
      <c r="Z615" s="157"/>
    </row>
    <row r="616" spans="1:26">
      <c r="A616" s="103"/>
      <c r="B616" s="103"/>
      <c r="C616" s="103"/>
      <c r="D616" s="103"/>
      <c r="E616" s="103"/>
      <c r="F616" s="103"/>
      <c r="G616" s="103"/>
      <c r="H616" s="103"/>
      <c r="I616" s="103"/>
      <c r="J616" s="103"/>
      <c r="K616" s="103"/>
      <c r="L616" s="103"/>
      <c r="M616" s="103"/>
      <c r="N616" s="103"/>
      <c r="O616" s="103"/>
      <c r="P616" s="103"/>
      <c r="Q616" s="103"/>
      <c r="R616" s="103"/>
      <c r="S616" s="103"/>
      <c r="T616" s="103"/>
      <c r="U616" s="103"/>
      <c r="V616" s="103"/>
      <c r="W616" s="103"/>
      <c r="X616" s="103"/>
      <c r="Y616" s="157"/>
      <c r="Z616" s="157"/>
    </row>
    <row r="617" spans="1:26">
      <c r="A617" s="103"/>
      <c r="B617" s="103"/>
      <c r="C617" s="103"/>
      <c r="D617" s="103"/>
      <c r="E617" s="103"/>
      <c r="F617" s="103"/>
      <c r="G617" s="103"/>
      <c r="H617" s="103"/>
      <c r="I617" s="103"/>
      <c r="J617" s="103"/>
      <c r="K617" s="103"/>
      <c r="L617" s="103"/>
      <c r="M617" s="103"/>
      <c r="N617" s="103"/>
      <c r="O617" s="103"/>
      <c r="P617" s="103"/>
      <c r="Q617" s="103"/>
      <c r="R617" s="103"/>
      <c r="S617" s="103"/>
      <c r="T617" s="103"/>
      <c r="U617" s="103"/>
      <c r="V617" s="103"/>
      <c r="W617" s="103"/>
      <c r="X617" s="103"/>
      <c r="Y617" s="157"/>
      <c r="Z617" s="157"/>
    </row>
    <row r="618" spans="1:26">
      <c r="A618" s="103"/>
      <c r="B618" s="103"/>
      <c r="C618" s="103"/>
      <c r="D618" s="103"/>
      <c r="E618" s="103"/>
      <c r="F618" s="103"/>
      <c r="G618" s="103"/>
      <c r="H618" s="103"/>
      <c r="I618" s="103"/>
      <c r="J618" s="103"/>
      <c r="K618" s="103"/>
      <c r="L618" s="103"/>
      <c r="M618" s="103"/>
      <c r="N618" s="103"/>
      <c r="O618" s="103"/>
      <c r="P618" s="103"/>
      <c r="Q618" s="103"/>
      <c r="R618" s="103"/>
      <c r="S618" s="103"/>
      <c r="T618" s="103"/>
      <c r="U618" s="103"/>
      <c r="V618" s="103"/>
      <c r="W618" s="103"/>
      <c r="X618" s="103"/>
      <c r="Y618" s="157"/>
      <c r="Z618" s="157"/>
    </row>
    <row r="619" spans="1:26">
      <c r="A619" s="103"/>
      <c r="B619" s="103"/>
      <c r="C619" s="103"/>
      <c r="D619" s="103"/>
      <c r="E619" s="103"/>
      <c r="F619" s="103"/>
      <c r="G619" s="103"/>
      <c r="H619" s="103"/>
      <c r="I619" s="103"/>
      <c r="J619" s="103"/>
      <c r="K619" s="103"/>
      <c r="L619" s="103"/>
      <c r="M619" s="103"/>
      <c r="N619" s="103"/>
      <c r="O619" s="103"/>
      <c r="P619" s="103"/>
      <c r="Q619" s="103"/>
      <c r="R619" s="103"/>
      <c r="S619" s="103"/>
      <c r="T619" s="103"/>
      <c r="U619" s="103"/>
      <c r="V619" s="103"/>
      <c r="W619" s="103"/>
      <c r="X619" s="103"/>
      <c r="Y619" s="157"/>
      <c r="Z619" s="157"/>
    </row>
    <row r="620" spans="1:26">
      <c r="A620" s="103"/>
      <c r="B620" s="103"/>
      <c r="C620" s="103"/>
      <c r="D620" s="103"/>
      <c r="E620" s="103"/>
      <c r="F620" s="103"/>
      <c r="G620" s="103"/>
      <c r="H620" s="103"/>
      <c r="I620" s="103"/>
      <c r="J620" s="103"/>
      <c r="K620" s="103"/>
      <c r="L620" s="103"/>
      <c r="M620" s="103"/>
      <c r="N620" s="103"/>
      <c r="O620" s="103"/>
      <c r="P620" s="103"/>
      <c r="Q620" s="103"/>
      <c r="R620" s="103"/>
      <c r="S620" s="103"/>
      <c r="T620" s="103"/>
      <c r="U620" s="103"/>
      <c r="V620" s="103"/>
      <c r="W620" s="103"/>
      <c r="X620" s="103"/>
      <c r="Y620" s="157"/>
      <c r="Z620" s="157"/>
    </row>
    <row r="621" spans="1:26">
      <c r="A621" s="103"/>
      <c r="B621" s="103"/>
      <c r="C621" s="103"/>
      <c r="D621" s="103"/>
      <c r="E621" s="103"/>
      <c r="F621" s="103"/>
      <c r="G621" s="103"/>
      <c r="H621" s="103"/>
      <c r="I621" s="103"/>
      <c r="J621" s="103"/>
      <c r="K621" s="103"/>
      <c r="L621" s="103"/>
      <c r="M621" s="103"/>
      <c r="N621" s="103"/>
      <c r="O621" s="103"/>
      <c r="P621" s="103"/>
      <c r="Q621" s="103"/>
      <c r="R621" s="103"/>
      <c r="S621" s="103"/>
      <c r="T621" s="103"/>
      <c r="U621" s="103"/>
      <c r="V621" s="103"/>
      <c r="W621" s="103"/>
      <c r="X621" s="103"/>
      <c r="Y621" s="157"/>
      <c r="Z621" s="157"/>
    </row>
    <row r="622" spans="1:26">
      <c r="A622" s="103"/>
      <c r="B622" s="103"/>
      <c r="C622" s="103"/>
      <c r="D622" s="103"/>
      <c r="E622" s="103"/>
      <c r="F622" s="103"/>
      <c r="G622" s="103"/>
      <c r="H622" s="103"/>
      <c r="I622" s="103"/>
      <c r="J622" s="103"/>
      <c r="K622" s="103"/>
      <c r="L622" s="103"/>
      <c r="M622" s="103"/>
      <c r="N622" s="103"/>
      <c r="O622" s="103"/>
      <c r="P622" s="103"/>
      <c r="Q622" s="103"/>
      <c r="R622" s="103"/>
      <c r="S622" s="103"/>
      <c r="T622" s="103"/>
      <c r="U622" s="103"/>
      <c r="V622" s="103"/>
      <c r="W622" s="103"/>
      <c r="X622" s="103"/>
      <c r="Y622" s="157"/>
      <c r="Z622" s="157"/>
    </row>
    <row r="623" spans="1:26">
      <c r="A623" s="103"/>
      <c r="B623" s="103"/>
      <c r="C623" s="103"/>
      <c r="D623" s="103"/>
      <c r="E623" s="103"/>
      <c r="F623" s="103"/>
      <c r="G623" s="103"/>
      <c r="H623" s="103"/>
      <c r="I623" s="103"/>
      <c r="J623" s="103"/>
      <c r="K623" s="103"/>
      <c r="L623" s="103"/>
      <c r="M623" s="103"/>
      <c r="N623" s="103"/>
      <c r="O623" s="103"/>
      <c r="P623" s="103"/>
      <c r="Q623" s="103"/>
      <c r="R623" s="103"/>
      <c r="S623" s="103"/>
      <c r="T623" s="103"/>
      <c r="U623" s="103"/>
      <c r="V623" s="103"/>
      <c r="W623" s="103"/>
      <c r="X623" s="103"/>
      <c r="Y623" s="157"/>
      <c r="Z623" s="157"/>
    </row>
    <row r="624" spans="1:26">
      <c r="A624" s="103"/>
      <c r="B624" s="103"/>
      <c r="C624" s="103"/>
      <c r="D624" s="103"/>
      <c r="E624" s="103"/>
      <c r="F624" s="103"/>
      <c r="G624" s="103"/>
      <c r="H624" s="103"/>
      <c r="I624" s="103"/>
      <c r="J624" s="103"/>
      <c r="K624" s="103"/>
      <c r="L624" s="103"/>
      <c r="M624" s="103"/>
      <c r="N624" s="103"/>
      <c r="O624" s="103"/>
      <c r="P624" s="103"/>
      <c r="Q624" s="103"/>
      <c r="R624" s="103"/>
      <c r="S624" s="103"/>
      <c r="T624" s="103"/>
      <c r="U624" s="103"/>
      <c r="V624" s="103"/>
      <c r="W624" s="103"/>
      <c r="X624" s="103"/>
      <c r="Y624" s="157"/>
      <c r="Z624" s="157"/>
    </row>
    <row r="625" spans="1:26">
      <c r="A625" s="103"/>
      <c r="B625" s="103"/>
      <c r="C625" s="103"/>
      <c r="D625" s="103"/>
      <c r="E625" s="103"/>
      <c r="F625" s="103"/>
      <c r="G625" s="103"/>
      <c r="H625" s="103"/>
      <c r="I625" s="103"/>
      <c r="J625" s="103"/>
      <c r="K625" s="103"/>
      <c r="L625" s="103"/>
      <c r="M625" s="103"/>
      <c r="N625" s="103"/>
      <c r="O625" s="103"/>
      <c r="P625" s="103"/>
      <c r="Q625" s="103"/>
      <c r="R625" s="103"/>
      <c r="S625" s="103"/>
      <c r="T625" s="103"/>
      <c r="U625" s="103"/>
      <c r="V625" s="103"/>
      <c r="W625" s="103"/>
      <c r="X625" s="103"/>
      <c r="Y625" s="157"/>
      <c r="Z625" s="157"/>
    </row>
    <row r="626" spans="1:26">
      <c r="A626" s="103"/>
      <c r="B626" s="103"/>
      <c r="C626" s="103"/>
      <c r="D626" s="103"/>
      <c r="E626" s="103"/>
      <c r="F626" s="103"/>
      <c r="G626" s="103"/>
      <c r="H626" s="103"/>
      <c r="I626" s="103"/>
      <c r="J626" s="103"/>
      <c r="K626" s="103"/>
      <c r="L626" s="103"/>
      <c r="M626" s="103"/>
      <c r="N626" s="103"/>
      <c r="O626" s="103"/>
      <c r="P626" s="103"/>
      <c r="Q626" s="103"/>
      <c r="R626" s="103"/>
      <c r="S626" s="103"/>
      <c r="T626" s="103"/>
      <c r="U626" s="103"/>
      <c r="V626" s="103"/>
      <c r="W626" s="103"/>
      <c r="X626" s="103"/>
      <c r="Y626" s="157"/>
      <c r="Z626" s="157"/>
    </row>
    <row r="627" spans="1:26">
      <c r="A627" s="103"/>
      <c r="B627" s="103"/>
      <c r="C627" s="103"/>
      <c r="D627" s="103"/>
      <c r="E627" s="103"/>
      <c r="F627" s="103"/>
      <c r="G627" s="103"/>
      <c r="H627" s="103"/>
      <c r="I627" s="103"/>
      <c r="J627" s="103"/>
      <c r="K627" s="103"/>
      <c r="L627" s="103"/>
      <c r="M627" s="103"/>
      <c r="N627" s="103"/>
      <c r="O627" s="103"/>
      <c r="P627" s="103"/>
      <c r="Q627" s="103"/>
      <c r="R627" s="103"/>
      <c r="S627" s="103"/>
      <c r="T627" s="103"/>
      <c r="U627" s="103"/>
      <c r="V627" s="103"/>
      <c r="W627" s="103"/>
      <c r="X627" s="103"/>
      <c r="Y627" s="157"/>
      <c r="Z627" s="157"/>
    </row>
    <row r="628" spans="1:26">
      <c r="A628" s="103"/>
      <c r="B628" s="103"/>
      <c r="C628" s="103"/>
      <c r="D628" s="103"/>
      <c r="E628" s="103"/>
      <c r="F628" s="103"/>
      <c r="G628" s="103"/>
      <c r="H628" s="103"/>
      <c r="I628" s="103"/>
      <c r="J628" s="103"/>
      <c r="K628" s="103"/>
      <c r="L628" s="103"/>
      <c r="M628" s="103"/>
      <c r="N628" s="103"/>
      <c r="O628" s="103"/>
      <c r="P628" s="103"/>
      <c r="Q628" s="103"/>
      <c r="R628" s="103"/>
      <c r="S628" s="103"/>
      <c r="T628" s="103"/>
      <c r="U628" s="103"/>
      <c r="V628" s="103"/>
      <c r="W628" s="103"/>
      <c r="X628" s="103"/>
      <c r="Y628" s="157"/>
      <c r="Z628" s="157"/>
    </row>
    <row r="629" spans="1:26">
      <c r="A629" s="103"/>
      <c r="B629" s="103"/>
      <c r="C629" s="103"/>
      <c r="D629" s="103"/>
      <c r="E629" s="103"/>
      <c r="F629" s="103"/>
      <c r="G629" s="103"/>
      <c r="H629" s="103"/>
      <c r="I629" s="103"/>
      <c r="J629" s="103"/>
      <c r="K629" s="103"/>
      <c r="L629" s="103"/>
      <c r="M629" s="103"/>
      <c r="N629" s="103"/>
      <c r="O629" s="103"/>
      <c r="P629" s="103"/>
      <c r="Q629" s="103"/>
      <c r="R629" s="103"/>
      <c r="S629" s="103"/>
      <c r="T629" s="103"/>
      <c r="U629" s="103"/>
      <c r="V629" s="103"/>
      <c r="W629" s="103"/>
      <c r="X629" s="103"/>
      <c r="Y629" s="157"/>
      <c r="Z629" s="157"/>
    </row>
    <row r="630" spans="1:26">
      <c r="A630" s="103"/>
      <c r="B630" s="103"/>
      <c r="C630" s="103"/>
      <c r="D630" s="103"/>
      <c r="E630" s="103"/>
      <c r="F630" s="103"/>
      <c r="G630" s="103"/>
      <c r="H630" s="103"/>
      <c r="I630" s="103"/>
      <c r="J630" s="103"/>
      <c r="K630" s="103"/>
      <c r="L630" s="103"/>
      <c r="M630" s="103"/>
      <c r="N630" s="103"/>
      <c r="O630" s="103"/>
      <c r="P630" s="103"/>
      <c r="Q630" s="103"/>
      <c r="R630" s="103"/>
      <c r="S630" s="103"/>
      <c r="T630" s="103"/>
      <c r="U630" s="103"/>
      <c r="V630" s="103"/>
      <c r="W630" s="103"/>
      <c r="X630" s="103"/>
      <c r="Y630" s="157"/>
      <c r="Z630" s="157"/>
    </row>
    <row r="631" spans="1:26">
      <c r="A631" s="103"/>
      <c r="B631" s="103"/>
      <c r="C631" s="103"/>
      <c r="D631" s="103"/>
      <c r="E631" s="103"/>
      <c r="F631" s="103"/>
      <c r="G631" s="103"/>
      <c r="H631" s="103"/>
      <c r="I631" s="103"/>
      <c r="J631" s="103"/>
      <c r="K631" s="103"/>
      <c r="L631" s="103"/>
      <c r="M631" s="103"/>
      <c r="N631" s="103"/>
      <c r="O631" s="103"/>
      <c r="P631" s="103"/>
      <c r="Q631" s="103"/>
      <c r="R631" s="103"/>
      <c r="S631" s="103"/>
      <c r="T631" s="103"/>
      <c r="U631" s="103"/>
      <c r="V631" s="103"/>
      <c r="W631" s="103"/>
      <c r="X631" s="103"/>
      <c r="Y631" s="157"/>
      <c r="Z631" s="157"/>
    </row>
    <row r="632" spans="1:26">
      <c r="A632" s="103"/>
      <c r="B632" s="103"/>
      <c r="C632" s="103"/>
      <c r="D632" s="103"/>
      <c r="E632" s="103"/>
      <c r="F632" s="103"/>
      <c r="G632" s="103"/>
      <c r="H632" s="103"/>
      <c r="I632" s="103"/>
      <c r="J632" s="103"/>
      <c r="K632" s="103"/>
      <c r="L632" s="103"/>
      <c r="M632" s="103"/>
      <c r="N632" s="103"/>
      <c r="O632" s="103"/>
      <c r="P632" s="103"/>
      <c r="Q632" s="103"/>
      <c r="R632" s="103"/>
      <c r="S632" s="103"/>
      <c r="T632" s="103"/>
      <c r="U632" s="103"/>
      <c r="V632" s="103"/>
      <c r="W632" s="103"/>
      <c r="X632" s="103"/>
      <c r="Y632" s="157"/>
      <c r="Z632" s="157"/>
    </row>
    <row r="633" spans="1:26">
      <c r="A633" s="103"/>
      <c r="B633" s="103"/>
      <c r="C633" s="103"/>
      <c r="D633" s="103"/>
      <c r="E633" s="103"/>
      <c r="F633" s="103"/>
      <c r="G633" s="103"/>
      <c r="H633" s="103"/>
      <c r="I633" s="103"/>
      <c r="J633" s="103"/>
      <c r="K633" s="103"/>
      <c r="L633" s="103"/>
      <c r="M633" s="103"/>
      <c r="N633" s="103"/>
      <c r="O633" s="103"/>
      <c r="P633" s="103"/>
      <c r="Q633" s="103"/>
      <c r="R633" s="103"/>
      <c r="S633" s="103"/>
      <c r="T633" s="103"/>
      <c r="U633" s="103"/>
      <c r="V633" s="103"/>
      <c r="W633" s="103"/>
      <c r="X633" s="103"/>
      <c r="Y633" s="157"/>
      <c r="Z633" s="157"/>
    </row>
    <row r="634" spans="1:26">
      <c r="A634" s="103"/>
      <c r="B634" s="103"/>
      <c r="C634" s="103"/>
      <c r="D634" s="103"/>
      <c r="E634" s="103"/>
      <c r="F634" s="103"/>
      <c r="G634" s="103"/>
      <c r="H634" s="103"/>
      <c r="I634" s="103"/>
      <c r="J634" s="103"/>
      <c r="K634" s="103"/>
      <c r="L634" s="103"/>
      <c r="M634" s="103"/>
      <c r="N634" s="103"/>
      <c r="O634" s="103"/>
      <c r="P634" s="103"/>
      <c r="Q634" s="103"/>
      <c r="R634" s="103"/>
      <c r="S634" s="103"/>
      <c r="T634" s="103"/>
      <c r="U634" s="103"/>
      <c r="V634" s="103"/>
      <c r="W634" s="103"/>
      <c r="X634" s="103"/>
      <c r="Y634" s="157"/>
      <c r="Z634" s="157"/>
    </row>
    <row r="635" spans="1:26">
      <c r="A635" s="103"/>
      <c r="B635" s="103"/>
      <c r="C635" s="103"/>
      <c r="D635" s="103"/>
      <c r="E635" s="103"/>
      <c r="F635" s="103"/>
      <c r="G635" s="103"/>
      <c r="H635" s="103"/>
      <c r="I635" s="103"/>
      <c r="J635" s="103"/>
      <c r="K635" s="103"/>
      <c r="L635" s="103"/>
      <c r="M635" s="103"/>
      <c r="N635" s="103"/>
      <c r="O635" s="103"/>
      <c r="P635" s="103"/>
      <c r="Q635" s="103"/>
      <c r="R635" s="103"/>
      <c r="S635" s="103"/>
      <c r="T635" s="103"/>
      <c r="U635" s="103"/>
      <c r="V635" s="103"/>
      <c r="W635" s="103"/>
      <c r="X635" s="103"/>
      <c r="Y635" s="157"/>
      <c r="Z635" s="157"/>
    </row>
    <row r="636" spans="1:26">
      <c r="A636" s="103"/>
      <c r="B636" s="103"/>
      <c r="C636" s="103"/>
      <c r="D636" s="103"/>
      <c r="E636" s="103"/>
      <c r="F636" s="103"/>
      <c r="G636" s="103"/>
      <c r="H636" s="103"/>
      <c r="I636" s="103"/>
      <c r="J636" s="103"/>
      <c r="K636" s="103"/>
      <c r="L636" s="103"/>
      <c r="M636" s="103"/>
      <c r="N636" s="103"/>
      <c r="O636" s="103"/>
      <c r="P636" s="103"/>
      <c r="Q636" s="103"/>
      <c r="R636" s="103"/>
      <c r="S636" s="103"/>
      <c r="T636" s="103"/>
      <c r="U636" s="103"/>
      <c r="V636" s="103"/>
      <c r="W636" s="103"/>
      <c r="X636" s="103"/>
      <c r="Y636" s="157"/>
      <c r="Z636" s="157"/>
    </row>
    <row r="637" spans="1:26">
      <c r="A637" s="103"/>
      <c r="B637" s="103"/>
      <c r="C637" s="103"/>
      <c r="D637" s="103"/>
      <c r="E637" s="103"/>
      <c r="F637" s="103"/>
      <c r="G637" s="103"/>
      <c r="H637" s="103"/>
      <c r="I637" s="103"/>
      <c r="J637" s="103"/>
      <c r="K637" s="103"/>
      <c r="L637" s="103"/>
      <c r="M637" s="103"/>
      <c r="N637" s="103"/>
      <c r="O637" s="103"/>
      <c r="P637" s="103"/>
      <c r="Q637" s="103"/>
      <c r="R637" s="103"/>
      <c r="S637" s="103"/>
      <c r="T637" s="103"/>
      <c r="U637" s="103"/>
      <c r="V637" s="103"/>
      <c r="W637" s="103"/>
      <c r="X637" s="103"/>
      <c r="Y637" s="157"/>
      <c r="Z637" s="157"/>
    </row>
    <row r="638" spans="1:26">
      <c r="A638" s="103"/>
      <c r="B638" s="103"/>
      <c r="C638" s="103"/>
      <c r="D638" s="103"/>
      <c r="E638" s="103"/>
      <c r="F638" s="103"/>
      <c r="G638" s="103"/>
      <c r="H638" s="103"/>
      <c r="I638" s="103"/>
      <c r="J638" s="103"/>
      <c r="K638" s="103"/>
      <c r="L638" s="103"/>
      <c r="M638" s="103"/>
      <c r="N638" s="103"/>
      <c r="O638" s="103"/>
      <c r="P638" s="103"/>
      <c r="Q638" s="103"/>
      <c r="R638" s="103"/>
      <c r="S638" s="103"/>
      <c r="T638" s="103"/>
      <c r="U638" s="103"/>
      <c r="V638" s="103"/>
      <c r="W638" s="103"/>
      <c r="X638" s="103"/>
      <c r="Y638" s="157"/>
      <c r="Z638" s="157"/>
    </row>
    <row r="639" spans="1:26">
      <c r="A639" s="103"/>
      <c r="B639" s="103"/>
      <c r="C639" s="103"/>
      <c r="D639" s="103"/>
      <c r="E639" s="103"/>
      <c r="F639" s="103"/>
      <c r="G639" s="103"/>
      <c r="H639" s="103"/>
      <c r="I639" s="103"/>
      <c r="J639" s="103"/>
      <c r="K639" s="103"/>
      <c r="L639" s="103"/>
      <c r="M639" s="103"/>
      <c r="N639" s="103"/>
      <c r="O639" s="103"/>
      <c r="P639" s="103"/>
      <c r="Q639" s="103"/>
      <c r="R639" s="103"/>
      <c r="S639" s="103"/>
      <c r="T639" s="103"/>
      <c r="U639" s="103"/>
      <c r="V639" s="103"/>
      <c r="W639" s="103"/>
      <c r="X639" s="103"/>
      <c r="Y639" s="157"/>
      <c r="Z639" s="157"/>
    </row>
    <row r="640" spans="1:26">
      <c r="A640" s="103"/>
      <c r="B640" s="103"/>
      <c r="C640" s="103"/>
      <c r="D640" s="103"/>
      <c r="E640" s="103"/>
      <c r="F640" s="103"/>
      <c r="G640" s="103"/>
      <c r="H640" s="103"/>
      <c r="I640" s="103"/>
      <c r="J640" s="103"/>
      <c r="K640" s="103"/>
      <c r="L640" s="103"/>
      <c r="M640" s="103"/>
      <c r="N640" s="103"/>
      <c r="O640" s="103"/>
      <c r="P640" s="103"/>
      <c r="Q640" s="103"/>
      <c r="R640" s="103"/>
      <c r="S640" s="103"/>
      <c r="T640" s="103"/>
      <c r="U640" s="103"/>
      <c r="V640" s="103"/>
      <c r="W640" s="103"/>
      <c r="X640" s="103"/>
      <c r="Y640" s="157"/>
      <c r="Z640" s="157"/>
    </row>
    <row r="641" spans="1:26">
      <c r="A641" s="103"/>
      <c r="B641" s="103"/>
      <c r="C641" s="103"/>
      <c r="D641" s="103"/>
      <c r="E641" s="103"/>
      <c r="F641" s="103"/>
      <c r="G641" s="103"/>
      <c r="H641" s="103"/>
      <c r="I641" s="103"/>
      <c r="J641" s="103"/>
      <c r="K641" s="103"/>
      <c r="L641" s="103"/>
      <c r="M641" s="103"/>
      <c r="N641" s="103"/>
      <c r="O641" s="103"/>
      <c r="P641" s="103"/>
      <c r="Q641" s="103"/>
      <c r="R641" s="103"/>
      <c r="S641" s="103"/>
      <c r="T641" s="103"/>
      <c r="U641" s="103"/>
      <c r="V641" s="103"/>
      <c r="W641" s="103"/>
      <c r="X641" s="103"/>
      <c r="Y641" s="157"/>
      <c r="Z641" s="157"/>
    </row>
    <row r="642" spans="1:26">
      <c r="A642" s="103"/>
      <c r="B642" s="103"/>
      <c r="C642" s="103"/>
      <c r="D642" s="103"/>
      <c r="E642" s="103"/>
      <c r="F642" s="103"/>
      <c r="G642" s="103"/>
      <c r="H642" s="103"/>
      <c r="I642" s="103"/>
      <c r="J642" s="103"/>
      <c r="K642" s="103"/>
      <c r="L642" s="103"/>
      <c r="M642" s="103"/>
      <c r="N642" s="103"/>
      <c r="O642" s="103"/>
      <c r="P642" s="103"/>
      <c r="Q642" s="103"/>
      <c r="R642" s="103"/>
      <c r="S642" s="103"/>
      <c r="T642" s="103"/>
      <c r="U642" s="103"/>
      <c r="V642" s="103"/>
      <c r="W642" s="103"/>
      <c r="X642" s="103"/>
      <c r="Y642" s="157"/>
      <c r="Z642" s="157"/>
    </row>
    <row r="643" spans="1:26">
      <c r="A643" s="103"/>
      <c r="B643" s="103"/>
      <c r="C643" s="103"/>
      <c r="D643" s="103"/>
      <c r="E643" s="103"/>
      <c r="F643" s="103"/>
      <c r="G643" s="103"/>
      <c r="H643" s="103"/>
      <c r="I643" s="103"/>
      <c r="J643" s="103"/>
      <c r="K643" s="103"/>
      <c r="L643" s="103"/>
      <c r="M643" s="103"/>
      <c r="N643" s="103"/>
      <c r="O643" s="103"/>
      <c r="P643" s="103"/>
      <c r="Q643" s="103"/>
      <c r="R643" s="103"/>
      <c r="S643" s="103"/>
      <c r="T643" s="103"/>
      <c r="U643" s="103"/>
      <c r="V643" s="103"/>
      <c r="W643" s="103"/>
      <c r="X643" s="103"/>
      <c r="Y643" s="157"/>
      <c r="Z643" s="157"/>
    </row>
    <row r="644" spans="1:26">
      <c r="A644" s="103"/>
      <c r="B644" s="103"/>
      <c r="C644" s="103"/>
      <c r="D644" s="103"/>
      <c r="E644" s="103"/>
      <c r="F644" s="103"/>
      <c r="G644" s="103"/>
      <c r="H644" s="103"/>
      <c r="I644" s="103"/>
      <c r="J644" s="103"/>
      <c r="K644" s="103"/>
      <c r="L644" s="103"/>
      <c r="M644" s="103"/>
      <c r="N644" s="103"/>
      <c r="O644" s="103"/>
      <c r="P644" s="103"/>
      <c r="Q644" s="103"/>
      <c r="R644" s="103"/>
      <c r="S644" s="103"/>
      <c r="T644" s="103"/>
      <c r="U644" s="103"/>
      <c r="V644" s="103"/>
      <c r="W644" s="103"/>
      <c r="X644" s="103"/>
      <c r="Y644" s="157"/>
      <c r="Z644" s="157"/>
    </row>
    <row r="645" spans="1:26">
      <c r="A645" s="103"/>
      <c r="B645" s="103"/>
      <c r="C645" s="103"/>
      <c r="D645" s="103"/>
      <c r="E645" s="103"/>
      <c r="F645" s="103"/>
      <c r="G645" s="103"/>
      <c r="H645" s="103"/>
      <c r="I645" s="103"/>
      <c r="J645" s="103"/>
      <c r="K645" s="103"/>
      <c r="L645" s="103"/>
      <c r="M645" s="103"/>
      <c r="N645" s="103"/>
      <c r="O645" s="103"/>
      <c r="P645" s="103"/>
      <c r="Q645" s="103"/>
      <c r="R645" s="103"/>
      <c r="S645" s="103"/>
      <c r="T645" s="103"/>
      <c r="U645" s="103"/>
      <c r="V645" s="103"/>
      <c r="W645" s="103"/>
      <c r="X645" s="103"/>
      <c r="Y645" s="157"/>
      <c r="Z645" s="157"/>
    </row>
    <row r="646" spans="1:26">
      <c r="A646" s="103"/>
      <c r="B646" s="103"/>
      <c r="C646" s="103"/>
      <c r="D646" s="103"/>
      <c r="E646" s="103"/>
      <c r="F646" s="103"/>
      <c r="G646" s="103"/>
      <c r="H646" s="103"/>
      <c r="I646" s="103"/>
      <c r="J646" s="103"/>
      <c r="K646" s="103"/>
      <c r="L646" s="103"/>
      <c r="M646" s="103"/>
      <c r="N646" s="103"/>
      <c r="O646" s="103"/>
      <c r="P646" s="103"/>
      <c r="Q646" s="103"/>
      <c r="R646" s="103"/>
      <c r="S646" s="103"/>
      <c r="T646" s="103"/>
      <c r="U646" s="103"/>
      <c r="V646" s="103"/>
      <c r="W646" s="103"/>
      <c r="X646" s="103"/>
      <c r="Y646" s="157"/>
      <c r="Z646" s="157"/>
    </row>
    <row r="647" spans="1:26">
      <c r="A647" s="103"/>
      <c r="B647" s="103"/>
      <c r="C647" s="103"/>
      <c r="D647" s="103"/>
      <c r="E647" s="103"/>
      <c r="F647" s="103"/>
      <c r="G647" s="103"/>
      <c r="H647" s="103"/>
      <c r="I647" s="103"/>
      <c r="J647" s="103"/>
      <c r="K647" s="103"/>
      <c r="L647" s="103"/>
      <c r="M647" s="103"/>
      <c r="N647" s="103"/>
      <c r="O647" s="103"/>
      <c r="P647" s="103"/>
      <c r="Q647" s="103"/>
      <c r="R647" s="103"/>
      <c r="S647" s="103"/>
      <c r="T647" s="103"/>
      <c r="U647" s="103"/>
      <c r="V647" s="103"/>
      <c r="W647" s="103"/>
      <c r="X647" s="103"/>
      <c r="Y647" s="157"/>
      <c r="Z647" s="157"/>
    </row>
    <row r="648" spans="1:26">
      <c r="A648" s="103"/>
      <c r="B648" s="103"/>
      <c r="C648" s="103"/>
      <c r="D648" s="103"/>
      <c r="E648" s="103"/>
      <c r="F648" s="103"/>
      <c r="G648" s="103"/>
      <c r="H648" s="103"/>
      <c r="I648" s="103"/>
      <c r="J648" s="103"/>
      <c r="K648" s="103"/>
      <c r="L648" s="103"/>
      <c r="M648" s="103"/>
      <c r="N648" s="103"/>
      <c r="O648" s="103"/>
      <c r="P648" s="103"/>
      <c r="Q648" s="103"/>
      <c r="R648" s="103"/>
      <c r="S648" s="103"/>
      <c r="T648" s="103"/>
      <c r="U648" s="103"/>
      <c r="V648" s="103"/>
      <c r="W648" s="103"/>
      <c r="X648" s="103"/>
      <c r="Y648" s="157"/>
      <c r="Z648" s="157"/>
    </row>
    <row r="649" spans="1:26">
      <c r="A649" s="103"/>
      <c r="B649" s="103"/>
      <c r="C649" s="103"/>
      <c r="D649" s="103"/>
      <c r="E649" s="103"/>
      <c r="F649" s="103"/>
      <c r="G649" s="103"/>
      <c r="H649" s="103"/>
      <c r="I649" s="103"/>
      <c r="J649" s="103"/>
      <c r="K649" s="103"/>
      <c r="L649" s="103"/>
      <c r="M649" s="103"/>
      <c r="N649" s="103"/>
      <c r="O649" s="103"/>
      <c r="P649" s="103"/>
      <c r="Q649" s="103"/>
      <c r="R649" s="103"/>
      <c r="S649" s="103"/>
      <c r="T649" s="103"/>
      <c r="U649" s="103"/>
      <c r="V649" s="103"/>
      <c r="W649" s="103"/>
      <c r="X649" s="103"/>
      <c r="Y649" s="157"/>
      <c r="Z649" s="157"/>
    </row>
    <row r="650" spans="1:26">
      <c r="A650" s="103"/>
      <c r="B650" s="103"/>
      <c r="C650" s="103"/>
      <c r="D650" s="103"/>
      <c r="E650" s="103"/>
      <c r="F650" s="103"/>
      <c r="G650" s="103"/>
      <c r="H650" s="103"/>
      <c r="I650" s="103"/>
      <c r="J650" s="103"/>
      <c r="K650" s="103"/>
      <c r="L650" s="103"/>
      <c r="M650" s="103"/>
      <c r="N650" s="103"/>
      <c r="O650" s="103"/>
      <c r="P650" s="103"/>
      <c r="Q650" s="103"/>
      <c r="R650" s="103"/>
      <c r="S650" s="103"/>
      <c r="T650" s="103"/>
      <c r="U650" s="103"/>
      <c r="V650" s="103"/>
      <c r="W650" s="103"/>
      <c r="X650" s="103"/>
      <c r="Y650" s="157"/>
      <c r="Z650" s="157"/>
    </row>
    <row r="651" spans="1:26">
      <c r="A651" s="103"/>
      <c r="B651" s="103"/>
      <c r="C651" s="103"/>
      <c r="D651" s="103"/>
      <c r="E651" s="103"/>
      <c r="F651" s="103"/>
      <c r="G651" s="103"/>
      <c r="H651" s="103"/>
      <c r="I651" s="103"/>
      <c r="J651" s="103"/>
      <c r="K651" s="103"/>
      <c r="L651" s="103"/>
      <c r="M651" s="103"/>
      <c r="N651" s="103"/>
      <c r="O651" s="103"/>
      <c r="P651" s="103"/>
      <c r="Q651" s="103"/>
      <c r="R651" s="103"/>
      <c r="S651" s="103"/>
      <c r="T651" s="103"/>
      <c r="U651" s="103"/>
      <c r="V651" s="103"/>
      <c r="W651" s="103"/>
      <c r="X651" s="103"/>
      <c r="Y651" s="157"/>
      <c r="Z651" s="157"/>
    </row>
    <row r="652" spans="1:26">
      <c r="A652" s="103"/>
      <c r="B652" s="103"/>
      <c r="C652" s="103"/>
      <c r="D652" s="103"/>
      <c r="E652" s="103"/>
      <c r="F652" s="103"/>
      <c r="G652" s="103"/>
      <c r="H652" s="103"/>
      <c r="I652" s="103"/>
      <c r="J652" s="103"/>
      <c r="K652" s="103"/>
      <c r="L652" s="103"/>
      <c r="M652" s="103"/>
      <c r="N652" s="103"/>
      <c r="O652" s="103"/>
      <c r="P652" s="103"/>
      <c r="Q652" s="103"/>
      <c r="R652" s="103"/>
      <c r="S652" s="103"/>
      <c r="T652" s="103"/>
      <c r="U652" s="103"/>
      <c r="V652" s="103"/>
      <c r="W652" s="103"/>
      <c r="X652" s="103"/>
      <c r="Y652" s="157"/>
      <c r="Z652" s="157"/>
    </row>
    <row r="653" spans="1:26">
      <c r="A653" s="103"/>
      <c r="B653" s="103"/>
      <c r="C653" s="103"/>
      <c r="D653" s="103"/>
      <c r="E653" s="103"/>
      <c r="F653" s="103"/>
      <c r="G653" s="103"/>
      <c r="H653" s="103"/>
      <c r="I653" s="103"/>
      <c r="J653" s="103"/>
      <c r="K653" s="103"/>
      <c r="L653" s="103"/>
      <c r="M653" s="103"/>
      <c r="N653" s="103"/>
      <c r="O653" s="103"/>
      <c r="P653" s="103"/>
      <c r="Q653" s="103"/>
      <c r="R653" s="103"/>
      <c r="S653" s="103"/>
      <c r="T653" s="103"/>
      <c r="U653" s="103"/>
      <c r="V653" s="103"/>
      <c r="W653" s="103"/>
      <c r="X653" s="103"/>
      <c r="Y653" s="157"/>
      <c r="Z653" s="157"/>
    </row>
    <row r="654" spans="1:26">
      <c r="A654" s="103"/>
      <c r="B654" s="103"/>
      <c r="C654" s="103"/>
      <c r="D654" s="103"/>
      <c r="E654" s="103"/>
      <c r="F654" s="103"/>
      <c r="G654" s="103"/>
      <c r="H654" s="103"/>
      <c r="I654" s="103"/>
      <c r="J654" s="103"/>
      <c r="K654" s="103"/>
      <c r="L654" s="103"/>
      <c r="M654" s="103"/>
      <c r="N654" s="103"/>
      <c r="O654" s="103"/>
      <c r="P654" s="103"/>
      <c r="Q654" s="103"/>
      <c r="R654" s="103"/>
      <c r="S654" s="103"/>
      <c r="T654" s="103"/>
      <c r="U654" s="103"/>
      <c r="V654" s="103"/>
      <c r="W654" s="103"/>
      <c r="X654" s="103"/>
      <c r="Y654" s="157"/>
      <c r="Z654" s="157"/>
    </row>
    <row r="655" spans="1:26">
      <c r="A655" s="103"/>
      <c r="B655" s="103"/>
      <c r="C655" s="103"/>
      <c r="D655" s="103"/>
      <c r="E655" s="103"/>
      <c r="F655" s="103"/>
      <c r="G655" s="103"/>
      <c r="H655" s="103"/>
      <c r="I655" s="103"/>
      <c r="J655" s="103"/>
      <c r="K655" s="103"/>
      <c r="L655" s="103"/>
      <c r="M655" s="103"/>
      <c r="N655" s="103"/>
      <c r="O655" s="103"/>
      <c r="P655" s="103"/>
      <c r="Q655" s="103"/>
      <c r="R655" s="103"/>
      <c r="S655" s="103"/>
      <c r="T655" s="103"/>
      <c r="U655" s="103"/>
      <c r="V655" s="103"/>
      <c r="W655" s="103"/>
      <c r="X655" s="103"/>
      <c r="Y655" s="157"/>
      <c r="Z655" s="157"/>
    </row>
    <row r="656" spans="1:26">
      <c r="A656" s="103"/>
      <c r="B656" s="103"/>
      <c r="C656" s="103"/>
      <c r="D656" s="103"/>
      <c r="E656" s="103"/>
      <c r="F656" s="103"/>
      <c r="G656" s="103"/>
      <c r="H656" s="103"/>
      <c r="I656" s="103"/>
      <c r="J656" s="103"/>
      <c r="K656" s="103"/>
      <c r="L656" s="103"/>
      <c r="M656" s="103"/>
      <c r="N656" s="103"/>
      <c r="O656" s="103"/>
      <c r="P656" s="103"/>
      <c r="Q656" s="103"/>
      <c r="R656" s="103"/>
      <c r="S656" s="103"/>
      <c r="T656" s="103"/>
      <c r="U656" s="103"/>
      <c r="V656" s="103"/>
      <c r="W656" s="103"/>
      <c r="X656" s="103"/>
      <c r="Y656" s="157"/>
      <c r="Z656" s="157"/>
    </row>
    <row r="657" spans="1:26">
      <c r="A657" s="103"/>
      <c r="B657" s="103"/>
      <c r="C657" s="103"/>
      <c r="D657" s="103"/>
      <c r="E657" s="103"/>
      <c r="F657" s="103"/>
      <c r="G657" s="103"/>
      <c r="H657" s="103"/>
      <c r="I657" s="103"/>
      <c r="J657" s="103"/>
      <c r="K657" s="103"/>
      <c r="L657" s="103"/>
      <c r="M657" s="103"/>
      <c r="N657" s="103"/>
      <c r="O657" s="103"/>
      <c r="P657" s="103"/>
      <c r="Q657" s="103"/>
      <c r="R657" s="103"/>
      <c r="S657" s="103"/>
      <c r="T657" s="103"/>
      <c r="U657" s="103"/>
      <c r="V657" s="103"/>
      <c r="W657" s="103"/>
      <c r="X657" s="103"/>
      <c r="Y657" s="157"/>
      <c r="Z657" s="157"/>
    </row>
    <row r="658" spans="1:26">
      <c r="A658" s="103"/>
      <c r="B658" s="103"/>
      <c r="C658" s="103"/>
      <c r="D658" s="103"/>
      <c r="E658" s="103"/>
      <c r="F658" s="103"/>
      <c r="G658" s="103"/>
      <c r="H658" s="103"/>
      <c r="I658" s="103"/>
      <c r="J658" s="103"/>
      <c r="K658" s="103"/>
      <c r="L658" s="103"/>
      <c r="M658" s="103"/>
      <c r="N658" s="103"/>
      <c r="O658" s="103"/>
      <c r="P658" s="103"/>
      <c r="Q658" s="103"/>
      <c r="R658" s="103"/>
      <c r="S658" s="103"/>
      <c r="T658" s="103"/>
      <c r="U658" s="103"/>
      <c r="V658" s="103"/>
      <c r="W658" s="103"/>
      <c r="X658" s="103"/>
      <c r="Y658" s="157"/>
      <c r="Z658" s="157"/>
    </row>
    <row r="659" spans="1:26">
      <c r="A659" s="103"/>
      <c r="B659" s="103"/>
      <c r="C659" s="103"/>
      <c r="D659" s="103"/>
      <c r="E659" s="103"/>
      <c r="F659" s="103"/>
      <c r="G659" s="103"/>
      <c r="H659" s="103"/>
      <c r="I659" s="103"/>
      <c r="J659" s="103"/>
      <c r="K659" s="103"/>
      <c r="L659" s="103"/>
      <c r="M659" s="103"/>
      <c r="N659" s="103"/>
      <c r="O659" s="103"/>
      <c r="P659" s="103"/>
      <c r="Q659" s="103"/>
      <c r="R659" s="103"/>
      <c r="S659" s="103"/>
      <c r="T659" s="103"/>
      <c r="U659" s="103"/>
      <c r="V659" s="103"/>
      <c r="W659" s="103"/>
      <c r="X659" s="103"/>
      <c r="Y659" s="157"/>
      <c r="Z659" s="157"/>
    </row>
    <row r="660" spans="1:26">
      <c r="A660" s="103"/>
      <c r="B660" s="103"/>
      <c r="C660" s="103"/>
      <c r="D660" s="103"/>
      <c r="E660" s="103"/>
      <c r="F660" s="103"/>
      <c r="G660" s="103"/>
      <c r="H660" s="103"/>
      <c r="I660" s="103"/>
      <c r="J660" s="103"/>
      <c r="K660" s="103"/>
      <c r="L660" s="103"/>
      <c r="M660" s="103"/>
      <c r="N660" s="103"/>
      <c r="O660" s="103"/>
      <c r="P660" s="103"/>
      <c r="Q660" s="103"/>
      <c r="R660" s="103"/>
      <c r="S660" s="103"/>
      <c r="T660" s="103"/>
      <c r="U660" s="103"/>
      <c r="V660" s="103"/>
      <c r="W660" s="103"/>
      <c r="X660" s="103"/>
      <c r="Y660" s="157"/>
      <c r="Z660" s="157"/>
    </row>
    <row r="661" spans="1:26">
      <c r="A661" s="103"/>
      <c r="B661" s="103"/>
      <c r="C661" s="103"/>
      <c r="D661" s="103"/>
      <c r="E661" s="103"/>
      <c r="F661" s="103"/>
      <c r="G661" s="103"/>
      <c r="H661" s="103"/>
      <c r="I661" s="103"/>
      <c r="J661" s="103"/>
      <c r="K661" s="103"/>
      <c r="L661" s="103"/>
      <c r="M661" s="103"/>
      <c r="N661" s="103"/>
      <c r="O661" s="103"/>
      <c r="P661" s="103"/>
      <c r="Q661" s="103"/>
      <c r="R661" s="103"/>
      <c r="S661" s="103"/>
      <c r="T661" s="103"/>
      <c r="U661" s="103"/>
      <c r="V661" s="103"/>
      <c r="W661" s="103"/>
      <c r="X661" s="103"/>
      <c r="Y661" s="157"/>
      <c r="Z661" s="157"/>
    </row>
    <row r="662" spans="1:26">
      <c r="A662" s="103"/>
      <c r="B662" s="103"/>
      <c r="C662" s="103"/>
      <c r="D662" s="103"/>
      <c r="E662" s="103"/>
      <c r="F662" s="103"/>
      <c r="G662" s="103"/>
      <c r="H662" s="103"/>
      <c r="I662" s="103"/>
      <c r="J662" s="103"/>
      <c r="K662" s="103"/>
      <c r="L662" s="103"/>
      <c r="M662" s="103"/>
      <c r="N662" s="103"/>
      <c r="O662" s="103"/>
      <c r="P662" s="103"/>
      <c r="Q662" s="103"/>
      <c r="R662" s="103"/>
      <c r="S662" s="103"/>
      <c r="T662" s="103"/>
      <c r="U662" s="103"/>
      <c r="V662" s="103"/>
      <c r="W662" s="103"/>
      <c r="X662" s="103"/>
      <c r="Y662" s="157"/>
      <c r="Z662" s="157"/>
    </row>
    <row r="663" spans="1:26">
      <c r="A663" s="103"/>
      <c r="B663" s="103"/>
      <c r="C663" s="103"/>
      <c r="D663" s="103"/>
      <c r="E663" s="103"/>
      <c r="F663" s="103"/>
      <c r="G663" s="103"/>
      <c r="H663" s="103"/>
      <c r="I663" s="103"/>
      <c r="J663" s="103"/>
      <c r="K663" s="103"/>
      <c r="L663" s="103"/>
      <c r="M663" s="103"/>
      <c r="N663" s="103"/>
      <c r="O663" s="103"/>
      <c r="P663" s="103"/>
      <c r="Q663" s="103"/>
      <c r="R663" s="103"/>
      <c r="S663" s="103"/>
      <c r="T663" s="103"/>
      <c r="U663" s="103"/>
      <c r="V663" s="103"/>
      <c r="W663" s="103"/>
      <c r="X663" s="103"/>
      <c r="Y663" s="157"/>
      <c r="Z663" s="157"/>
    </row>
    <row r="664" spans="1:26">
      <c r="A664" s="103"/>
      <c r="B664" s="103"/>
      <c r="C664" s="103"/>
      <c r="D664" s="103"/>
      <c r="E664" s="103"/>
      <c r="F664" s="103"/>
      <c r="G664" s="103"/>
      <c r="H664" s="103"/>
      <c r="I664" s="103"/>
      <c r="J664" s="103"/>
      <c r="K664" s="103"/>
      <c r="L664" s="103"/>
      <c r="M664" s="103"/>
      <c r="N664" s="103"/>
      <c r="O664" s="103"/>
      <c r="P664" s="103"/>
      <c r="Q664" s="103"/>
      <c r="R664" s="103"/>
      <c r="S664" s="103"/>
      <c r="T664" s="103"/>
      <c r="U664" s="103"/>
      <c r="V664" s="103"/>
      <c r="W664" s="103"/>
      <c r="X664" s="103"/>
      <c r="Y664" s="157"/>
      <c r="Z664" s="157"/>
    </row>
    <row r="665" spans="1:26">
      <c r="A665" s="103"/>
      <c r="B665" s="103"/>
      <c r="C665" s="103"/>
      <c r="D665" s="103"/>
      <c r="E665" s="103"/>
      <c r="F665" s="103"/>
      <c r="G665" s="103"/>
      <c r="H665" s="103"/>
      <c r="I665" s="103"/>
      <c r="J665" s="103"/>
      <c r="K665" s="103"/>
      <c r="L665" s="103"/>
      <c r="M665" s="103"/>
      <c r="N665" s="103"/>
      <c r="O665" s="103"/>
      <c r="P665" s="103"/>
      <c r="Q665" s="103"/>
      <c r="R665" s="103"/>
      <c r="S665" s="103"/>
      <c r="T665" s="103"/>
      <c r="U665" s="103"/>
      <c r="V665" s="103"/>
      <c r="W665" s="103"/>
      <c r="X665" s="103"/>
      <c r="Y665" s="157"/>
      <c r="Z665" s="157"/>
    </row>
    <row r="666" spans="1:26">
      <c r="A666" s="103"/>
      <c r="B666" s="103"/>
      <c r="C666" s="103"/>
      <c r="D666" s="103"/>
      <c r="E666" s="103"/>
      <c r="F666" s="103"/>
      <c r="G666" s="103"/>
      <c r="H666" s="103"/>
      <c r="I666" s="103"/>
      <c r="J666" s="103"/>
      <c r="K666" s="103"/>
      <c r="L666" s="103"/>
      <c r="M666" s="103"/>
      <c r="N666" s="103"/>
      <c r="O666" s="103"/>
      <c r="P666" s="103"/>
      <c r="Q666" s="103"/>
      <c r="R666" s="103"/>
      <c r="S666" s="103"/>
      <c r="T666" s="103"/>
      <c r="U666" s="103"/>
      <c r="V666" s="103"/>
      <c r="W666" s="103"/>
      <c r="X666" s="103"/>
      <c r="Y666" s="157"/>
      <c r="Z666" s="157"/>
    </row>
    <row r="667" spans="1:26">
      <c r="A667" s="103"/>
      <c r="B667" s="103"/>
      <c r="C667" s="103"/>
      <c r="D667" s="103"/>
      <c r="E667" s="103"/>
      <c r="F667" s="103"/>
      <c r="G667" s="103"/>
      <c r="H667" s="103"/>
      <c r="I667" s="103"/>
      <c r="J667" s="103"/>
      <c r="K667" s="103"/>
      <c r="L667" s="103"/>
      <c r="M667" s="103"/>
      <c r="N667" s="103"/>
      <c r="O667" s="103"/>
      <c r="P667" s="103"/>
      <c r="Q667" s="103"/>
      <c r="R667" s="103"/>
      <c r="S667" s="103"/>
      <c r="T667" s="103"/>
      <c r="U667" s="103"/>
      <c r="V667" s="103"/>
      <c r="W667" s="103"/>
      <c r="X667" s="103"/>
      <c r="Y667" s="157"/>
      <c r="Z667" s="157"/>
    </row>
    <row r="668" spans="1:26">
      <c r="A668" s="103"/>
      <c r="B668" s="103"/>
      <c r="C668" s="103"/>
      <c r="D668" s="103"/>
      <c r="E668" s="103"/>
      <c r="F668" s="103"/>
      <c r="G668" s="103"/>
      <c r="H668" s="103"/>
      <c r="I668" s="103"/>
      <c r="J668" s="103"/>
      <c r="K668" s="103"/>
      <c r="L668" s="103"/>
      <c r="M668" s="103"/>
      <c r="N668" s="103"/>
      <c r="O668" s="103"/>
      <c r="P668" s="103"/>
      <c r="Q668" s="103"/>
      <c r="R668" s="103"/>
      <c r="S668" s="103"/>
      <c r="T668" s="103"/>
      <c r="U668" s="103"/>
      <c r="V668" s="103"/>
      <c r="W668" s="103"/>
      <c r="X668" s="103"/>
      <c r="Y668" s="157"/>
      <c r="Z668" s="157"/>
    </row>
    <row r="669" spans="1:26">
      <c r="A669" s="103"/>
      <c r="B669" s="103"/>
      <c r="C669" s="103"/>
      <c r="D669" s="103"/>
      <c r="E669" s="103"/>
      <c r="F669" s="103"/>
      <c r="G669" s="103"/>
      <c r="H669" s="103"/>
      <c r="I669" s="103"/>
      <c r="J669" s="103"/>
      <c r="K669" s="103"/>
      <c r="L669" s="103"/>
      <c r="M669" s="103"/>
      <c r="N669" s="103"/>
      <c r="O669" s="103"/>
      <c r="P669" s="103"/>
      <c r="Q669" s="103"/>
      <c r="R669" s="103"/>
      <c r="S669" s="103"/>
      <c r="T669" s="103"/>
      <c r="U669" s="103"/>
      <c r="V669" s="103"/>
      <c r="W669" s="103"/>
      <c r="X669" s="103"/>
      <c r="Y669" s="157"/>
      <c r="Z669" s="157"/>
    </row>
    <row r="670" spans="1:26">
      <c r="A670" s="103"/>
      <c r="B670" s="103"/>
      <c r="C670" s="103"/>
      <c r="D670" s="103"/>
      <c r="E670" s="103"/>
      <c r="F670" s="103"/>
      <c r="G670" s="103"/>
      <c r="H670" s="103"/>
      <c r="I670" s="103"/>
      <c r="J670" s="103"/>
      <c r="K670" s="103"/>
      <c r="L670" s="103"/>
      <c r="M670" s="103"/>
      <c r="N670" s="103"/>
      <c r="O670" s="103"/>
      <c r="P670" s="103"/>
      <c r="Q670" s="103"/>
      <c r="R670" s="103"/>
      <c r="S670" s="103"/>
      <c r="T670" s="103"/>
      <c r="U670" s="103"/>
      <c r="V670" s="103"/>
      <c r="W670" s="103"/>
      <c r="X670" s="103"/>
      <c r="Y670" s="157"/>
      <c r="Z670" s="157"/>
    </row>
    <row r="671" spans="1:26">
      <c r="A671" s="103"/>
      <c r="B671" s="103"/>
      <c r="C671" s="103"/>
      <c r="D671" s="103"/>
      <c r="E671" s="103"/>
      <c r="F671" s="103"/>
      <c r="G671" s="103"/>
      <c r="H671" s="103"/>
      <c r="I671" s="103"/>
      <c r="J671" s="103"/>
      <c r="K671" s="103"/>
      <c r="L671" s="103"/>
      <c r="M671" s="103"/>
      <c r="N671" s="103"/>
      <c r="O671" s="103"/>
      <c r="P671" s="103"/>
      <c r="Q671" s="103"/>
      <c r="R671" s="103"/>
      <c r="S671" s="103"/>
      <c r="T671" s="103"/>
      <c r="U671" s="103"/>
      <c r="V671" s="103"/>
      <c r="W671" s="103"/>
      <c r="X671" s="103"/>
      <c r="Y671" s="157"/>
      <c r="Z671" s="157"/>
    </row>
    <row r="672" spans="1:26">
      <c r="A672" s="103"/>
      <c r="B672" s="103"/>
      <c r="C672" s="103"/>
      <c r="D672" s="103"/>
      <c r="E672" s="103"/>
      <c r="F672" s="103"/>
      <c r="G672" s="103"/>
      <c r="H672" s="103"/>
      <c r="I672" s="103"/>
      <c r="J672" s="103"/>
      <c r="K672" s="103"/>
      <c r="L672" s="103"/>
      <c r="M672" s="103"/>
      <c r="N672" s="103"/>
      <c r="O672" s="103"/>
      <c r="P672" s="103"/>
      <c r="Q672" s="103"/>
      <c r="R672" s="103"/>
      <c r="S672" s="103"/>
      <c r="T672" s="103"/>
      <c r="U672" s="103"/>
      <c r="V672" s="103"/>
      <c r="W672" s="103"/>
      <c r="X672" s="103"/>
      <c r="Y672" s="157"/>
      <c r="Z672" s="157"/>
    </row>
    <row r="673" spans="1:26">
      <c r="A673" s="103"/>
      <c r="B673" s="103"/>
      <c r="C673" s="103"/>
      <c r="D673" s="103"/>
      <c r="E673" s="103"/>
      <c r="F673" s="103"/>
      <c r="G673" s="103"/>
      <c r="H673" s="103"/>
      <c r="I673" s="103"/>
      <c r="J673" s="103"/>
      <c r="K673" s="103"/>
      <c r="L673" s="103"/>
      <c r="M673" s="103"/>
      <c r="N673" s="103"/>
      <c r="O673" s="103"/>
      <c r="P673" s="103"/>
      <c r="Q673" s="103"/>
      <c r="R673" s="103"/>
      <c r="S673" s="103"/>
      <c r="T673" s="103"/>
      <c r="U673" s="103"/>
      <c r="V673" s="103"/>
      <c r="W673" s="103"/>
      <c r="X673" s="103"/>
      <c r="Y673" s="157"/>
      <c r="Z673" s="157"/>
    </row>
    <row r="674" spans="1:26">
      <c r="A674" s="103"/>
      <c r="B674" s="103"/>
      <c r="C674" s="103"/>
      <c r="D674" s="103"/>
      <c r="E674" s="103"/>
      <c r="F674" s="103"/>
      <c r="G674" s="103"/>
      <c r="H674" s="103"/>
      <c r="I674" s="103"/>
      <c r="J674" s="103"/>
      <c r="K674" s="103"/>
      <c r="L674" s="103"/>
      <c r="M674" s="103"/>
      <c r="N674" s="103"/>
      <c r="O674" s="103"/>
      <c r="P674" s="103"/>
      <c r="Q674" s="103"/>
      <c r="R674" s="103"/>
      <c r="S674" s="103"/>
      <c r="T674" s="103"/>
      <c r="U674" s="103"/>
      <c r="V674" s="103"/>
      <c r="W674" s="103"/>
      <c r="X674" s="103"/>
      <c r="Y674" s="157"/>
      <c r="Z674" s="157"/>
    </row>
    <row r="675" spans="1:26">
      <c r="A675" s="103"/>
      <c r="B675" s="103"/>
      <c r="C675" s="103"/>
      <c r="D675" s="103"/>
      <c r="E675" s="103"/>
      <c r="F675" s="103"/>
      <c r="G675" s="103"/>
      <c r="H675" s="103"/>
      <c r="I675" s="103"/>
      <c r="J675" s="103"/>
      <c r="K675" s="103"/>
      <c r="L675" s="103"/>
      <c r="M675" s="103"/>
      <c r="N675" s="103"/>
      <c r="O675" s="103"/>
      <c r="P675" s="103"/>
      <c r="Q675" s="103"/>
      <c r="R675" s="103"/>
      <c r="S675" s="103"/>
      <c r="T675" s="103"/>
      <c r="U675" s="103"/>
      <c r="V675" s="103"/>
      <c r="W675" s="103"/>
      <c r="X675" s="103"/>
      <c r="Y675" s="157"/>
      <c r="Z675" s="157"/>
    </row>
    <row r="676" spans="1:26">
      <c r="A676" s="103"/>
      <c r="B676" s="103"/>
      <c r="C676" s="103"/>
      <c r="D676" s="103"/>
      <c r="E676" s="103"/>
      <c r="F676" s="103"/>
      <c r="G676" s="103"/>
      <c r="H676" s="103"/>
      <c r="I676" s="103"/>
      <c r="J676" s="103"/>
      <c r="K676" s="103"/>
      <c r="L676" s="103"/>
      <c r="M676" s="103"/>
      <c r="N676" s="103"/>
      <c r="O676" s="103"/>
      <c r="P676" s="103"/>
      <c r="Q676" s="103"/>
      <c r="R676" s="103"/>
      <c r="S676" s="103"/>
      <c r="T676" s="103"/>
      <c r="U676" s="103"/>
      <c r="V676" s="103"/>
      <c r="W676" s="103"/>
      <c r="X676" s="103"/>
      <c r="Y676" s="157"/>
      <c r="Z676" s="157"/>
    </row>
    <row r="677" spans="1:26">
      <c r="A677" s="103"/>
      <c r="B677" s="103"/>
      <c r="C677" s="103"/>
      <c r="D677" s="103"/>
      <c r="E677" s="103"/>
      <c r="F677" s="103"/>
      <c r="G677" s="103"/>
      <c r="H677" s="103"/>
      <c r="I677" s="103"/>
      <c r="J677" s="103"/>
      <c r="K677" s="103"/>
      <c r="L677" s="103"/>
      <c r="M677" s="103"/>
      <c r="N677" s="103"/>
      <c r="O677" s="103"/>
      <c r="P677" s="103"/>
      <c r="Q677" s="103"/>
      <c r="R677" s="103"/>
      <c r="S677" s="103"/>
      <c r="T677" s="103"/>
      <c r="U677" s="103"/>
      <c r="V677" s="103"/>
      <c r="W677" s="103"/>
      <c r="X677" s="103"/>
      <c r="Y677" s="157"/>
      <c r="Z677" s="157"/>
    </row>
    <row r="678" spans="1:26">
      <c r="A678" s="103"/>
      <c r="B678" s="103"/>
      <c r="C678" s="103"/>
      <c r="D678" s="103"/>
      <c r="E678" s="103"/>
      <c r="F678" s="103"/>
      <c r="G678" s="103"/>
      <c r="H678" s="103"/>
      <c r="I678" s="103"/>
      <c r="J678" s="103"/>
      <c r="K678" s="103"/>
      <c r="L678" s="103"/>
      <c r="M678" s="103"/>
      <c r="N678" s="103"/>
      <c r="O678" s="103"/>
      <c r="P678" s="103"/>
      <c r="Q678" s="103"/>
      <c r="R678" s="103"/>
      <c r="S678" s="103"/>
      <c r="T678" s="103"/>
      <c r="U678" s="103"/>
      <c r="V678" s="103"/>
      <c r="W678" s="103"/>
      <c r="X678" s="103"/>
      <c r="Y678" s="157"/>
      <c r="Z678" s="157"/>
    </row>
    <row r="679" spans="1:26">
      <c r="A679" s="103"/>
      <c r="B679" s="103"/>
      <c r="C679" s="103"/>
      <c r="D679" s="103"/>
      <c r="E679" s="103"/>
      <c r="F679" s="103"/>
      <c r="G679" s="103"/>
      <c r="H679" s="103"/>
      <c r="I679" s="103"/>
      <c r="J679" s="103"/>
      <c r="K679" s="103"/>
      <c r="L679" s="103"/>
      <c r="M679" s="103"/>
      <c r="N679" s="103"/>
      <c r="O679" s="103"/>
      <c r="P679" s="103"/>
      <c r="Q679" s="103"/>
      <c r="R679" s="103"/>
      <c r="S679" s="103"/>
      <c r="T679" s="103"/>
      <c r="U679" s="103"/>
      <c r="V679" s="103"/>
      <c r="W679" s="103"/>
      <c r="X679" s="103"/>
      <c r="Y679" s="157"/>
      <c r="Z679" s="157"/>
    </row>
    <row r="680" spans="1:26">
      <c r="A680" s="103"/>
      <c r="B680" s="103"/>
      <c r="C680" s="103"/>
      <c r="D680" s="103"/>
      <c r="E680" s="103"/>
      <c r="F680" s="103"/>
      <c r="G680" s="103"/>
      <c r="H680" s="103"/>
      <c r="I680" s="103"/>
      <c r="J680" s="103"/>
      <c r="K680" s="103"/>
      <c r="L680" s="103"/>
      <c r="M680" s="103"/>
      <c r="N680" s="103"/>
      <c r="O680" s="103"/>
      <c r="P680" s="103"/>
      <c r="Q680" s="103"/>
      <c r="R680" s="103"/>
      <c r="S680" s="103"/>
      <c r="T680" s="103"/>
      <c r="U680" s="103"/>
      <c r="V680" s="103"/>
      <c r="W680" s="103"/>
      <c r="X680" s="103"/>
      <c r="Y680" s="157"/>
      <c r="Z680" s="157"/>
    </row>
    <row r="681" spans="1:26">
      <c r="A681" s="103"/>
      <c r="B681" s="103"/>
      <c r="C681" s="103"/>
      <c r="D681" s="103"/>
      <c r="E681" s="103"/>
      <c r="F681" s="103"/>
      <c r="G681" s="103"/>
      <c r="H681" s="103"/>
      <c r="I681" s="103"/>
      <c r="J681" s="103"/>
      <c r="K681" s="103"/>
      <c r="L681" s="103"/>
      <c r="M681" s="103"/>
      <c r="N681" s="103"/>
      <c r="O681" s="103"/>
      <c r="P681" s="103"/>
      <c r="Q681" s="103"/>
      <c r="R681" s="103"/>
      <c r="S681" s="103"/>
      <c r="T681" s="103"/>
      <c r="U681" s="103"/>
      <c r="V681" s="103"/>
      <c r="W681" s="103"/>
      <c r="X681" s="103"/>
      <c r="Y681" s="157"/>
      <c r="Z681" s="157"/>
    </row>
    <row r="682" spans="1:26">
      <c r="A682" s="103"/>
      <c r="B682" s="103"/>
      <c r="C682" s="103"/>
      <c r="D682" s="103"/>
      <c r="E682" s="103"/>
      <c r="F682" s="103"/>
      <c r="G682" s="103"/>
      <c r="H682" s="103"/>
      <c r="I682" s="103"/>
      <c r="J682" s="103"/>
      <c r="K682" s="103"/>
      <c r="L682" s="103"/>
      <c r="M682" s="103"/>
      <c r="N682" s="103"/>
      <c r="O682" s="103"/>
      <c r="P682" s="103"/>
      <c r="Q682" s="103"/>
      <c r="R682" s="103"/>
      <c r="S682" s="103"/>
      <c r="T682" s="103"/>
      <c r="U682" s="103"/>
      <c r="V682" s="103"/>
      <c r="W682" s="103"/>
      <c r="X682" s="103"/>
      <c r="Y682" s="157"/>
      <c r="Z682" s="157"/>
    </row>
    <row r="683" spans="1:26">
      <c r="A683" s="103"/>
      <c r="B683" s="103"/>
      <c r="C683" s="103"/>
      <c r="D683" s="103"/>
      <c r="E683" s="103"/>
      <c r="F683" s="103"/>
      <c r="G683" s="103"/>
      <c r="H683" s="103"/>
      <c r="I683" s="103"/>
      <c r="J683" s="103"/>
      <c r="K683" s="103"/>
      <c r="L683" s="103"/>
      <c r="M683" s="103"/>
      <c r="N683" s="103"/>
      <c r="O683" s="103"/>
      <c r="P683" s="103"/>
      <c r="Q683" s="103"/>
      <c r="R683" s="103"/>
      <c r="S683" s="103"/>
      <c r="T683" s="103"/>
      <c r="U683" s="103"/>
      <c r="V683" s="103"/>
      <c r="W683" s="103"/>
      <c r="X683" s="103"/>
      <c r="Y683" s="157"/>
      <c r="Z683" s="157"/>
    </row>
    <row r="684" spans="1:26">
      <c r="A684" s="103"/>
      <c r="B684" s="103"/>
      <c r="C684" s="103"/>
      <c r="D684" s="103"/>
      <c r="E684" s="103"/>
      <c r="F684" s="103"/>
      <c r="G684" s="103"/>
      <c r="H684" s="103"/>
      <c r="I684" s="103"/>
      <c r="J684" s="103"/>
      <c r="K684" s="103"/>
      <c r="L684" s="103"/>
      <c r="M684" s="103"/>
      <c r="N684" s="103"/>
      <c r="O684" s="103"/>
      <c r="P684" s="103"/>
      <c r="Q684" s="103"/>
      <c r="R684" s="103"/>
      <c r="S684" s="103"/>
      <c r="T684" s="103"/>
      <c r="U684" s="103"/>
      <c r="V684" s="103"/>
      <c r="W684" s="103"/>
      <c r="X684" s="103"/>
      <c r="Y684" s="157"/>
      <c r="Z684" s="157"/>
    </row>
    <row r="685" spans="1:26">
      <c r="A685" s="103"/>
      <c r="B685" s="103"/>
      <c r="C685" s="103"/>
      <c r="D685" s="103"/>
      <c r="E685" s="103"/>
      <c r="F685" s="103"/>
      <c r="G685" s="103"/>
      <c r="H685" s="103"/>
      <c r="I685" s="103"/>
      <c r="J685" s="103"/>
      <c r="K685" s="103"/>
      <c r="L685" s="103"/>
      <c r="M685" s="103"/>
      <c r="N685" s="103"/>
      <c r="O685" s="103"/>
      <c r="P685" s="103"/>
      <c r="Q685" s="103"/>
      <c r="R685" s="103"/>
      <c r="S685" s="103"/>
      <c r="T685" s="103"/>
      <c r="U685" s="103"/>
      <c r="V685" s="103"/>
      <c r="W685" s="103"/>
      <c r="X685" s="103"/>
      <c r="Y685" s="157"/>
      <c r="Z685" s="157"/>
    </row>
    <row r="686" spans="1:26">
      <c r="A686" s="103"/>
      <c r="B686" s="103"/>
      <c r="C686" s="103"/>
      <c r="D686" s="103"/>
      <c r="E686" s="103"/>
      <c r="F686" s="103"/>
      <c r="G686" s="103"/>
      <c r="H686" s="103"/>
      <c r="I686" s="103"/>
      <c r="J686" s="103"/>
      <c r="K686" s="103"/>
      <c r="L686" s="103"/>
      <c r="M686" s="103"/>
      <c r="N686" s="103"/>
      <c r="O686" s="103"/>
      <c r="P686" s="103"/>
      <c r="Q686" s="103"/>
      <c r="R686" s="103"/>
      <c r="S686" s="103"/>
      <c r="T686" s="103"/>
      <c r="U686" s="103"/>
      <c r="V686" s="103"/>
      <c r="W686" s="103"/>
      <c r="X686" s="103"/>
      <c r="Y686" s="157"/>
      <c r="Z686" s="157"/>
    </row>
    <row r="687" spans="1:26">
      <c r="A687" s="103"/>
      <c r="B687" s="103"/>
      <c r="C687" s="103"/>
      <c r="D687" s="103"/>
      <c r="E687" s="103"/>
      <c r="F687" s="103"/>
      <c r="G687" s="103"/>
      <c r="H687" s="103"/>
      <c r="I687" s="103"/>
      <c r="J687" s="103"/>
      <c r="K687" s="103"/>
      <c r="L687" s="103"/>
      <c r="M687" s="103"/>
      <c r="N687" s="103"/>
      <c r="O687" s="103"/>
      <c r="P687" s="103"/>
      <c r="Q687" s="103"/>
      <c r="R687" s="103"/>
      <c r="S687" s="103"/>
      <c r="T687" s="103"/>
      <c r="U687" s="103"/>
      <c r="V687" s="103"/>
      <c r="W687" s="103"/>
      <c r="X687" s="103"/>
      <c r="Y687" s="157"/>
      <c r="Z687" s="157"/>
    </row>
    <row r="688" spans="1:26">
      <c r="A688" s="103"/>
      <c r="B688" s="103"/>
      <c r="C688" s="103"/>
      <c r="D688" s="103"/>
      <c r="E688" s="103"/>
      <c r="F688" s="103"/>
      <c r="G688" s="103"/>
      <c r="H688" s="103"/>
      <c r="I688" s="103"/>
      <c r="J688" s="103"/>
      <c r="K688" s="103"/>
      <c r="L688" s="103"/>
      <c r="M688" s="103"/>
      <c r="N688" s="103"/>
      <c r="O688" s="103"/>
      <c r="P688" s="103"/>
      <c r="Q688" s="103"/>
      <c r="R688" s="103"/>
      <c r="S688" s="103"/>
      <c r="T688" s="103"/>
      <c r="U688" s="103"/>
      <c r="V688" s="103"/>
      <c r="W688" s="103"/>
      <c r="X688" s="103"/>
      <c r="Y688" s="157"/>
      <c r="Z688" s="157"/>
    </row>
    <row r="689" spans="1:26">
      <c r="A689" s="103"/>
      <c r="B689" s="103"/>
      <c r="C689" s="103"/>
      <c r="D689" s="103"/>
      <c r="E689" s="103"/>
      <c r="F689" s="103"/>
      <c r="G689" s="103"/>
      <c r="H689" s="103"/>
      <c r="I689" s="103"/>
      <c r="J689" s="103"/>
      <c r="K689" s="103"/>
      <c r="L689" s="103"/>
      <c r="M689" s="103"/>
      <c r="N689" s="103"/>
      <c r="O689" s="103"/>
      <c r="P689" s="103"/>
      <c r="Q689" s="103"/>
      <c r="R689" s="103"/>
      <c r="S689" s="103"/>
      <c r="T689" s="103"/>
      <c r="U689" s="103"/>
      <c r="V689" s="103"/>
      <c r="W689" s="103"/>
      <c r="X689" s="103"/>
      <c r="Y689" s="157"/>
      <c r="Z689" s="157"/>
    </row>
    <row r="690" spans="1:26">
      <c r="A690" s="103"/>
      <c r="B690" s="103"/>
      <c r="C690" s="103"/>
      <c r="D690" s="103"/>
      <c r="E690" s="103"/>
      <c r="F690" s="103"/>
      <c r="G690" s="103"/>
      <c r="H690" s="103"/>
      <c r="I690" s="103"/>
      <c r="J690" s="103"/>
      <c r="K690" s="103"/>
      <c r="L690" s="103"/>
      <c r="M690" s="103"/>
      <c r="N690" s="103"/>
      <c r="O690" s="103"/>
      <c r="P690" s="103"/>
      <c r="Q690" s="103"/>
      <c r="R690" s="103"/>
      <c r="S690" s="103"/>
      <c r="T690" s="103"/>
      <c r="U690" s="103"/>
      <c r="V690" s="103"/>
      <c r="W690" s="103"/>
      <c r="X690" s="103"/>
      <c r="Y690" s="157"/>
      <c r="Z690" s="157"/>
    </row>
    <row r="691" spans="1:26">
      <c r="A691" s="103"/>
      <c r="B691" s="103"/>
      <c r="C691" s="103"/>
      <c r="D691" s="103"/>
      <c r="E691" s="103"/>
      <c r="F691" s="103"/>
      <c r="G691" s="103"/>
      <c r="H691" s="103"/>
      <c r="I691" s="103"/>
      <c r="J691" s="103"/>
      <c r="K691" s="103"/>
      <c r="L691" s="103"/>
      <c r="M691" s="103"/>
      <c r="N691" s="103"/>
      <c r="O691" s="103"/>
      <c r="P691" s="103"/>
      <c r="Q691" s="103"/>
      <c r="R691" s="103"/>
      <c r="S691" s="103"/>
      <c r="T691" s="103"/>
      <c r="U691" s="103"/>
      <c r="V691" s="103"/>
      <c r="W691" s="103"/>
      <c r="X691" s="103"/>
      <c r="Y691" s="157"/>
      <c r="Z691" s="157"/>
    </row>
    <row r="692" spans="1:26">
      <c r="A692" s="103"/>
      <c r="B692" s="103"/>
      <c r="C692" s="103"/>
      <c r="D692" s="103"/>
      <c r="E692" s="103"/>
      <c r="F692" s="103"/>
      <c r="G692" s="103"/>
      <c r="H692" s="103"/>
      <c r="I692" s="103"/>
      <c r="J692" s="103"/>
      <c r="K692" s="103"/>
      <c r="L692" s="103"/>
      <c r="M692" s="103"/>
      <c r="N692" s="103"/>
      <c r="O692" s="103"/>
      <c r="P692" s="103"/>
      <c r="Q692" s="103"/>
      <c r="R692" s="103"/>
      <c r="S692" s="103"/>
      <c r="T692" s="103"/>
      <c r="U692" s="103"/>
      <c r="V692" s="103"/>
      <c r="W692" s="103"/>
      <c r="X692" s="103"/>
      <c r="Y692" s="157"/>
      <c r="Z692" s="157"/>
    </row>
    <row r="693" spans="1:26">
      <c r="A693" s="103"/>
      <c r="B693" s="103"/>
      <c r="C693" s="103"/>
      <c r="D693" s="103"/>
      <c r="E693" s="103"/>
      <c r="F693" s="103"/>
      <c r="G693" s="103"/>
      <c r="H693" s="103"/>
      <c r="I693" s="103"/>
      <c r="J693" s="103"/>
      <c r="K693" s="103"/>
      <c r="L693" s="103"/>
      <c r="M693" s="103"/>
      <c r="N693" s="103"/>
      <c r="O693" s="103"/>
      <c r="P693" s="103"/>
      <c r="Q693" s="103"/>
      <c r="R693" s="103"/>
      <c r="S693" s="103"/>
      <c r="T693" s="103"/>
      <c r="U693" s="103"/>
      <c r="V693" s="103"/>
      <c r="W693" s="103"/>
      <c r="X693" s="103"/>
      <c r="Y693" s="157"/>
      <c r="Z693" s="157"/>
    </row>
    <row r="694" spans="1:26">
      <c r="A694" s="103"/>
      <c r="B694" s="103"/>
      <c r="C694" s="103"/>
      <c r="D694" s="103"/>
      <c r="E694" s="103"/>
      <c r="F694" s="103"/>
      <c r="G694" s="103"/>
      <c r="H694" s="103"/>
      <c r="I694" s="103"/>
      <c r="J694" s="103"/>
      <c r="K694" s="103"/>
      <c r="L694" s="103"/>
      <c r="M694" s="103"/>
      <c r="N694" s="103"/>
      <c r="O694" s="103"/>
      <c r="P694" s="103"/>
      <c r="Q694" s="103"/>
      <c r="R694" s="103"/>
      <c r="S694" s="103"/>
      <c r="T694" s="103"/>
      <c r="U694" s="103"/>
      <c r="V694" s="103"/>
      <c r="W694" s="103"/>
      <c r="X694" s="103"/>
      <c r="Y694" s="157"/>
      <c r="Z694" s="157"/>
    </row>
    <row r="695" spans="1:26">
      <c r="A695" s="103"/>
      <c r="B695" s="103"/>
      <c r="C695" s="103"/>
      <c r="D695" s="103"/>
      <c r="E695" s="103"/>
      <c r="F695" s="103"/>
      <c r="G695" s="103"/>
      <c r="H695" s="103"/>
      <c r="I695" s="103"/>
      <c r="J695" s="103"/>
      <c r="K695" s="103"/>
      <c r="L695" s="103"/>
      <c r="M695" s="103"/>
      <c r="N695" s="103"/>
      <c r="O695" s="103"/>
      <c r="P695" s="103"/>
      <c r="Q695" s="103"/>
      <c r="R695" s="103"/>
      <c r="S695" s="103"/>
      <c r="T695" s="103"/>
      <c r="U695" s="103"/>
      <c r="V695" s="103"/>
      <c r="W695" s="103"/>
      <c r="X695" s="103"/>
      <c r="Y695" s="157"/>
      <c r="Z695" s="157"/>
    </row>
    <row r="696" spans="1:26">
      <c r="A696" s="103"/>
      <c r="B696" s="103"/>
      <c r="C696" s="103"/>
      <c r="D696" s="103"/>
      <c r="E696" s="103"/>
      <c r="F696" s="103"/>
      <c r="G696" s="103"/>
      <c r="H696" s="103"/>
      <c r="I696" s="103"/>
      <c r="J696" s="103"/>
      <c r="K696" s="103"/>
      <c r="L696" s="103"/>
      <c r="M696" s="103"/>
      <c r="N696" s="103"/>
      <c r="O696" s="103"/>
      <c r="P696" s="103"/>
      <c r="Q696" s="103"/>
      <c r="R696" s="103"/>
      <c r="S696" s="103"/>
      <c r="T696" s="103"/>
      <c r="U696" s="103"/>
      <c r="V696" s="103"/>
      <c r="W696" s="103"/>
      <c r="X696" s="103"/>
      <c r="Y696" s="157"/>
      <c r="Z696" s="157"/>
    </row>
    <row r="697" spans="1:26">
      <c r="A697" s="103"/>
      <c r="B697" s="103"/>
      <c r="C697" s="103"/>
      <c r="D697" s="103"/>
      <c r="E697" s="103"/>
      <c r="F697" s="103"/>
      <c r="G697" s="103"/>
      <c r="H697" s="103"/>
      <c r="I697" s="103"/>
      <c r="J697" s="103"/>
      <c r="K697" s="103"/>
      <c r="L697" s="103"/>
      <c r="M697" s="103"/>
      <c r="N697" s="103"/>
      <c r="O697" s="103"/>
      <c r="P697" s="103"/>
      <c r="Q697" s="103"/>
      <c r="R697" s="103"/>
      <c r="S697" s="103"/>
      <c r="T697" s="103"/>
      <c r="U697" s="103"/>
      <c r="V697" s="103"/>
      <c r="W697" s="103"/>
      <c r="X697" s="103"/>
      <c r="Y697" s="157"/>
      <c r="Z697" s="157"/>
    </row>
    <row r="698" spans="1:26">
      <c r="A698" s="103"/>
      <c r="B698" s="103"/>
      <c r="C698" s="103"/>
      <c r="D698" s="103"/>
      <c r="E698" s="103"/>
      <c r="F698" s="103"/>
      <c r="G698" s="103"/>
      <c r="H698" s="103"/>
      <c r="I698" s="103"/>
      <c r="J698" s="103"/>
      <c r="K698" s="103"/>
      <c r="L698" s="103"/>
      <c r="M698" s="103"/>
      <c r="N698" s="103"/>
      <c r="O698" s="103"/>
      <c r="P698" s="103"/>
      <c r="Q698" s="103"/>
      <c r="R698" s="103"/>
      <c r="S698" s="103"/>
      <c r="T698" s="103"/>
      <c r="U698" s="103"/>
      <c r="V698" s="103"/>
      <c r="W698" s="103"/>
      <c r="X698" s="103"/>
      <c r="Y698" s="157"/>
      <c r="Z698" s="157"/>
    </row>
    <row r="699" spans="1:26">
      <c r="A699" s="103"/>
      <c r="B699" s="103"/>
      <c r="C699" s="103"/>
      <c r="D699" s="103"/>
      <c r="E699" s="103"/>
      <c r="F699" s="103"/>
      <c r="G699" s="103"/>
      <c r="H699" s="103"/>
      <c r="I699" s="103"/>
      <c r="J699" s="103"/>
      <c r="K699" s="103"/>
      <c r="L699" s="103"/>
      <c r="M699" s="103"/>
      <c r="N699" s="103"/>
      <c r="O699" s="103"/>
      <c r="P699" s="103"/>
      <c r="Q699" s="103"/>
      <c r="R699" s="103"/>
      <c r="S699" s="103"/>
      <c r="T699" s="103"/>
      <c r="U699" s="103"/>
      <c r="V699" s="103"/>
      <c r="W699" s="103"/>
      <c r="X699" s="103"/>
      <c r="Y699" s="157"/>
      <c r="Z699" s="157"/>
    </row>
    <row r="700" spans="1:26">
      <c r="A700" s="103"/>
      <c r="B700" s="103"/>
      <c r="C700" s="103"/>
      <c r="D700" s="103"/>
      <c r="E700" s="103"/>
      <c r="F700" s="103"/>
      <c r="G700" s="103"/>
      <c r="H700" s="103"/>
      <c r="I700" s="103"/>
      <c r="J700" s="103"/>
      <c r="K700" s="103"/>
      <c r="L700" s="103"/>
      <c r="M700" s="103"/>
      <c r="N700" s="103"/>
      <c r="O700" s="103"/>
      <c r="P700" s="103"/>
      <c r="Q700" s="103"/>
      <c r="R700" s="103"/>
      <c r="S700" s="103"/>
      <c r="T700" s="103"/>
      <c r="U700" s="103"/>
      <c r="V700" s="103"/>
      <c r="W700" s="103"/>
      <c r="X700" s="103"/>
      <c r="Y700" s="157"/>
      <c r="Z700" s="157"/>
    </row>
    <row r="701" spans="1:26">
      <c r="A701" s="103"/>
      <c r="B701" s="103"/>
      <c r="C701" s="103"/>
      <c r="D701" s="103"/>
      <c r="E701" s="103"/>
      <c r="F701" s="103"/>
      <c r="G701" s="103"/>
      <c r="H701" s="103"/>
      <c r="I701" s="103"/>
      <c r="J701" s="103"/>
      <c r="K701" s="103"/>
      <c r="L701" s="103"/>
      <c r="M701" s="103"/>
      <c r="N701" s="103"/>
      <c r="O701" s="103"/>
      <c r="P701" s="103"/>
      <c r="Q701" s="103"/>
      <c r="R701" s="103"/>
      <c r="S701" s="103"/>
      <c r="T701" s="103"/>
      <c r="U701" s="103"/>
      <c r="V701" s="103"/>
      <c r="W701" s="103"/>
      <c r="X701" s="103"/>
      <c r="Y701" s="157"/>
      <c r="Z701" s="157"/>
    </row>
    <row r="702" spans="1:26">
      <c r="A702" s="103"/>
      <c r="B702" s="103"/>
      <c r="C702" s="103"/>
      <c r="D702" s="103"/>
      <c r="E702" s="103"/>
      <c r="F702" s="103"/>
      <c r="G702" s="103"/>
      <c r="H702" s="103"/>
      <c r="I702" s="103"/>
      <c r="J702" s="103"/>
      <c r="K702" s="103"/>
      <c r="L702" s="103"/>
      <c r="M702" s="103"/>
      <c r="N702" s="103"/>
      <c r="O702" s="103"/>
      <c r="P702" s="103"/>
      <c r="Q702" s="103"/>
      <c r="R702" s="103"/>
      <c r="S702" s="103"/>
      <c r="T702" s="103"/>
      <c r="U702" s="103"/>
      <c r="V702" s="103"/>
      <c r="W702" s="103"/>
      <c r="X702" s="103"/>
      <c r="Y702" s="157"/>
      <c r="Z702" s="157"/>
    </row>
    <row r="703" spans="1:26">
      <c r="A703" s="103"/>
      <c r="B703" s="103"/>
      <c r="C703" s="103"/>
      <c r="D703" s="103"/>
      <c r="E703" s="103"/>
      <c r="F703" s="103"/>
      <c r="G703" s="103"/>
      <c r="H703" s="103"/>
      <c r="I703" s="103"/>
      <c r="J703" s="103"/>
      <c r="K703" s="103"/>
      <c r="L703" s="103"/>
      <c r="M703" s="103"/>
      <c r="N703" s="103"/>
      <c r="O703" s="103"/>
      <c r="P703" s="103"/>
      <c r="Q703" s="103"/>
      <c r="R703" s="103"/>
      <c r="S703" s="103"/>
      <c r="T703" s="103"/>
      <c r="U703" s="103"/>
      <c r="V703" s="103"/>
      <c r="W703" s="103"/>
      <c r="X703" s="103"/>
      <c r="Y703" s="157"/>
      <c r="Z703" s="157"/>
    </row>
    <row r="704" spans="1:26">
      <c r="A704" s="103"/>
      <c r="B704" s="103"/>
      <c r="C704" s="103"/>
      <c r="D704" s="103"/>
      <c r="E704" s="103"/>
      <c r="F704" s="103"/>
      <c r="G704" s="103"/>
      <c r="H704" s="103"/>
      <c r="I704" s="103"/>
      <c r="J704" s="103"/>
      <c r="K704" s="103"/>
      <c r="L704" s="103"/>
      <c r="M704" s="103"/>
      <c r="N704" s="103"/>
      <c r="O704" s="103"/>
      <c r="P704" s="103"/>
      <c r="Q704" s="103"/>
      <c r="R704" s="103"/>
      <c r="S704" s="103"/>
      <c r="T704" s="103"/>
      <c r="U704" s="103"/>
      <c r="V704" s="103"/>
      <c r="W704" s="103"/>
      <c r="X704" s="103"/>
      <c r="Y704" s="157"/>
      <c r="Z704" s="157"/>
    </row>
    <row r="705" spans="1:26">
      <c r="A705" s="103"/>
      <c r="B705" s="103"/>
      <c r="C705" s="103"/>
      <c r="D705" s="103"/>
      <c r="E705" s="103"/>
      <c r="F705" s="103"/>
      <c r="G705" s="103"/>
      <c r="H705" s="103"/>
      <c r="I705" s="103"/>
      <c r="J705" s="103"/>
      <c r="K705" s="103"/>
      <c r="L705" s="103"/>
      <c r="M705" s="103"/>
      <c r="N705" s="103"/>
      <c r="O705" s="103"/>
      <c r="P705" s="103"/>
      <c r="Q705" s="103"/>
      <c r="R705" s="103"/>
      <c r="S705" s="103"/>
      <c r="T705" s="103"/>
      <c r="U705" s="103"/>
      <c r="V705" s="103"/>
      <c r="W705" s="103"/>
      <c r="X705" s="103"/>
      <c r="Y705" s="157"/>
      <c r="Z705" s="157"/>
    </row>
    <row r="706" spans="1:26">
      <c r="A706" s="103"/>
      <c r="B706" s="103"/>
      <c r="C706" s="103"/>
      <c r="D706" s="103"/>
      <c r="E706" s="103"/>
      <c r="F706" s="103"/>
      <c r="G706" s="103"/>
      <c r="H706" s="103"/>
      <c r="I706" s="103"/>
      <c r="J706" s="103"/>
      <c r="K706" s="103"/>
      <c r="L706" s="103"/>
      <c r="M706" s="103"/>
      <c r="N706" s="103"/>
      <c r="O706" s="103"/>
      <c r="P706" s="103"/>
      <c r="Q706" s="103"/>
      <c r="R706" s="103"/>
      <c r="S706" s="103"/>
      <c r="T706" s="103"/>
      <c r="U706" s="103"/>
      <c r="V706" s="103"/>
      <c r="W706" s="103"/>
      <c r="X706" s="103"/>
      <c r="Y706" s="157"/>
      <c r="Z706" s="157"/>
    </row>
    <row r="707" spans="1:26">
      <c r="A707" s="103"/>
      <c r="B707" s="103"/>
      <c r="C707" s="103"/>
      <c r="D707" s="103"/>
      <c r="E707" s="103"/>
      <c r="F707" s="103"/>
      <c r="G707" s="103"/>
      <c r="H707" s="103"/>
      <c r="I707" s="103"/>
      <c r="J707" s="103"/>
      <c r="K707" s="103"/>
      <c r="L707" s="103"/>
      <c r="M707" s="103"/>
      <c r="N707" s="103"/>
      <c r="O707" s="103"/>
      <c r="P707" s="103"/>
      <c r="Q707" s="103"/>
      <c r="R707" s="103"/>
      <c r="S707" s="103"/>
      <c r="T707" s="103"/>
      <c r="U707" s="103"/>
      <c r="V707" s="103"/>
      <c r="W707" s="103"/>
      <c r="X707" s="103"/>
      <c r="Y707" s="157"/>
      <c r="Z707" s="157"/>
    </row>
    <row r="708" spans="1:26">
      <c r="A708" s="103"/>
      <c r="B708" s="103"/>
      <c r="C708" s="103"/>
      <c r="D708" s="103"/>
      <c r="E708" s="103"/>
      <c r="F708" s="103"/>
      <c r="G708" s="103"/>
      <c r="H708" s="103"/>
      <c r="I708" s="103"/>
      <c r="J708" s="103"/>
      <c r="K708" s="103"/>
      <c r="L708" s="103"/>
      <c r="M708" s="103"/>
      <c r="N708" s="103"/>
      <c r="O708" s="103"/>
      <c r="P708" s="103"/>
      <c r="Q708" s="103"/>
      <c r="R708" s="103"/>
      <c r="S708" s="103"/>
      <c r="T708" s="103"/>
      <c r="U708" s="103"/>
      <c r="V708" s="103"/>
      <c r="W708" s="103"/>
      <c r="X708" s="103"/>
      <c r="Y708" s="157"/>
      <c r="Z708" s="157"/>
    </row>
    <row r="709" spans="1:26">
      <c r="A709" s="103"/>
      <c r="B709" s="103"/>
      <c r="C709" s="103"/>
      <c r="D709" s="103"/>
      <c r="E709" s="103"/>
      <c r="F709" s="103"/>
      <c r="G709" s="103"/>
      <c r="H709" s="103"/>
      <c r="I709" s="103"/>
      <c r="J709" s="103"/>
      <c r="K709" s="103"/>
      <c r="L709" s="103"/>
      <c r="M709" s="103"/>
      <c r="N709" s="103"/>
      <c r="O709" s="103"/>
      <c r="P709" s="103"/>
      <c r="Q709" s="103"/>
      <c r="R709" s="103"/>
      <c r="S709" s="103"/>
      <c r="T709" s="103"/>
      <c r="U709" s="103"/>
      <c r="V709" s="103"/>
      <c r="W709" s="103"/>
      <c r="X709" s="103"/>
      <c r="Y709" s="157"/>
      <c r="Z709" s="157"/>
    </row>
    <row r="710" spans="1:26">
      <c r="A710" s="103"/>
      <c r="B710" s="103"/>
      <c r="C710" s="103"/>
      <c r="D710" s="103"/>
      <c r="E710" s="103"/>
      <c r="F710" s="103"/>
      <c r="G710" s="103"/>
      <c r="H710" s="103"/>
      <c r="I710" s="103"/>
      <c r="J710" s="103"/>
      <c r="K710" s="103"/>
      <c r="L710" s="103"/>
      <c r="M710" s="103"/>
      <c r="N710" s="103"/>
      <c r="O710" s="103"/>
      <c r="P710" s="103"/>
      <c r="Q710" s="103"/>
      <c r="R710" s="103"/>
      <c r="S710" s="103"/>
      <c r="T710" s="103"/>
      <c r="U710" s="103"/>
      <c r="V710" s="103"/>
      <c r="W710" s="103"/>
      <c r="X710" s="103"/>
      <c r="Y710" s="157"/>
      <c r="Z710" s="157"/>
    </row>
    <row r="711" spans="1:26">
      <c r="A711" s="103"/>
      <c r="B711" s="103"/>
      <c r="C711" s="103"/>
      <c r="D711" s="103"/>
      <c r="E711" s="103"/>
      <c r="F711" s="103"/>
      <c r="G711" s="103"/>
      <c r="H711" s="103"/>
      <c r="I711" s="103"/>
      <c r="J711" s="103"/>
      <c r="K711" s="103"/>
      <c r="L711" s="103"/>
      <c r="M711" s="103"/>
      <c r="N711" s="103"/>
      <c r="O711" s="103"/>
      <c r="P711" s="103"/>
      <c r="Q711" s="103"/>
      <c r="R711" s="103"/>
      <c r="S711" s="103"/>
      <c r="T711" s="103"/>
      <c r="U711" s="103"/>
      <c r="V711" s="103"/>
      <c r="W711" s="103"/>
      <c r="X711" s="103"/>
      <c r="Y711" s="157"/>
      <c r="Z711" s="157"/>
    </row>
    <row r="712" spans="1:26">
      <c r="A712" s="103"/>
      <c r="B712" s="103"/>
      <c r="C712" s="103"/>
      <c r="D712" s="103"/>
      <c r="E712" s="103"/>
      <c r="F712" s="103"/>
      <c r="G712" s="103"/>
      <c r="H712" s="103"/>
      <c r="I712" s="103"/>
      <c r="J712" s="103"/>
      <c r="K712" s="103"/>
      <c r="L712" s="103"/>
      <c r="M712" s="103"/>
      <c r="N712" s="103"/>
      <c r="O712" s="103"/>
      <c r="P712" s="103"/>
      <c r="Q712" s="103"/>
      <c r="R712" s="103"/>
      <c r="S712" s="103"/>
      <c r="T712" s="103"/>
      <c r="U712" s="103"/>
      <c r="V712" s="103"/>
      <c r="W712" s="103"/>
      <c r="X712" s="103"/>
      <c r="Y712" s="157"/>
      <c r="Z712" s="157"/>
    </row>
    <row r="713" spans="1:26">
      <c r="A713" s="103"/>
      <c r="B713" s="103"/>
      <c r="C713" s="103"/>
      <c r="D713" s="103"/>
      <c r="E713" s="103"/>
      <c r="F713" s="103"/>
      <c r="G713" s="103"/>
      <c r="H713" s="103"/>
      <c r="I713" s="103"/>
      <c r="J713" s="103"/>
      <c r="K713" s="103"/>
      <c r="L713" s="103"/>
      <c r="M713" s="103"/>
      <c r="N713" s="103"/>
      <c r="O713" s="103"/>
      <c r="P713" s="103"/>
      <c r="Q713" s="103"/>
      <c r="R713" s="103"/>
      <c r="S713" s="103"/>
      <c r="T713" s="103"/>
      <c r="U713" s="103"/>
      <c r="V713" s="103"/>
      <c r="W713" s="103"/>
      <c r="X713" s="103"/>
      <c r="Y713" s="157"/>
      <c r="Z713" s="157"/>
    </row>
    <row r="714" spans="1:26">
      <c r="A714" s="103"/>
      <c r="B714" s="103"/>
      <c r="C714" s="103"/>
      <c r="D714" s="103"/>
      <c r="E714" s="103"/>
      <c r="F714" s="103"/>
      <c r="G714" s="103"/>
      <c r="H714" s="103"/>
      <c r="I714" s="103"/>
      <c r="J714" s="103"/>
      <c r="K714" s="103"/>
      <c r="L714" s="103"/>
      <c r="M714" s="103"/>
      <c r="N714" s="103"/>
      <c r="O714" s="103"/>
      <c r="P714" s="103"/>
      <c r="Q714" s="103"/>
      <c r="R714" s="103"/>
      <c r="S714" s="103"/>
      <c r="T714" s="103"/>
      <c r="U714" s="103"/>
      <c r="V714" s="103"/>
      <c r="W714" s="103"/>
      <c r="X714" s="103"/>
      <c r="Y714" s="157"/>
      <c r="Z714" s="157"/>
    </row>
    <row r="715" spans="1:26">
      <c r="A715" s="103"/>
      <c r="B715" s="103"/>
      <c r="C715" s="103"/>
      <c r="D715" s="103"/>
      <c r="E715" s="103"/>
      <c r="F715" s="103"/>
      <c r="G715" s="103"/>
      <c r="H715" s="103"/>
      <c r="I715" s="103"/>
      <c r="J715" s="103"/>
      <c r="K715" s="103"/>
      <c r="L715" s="103"/>
      <c r="M715" s="103"/>
      <c r="N715" s="103"/>
      <c r="O715" s="103"/>
      <c r="P715" s="103"/>
      <c r="Q715" s="103"/>
      <c r="R715" s="103"/>
      <c r="S715" s="103"/>
      <c r="T715" s="103"/>
      <c r="U715" s="103"/>
      <c r="V715" s="103"/>
      <c r="W715" s="103"/>
      <c r="X715" s="103"/>
      <c r="Y715" s="157"/>
      <c r="Z715" s="157"/>
    </row>
    <row r="716" spans="1:26">
      <c r="A716" s="103"/>
      <c r="B716" s="103"/>
      <c r="C716" s="103"/>
      <c r="D716" s="103"/>
      <c r="E716" s="103"/>
      <c r="F716" s="103"/>
      <c r="G716" s="103"/>
      <c r="H716" s="103"/>
      <c r="I716" s="103"/>
      <c r="J716" s="103"/>
      <c r="K716" s="103"/>
      <c r="L716" s="103"/>
      <c r="M716" s="103"/>
      <c r="N716" s="103"/>
      <c r="O716" s="103"/>
      <c r="P716" s="103"/>
      <c r="Q716" s="103"/>
      <c r="R716" s="103"/>
      <c r="S716" s="103"/>
      <c r="T716" s="103"/>
      <c r="U716" s="103"/>
      <c r="V716" s="103"/>
      <c r="W716" s="103"/>
      <c r="X716" s="103"/>
      <c r="Y716" s="157"/>
      <c r="Z716" s="157"/>
    </row>
    <row r="717" spans="1:26">
      <c r="A717" s="103"/>
      <c r="B717" s="103"/>
      <c r="C717" s="103"/>
      <c r="D717" s="103"/>
      <c r="E717" s="103"/>
      <c r="F717" s="103"/>
      <c r="G717" s="103"/>
      <c r="H717" s="103"/>
      <c r="I717" s="103"/>
      <c r="J717" s="103"/>
      <c r="K717" s="103"/>
      <c r="L717" s="103"/>
      <c r="M717" s="103"/>
      <c r="N717" s="103"/>
      <c r="O717" s="103"/>
      <c r="P717" s="103"/>
      <c r="Q717" s="103"/>
      <c r="R717" s="103"/>
      <c r="S717" s="103"/>
      <c r="T717" s="103"/>
      <c r="U717" s="103"/>
      <c r="V717" s="103"/>
      <c r="W717" s="103"/>
      <c r="X717" s="103"/>
      <c r="Y717" s="157"/>
      <c r="Z717" s="157"/>
    </row>
    <row r="718" spans="1:26">
      <c r="A718" s="103"/>
      <c r="B718" s="103"/>
      <c r="C718" s="103"/>
      <c r="D718" s="103"/>
      <c r="E718" s="103"/>
      <c r="F718" s="103"/>
      <c r="G718" s="103"/>
      <c r="H718" s="103"/>
      <c r="I718" s="103"/>
      <c r="J718" s="103"/>
      <c r="K718" s="103"/>
      <c r="L718" s="103"/>
      <c r="M718" s="103"/>
      <c r="N718" s="103"/>
      <c r="O718" s="103"/>
      <c r="P718" s="103"/>
      <c r="Q718" s="103"/>
      <c r="R718" s="103"/>
      <c r="S718" s="103"/>
      <c r="T718" s="103"/>
      <c r="U718" s="103"/>
      <c r="V718" s="103"/>
      <c r="W718" s="103"/>
      <c r="X718" s="103"/>
      <c r="Y718" s="157"/>
      <c r="Z718" s="157"/>
    </row>
    <row r="719" spans="1:26">
      <c r="A719" s="103"/>
      <c r="B719" s="103"/>
      <c r="C719" s="103"/>
      <c r="D719" s="103"/>
      <c r="E719" s="103"/>
      <c r="F719" s="103"/>
      <c r="G719" s="103"/>
      <c r="H719" s="103"/>
      <c r="I719" s="103"/>
      <c r="J719" s="103"/>
      <c r="K719" s="103"/>
      <c r="L719" s="103"/>
      <c r="M719" s="103"/>
      <c r="N719" s="103"/>
      <c r="O719" s="103"/>
      <c r="P719" s="103"/>
      <c r="Q719" s="103"/>
      <c r="R719" s="103"/>
      <c r="S719" s="103"/>
      <c r="T719" s="103"/>
      <c r="U719" s="103"/>
      <c r="V719" s="103"/>
      <c r="W719" s="103"/>
      <c r="X719" s="103"/>
      <c r="Y719" s="157"/>
      <c r="Z719" s="157"/>
    </row>
    <row r="720" spans="1:26">
      <c r="A720" s="103"/>
      <c r="B720" s="103"/>
      <c r="C720" s="103"/>
      <c r="D720" s="103"/>
      <c r="E720" s="103"/>
      <c r="F720" s="103"/>
      <c r="G720" s="103"/>
      <c r="H720" s="103"/>
      <c r="I720" s="103"/>
      <c r="J720" s="103"/>
      <c r="K720" s="103"/>
      <c r="L720" s="103"/>
      <c r="M720" s="103"/>
      <c r="N720" s="103"/>
      <c r="O720" s="103"/>
      <c r="P720" s="103"/>
      <c r="Q720" s="103"/>
      <c r="R720" s="103"/>
      <c r="S720" s="103"/>
      <c r="T720" s="103"/>
      <c r="U720" s="103"/>
      <c r="V720" s="103"/>
      <c r="W720" s="103"/>
      <c r="X720" s="103"/>
      <c r="Y720" s="157"/>
      <c r="Z720" s="157"/>
    </row>
    <row r="721" spans="1:26">
      <c r="A721" s="103"/>
      <c r="B721" s="103"/>
      <c r="C721" s="103"/>
      <c r="D721" s="103"/>
      <c r="E721" s="103"/>
      <c r="F721" s="103"/>
      <c r="G721" s="103"/>
      <c r="H721" s="103"/>
      <c r="I721" s="103"/>
      <c r="J721" s="103"/>
      <c r="K721" s="103"/>
      <c r="L721" s="103"/>
      <c r="M721" s="103"/>
      <c r="N721" s="103"/>
      <c r="O721" s="103"/>
      <c r="P721" s="103"/>
      <c r="Q721" s="103"/>
      <c r="R721" s="103"/>
      <c r="S721" s="103"/>
      <c r="T721" s="103"/>
      <c r="U721" s="103"/>
      <c r="V721" s="103"/>
      <c r="W721" s="103"/>
      <c r="X721" s="103"/>
      <c r="Y721" s="157"/>
      <c r="Z721" s="157"/>
    </row>
    <row r="722" spans="1:26">
      <c r="A722" s="103"/>
      <c r="B722" s="103"/>
      <c r="C722" s="103"/>
      <c r="D722" s="103"/>
      <c r="E722" s="103"/>
      <c r="F722" s="103"/>
      <c r="G722" s="103"/>
      <c r="H722" s="103"/>
      <c r="I722" s="103"/>
      <c r="J722" s="103"/>
      <c r="K722" s="103"/>
      <c r="L722" s="103"/>
      <c r="M722" s="103"/>
      <c r="N722" s="103"/>
      <c r="O722" s="103"/>
      <c r="P722" s="103"/>
      <c r="Q722" s="103"/>
      <c r="R722" s="103"/>
      <c r="S722" s="103"/>
      <c r="T722" s="103"/>
      <c r="U722" s="103"/>
      <c r="V722" s="103"/>
      <c r="W722" s="103"/>
      <c r="X722" s="103"/>
      <c r="Y722" s="157"/>
      <c r="Z722" s="157"/>
    </row>
    <row r="723" spans="1:26">
      <c r="A723" s="103"/>
      <c r="B723" s="103"/>
      <c r="C723" s="103"/>
      <c r="D723" s="103"/>
      <c r="E723" s="103"/>
      <c r="F723" s="103"/>
      <c r="G723" s="103"/>
      <c r="H723" s="103"/>
      <c r="I723" s="103"/>
      <c r="J723" s="103"/>
      <c r="K723" s="103"/>
      <c r="L723" s="103"/>
      <c r="M723" s="103"/>
      <c r="N723" s="103"/>
      <c r="O723" s="103"/>
      <c r="P723" s="103"/>
      <c r="Q723" s="103"/>
      <c r="R723" s="103"/>
      <c r="S723" s="103"/>
      <c r="T723" s="103"/>
      <c r="U723" s="103"/>
      <c r="V723" s="103"/>
      <c r="W723" s="103"/>
      <c r="X723" s="103"/>
      <c r="Y723" s="157"/>
      <c r="Z723" s="157"/>
    </row>
    <row r="724" spans="1:26">
      <c r="A724" s="103"/>
      <c r="B724" s="103"/>
      <c r="C724" s="103"/>
      <c r="D724" s="103"/>
      <c r="E724" s="103"/>
      <c r="F724" s="103"/>
      <c r="G724" s="103"/>
      <c r="H724" s="103"/>
      <c r="I724" s="103"/>
      <c r="J724" s="103"/>
      <c r="K724" s="103"/>
      <c r="L724" s="103"/>
      <c r="M724" s="103"/>
      <c r="N724" s="103"/>
      <c r="O724" s="103"/>
      <c r="P724" s="103"/>
      <c r="Q724" s="103"/>
      <c r="R724" s="103"/>
      <c r="S724" s="103"/>
      <c r="T724" s="103"/>
      <c r="U724" s="103"/>
      <c r="V724" s="103"/>
      <c r="W724" s="103"/>
      <c r="X724" s="103"/>
      <c r="Y724" s="157"/>
      <c r="Z724" s="157"/>
    </row>
    <row r="725" spans="1:26">
      <c r="A725" s="103"/>
      <c r="B725" s="103"/>
      <c r="C725" s="103"/>
      <c r="D725" s="103"/>
      <c r="E725" s="103"/>
      <c r="F725" s="103"/>
      <c r="G725" s="103"/>
      <c r="H725" s="103"/>
      <c r="I725" s="103"/>
      <c r="J725" s="103"/>
      <c r="K725" s="103"/>
      <c r="L725" s="103"/>
      <c r="M725" s="103"/>
      <c r="N725" s="103"/>
      <c r="O725" s="103"/>
      <c r="P725" s="103"/>
      <c r="Q725" s="103"/>
      <c r="R725" s="103"/>
      <c r="S725" s="103"/>
      <c r="T725" s="103"/>
      <c r="U725" s="103"/>
      <c r="V725" s="103"/>
      <c r="W725" s="103"/>
      <c r="X725" s="103"/>
      <c r="Y725" s="157"/>
      <c r="Z725" s="157"/>
    </row>
    <row r="726" spans="1:26">
      <c r="A726" s="103"/>
      <c r="B726" s="103"/>
      <c r="C726" s="103"/>
      <c r="D726" s="103"/>
      <c r="E726" s="103"/>
      <c r="F726" s="103"/>
      <c r="G726" s="103"/>
      <c r="H726" s="103"/>
      <c r="I726" s="103"/>
      <c r="J726" s="103"/>
      <c r="K726" s="103"/>
      <c r="L726" s="103"/>
      <c r="M726" s="103"/>
      <c r="N726" s="103"/>
      <c r="O726" s="103"/>
      <c r="P726" s="103"/>
      <c r="Q726" s="103"/>
      <c r="R726" s="103"/>
      <c r="S726" s="103"/>
      <c r="T726" s="103"/>
      <c r="U726" s="103"/>
      <c r="V726" s="103"/>
      <c r="W726" s="103"/>
      <c r="X726" s="103"/>
      <c r="Y726" s="157"/>
      <c r="Z726" s="157"/>
    </row>
    <row r="727" spans="1:26">
      <c r="A727" s="103"/>
      <c r="B727" s="103"/>
      <c r="C727" s="103"/>
      <c r="D727" s="103"/>
      <c r="E727" s="103"/>
      <c r="F727" s="103"/>
      <c r="G727" s="103"/>
      <c r="H727" s="103"/>
      <c r="I727" s="103"/>
      <c r="J727" s="103"/>
      <c r="K727" s="103"/>
      <c r="L727" s="103"/>
      <c r="M727" s="103"/>
      <c r="N727" s="103"/>
      <c r="O727" s="103"/>
      <c r="P727" s="103"/>
      <c r="Q727" s="103"/>
      <c r="R727" s="103"/>
      <c r="S727" s="103"/>
      <c r="T727" s="103"/>
      <c r="U727" s="103"/>
      <c r="V727" s="103"/>
      <c r="W727" s="103"/>
      <c r="X727" s="103"/>
      <c r="Y727" s="157"/>
      <c r="Z727" s="157"/>
    </row>
    <row r="728" spans="1:26">
      <c r="A728" s="103"/>
      <c r="B728" s="103"/>
      <c r="C728" s="103"/>
      <c r="D728" s="103"/>
      <c r="E728" s="103"/>
      <c r="F728" s="103"/>
      <c r="G728" s="103"/>
      <c r="H728" s="103"/>
      <c r="I728" s="103"/>
      <c r="J728" s="103"/>
      <c r="K728" s="103"/>
      <c r="L728" s="103"/>
      <c r="M728" s="103"/>
      <c r="N728" s="103"/>
      <c r="O728" s="103"/>
      <c r="P728" s="103"/>
      <c r="Q728" s="103"/>
      <c r="R728" s="103"/>
      <c r="S728" s="103"/>
      <c r="T728" s="103"/>
      <c r="U728" s="103"/>
      <c r="V728" s="103"/>
      <c r="W728" s="103"/>
      <c r="X728" s="103"/>
      <c r="Y728" s="157"/>
      <c r="Z728" s="157"/>
    </row>
    <row r="729" spans="1:26">
      <c r="A729" s="103"/>
      <c r="B729" s="103"/>
      <c r="C729" s="103"/>
      <c r="D729" s="103"/>
      <c r="E729" s="103"/>
      <c r="F729" s="103"/>
      <c r="G729" s="103"/>
      <c r="H729" s="103"/>
      <c r="I729" s="103"/>
      <c r="J729" s="103"/>
      <c r="K729" s="103"/>
      <c r="L729" s="103"/>
      <c r="M729" s="103"/>
      <c r="N729" s="103"/>
      <c r="O729" s="103"/>
      <c r="P729" s="103"/>
      <c r="Q729" s="103"/>
      <c r="R729" s="103"/>
      <c r="S729" s="103"/>
      <c r="T729" s="103"/>
      <c r="U729" s="103"/>
      <c r="V729" s="103"/>
      <c r="W729" s="103"/>
      <c r="X729" s="103"/>
      <c r="Y729" s="157"/>
      <c r="Z729" s="157"/>
    </row>
    <row r="730" spans="1:26">
      <c r="A730" s="103"/>
      <c r="B730" s="103"/>
      <c r="C730" s="103"/>
      <c r="D730" s="103"/>
      <c r="E730" s="103"/>
      <c r="F730" s="103"/>
      <c r="G730" s="103"/>
      <c r="H730" s="103"/>
      <c r="I730" s="103"/>
      <c r="J730" s="103"/>
      <c r="K730" s="103"/>
      <c r="L730" s="103"/>
      <c r="M730" s="103"/>
      <c r="N730" s="103"/>
      <c r="O730" s="103"/>
      <c r="P730" s="103"/>
      <c r="Q730" s="103"/>
      <c r="R730" s="103"/>
      <c r="S730" s="103"/>
      <c r="T730" s="103"/>
      <c r="U730" s="103"/>
      <c r="V730" s="103"/>
      <c r="W730" s="103"/>
      <c r="X730" s="103"/>
      <c r="Y730" s="157"/>
      <c r="Z730" s="157"/>
    </row>
    <row r="731" spans="1:26">
      <c r="A731" s="103"/>
      <c r="B731" s="103"/>
      <c r="C731" s="103"/>
      <c r="D731" s="103"/>
      <c r="E731" s="103"/>
      <c r="F731" s="103"/>
      <c r="G731" s="103"/>
      <c r="H731" s="103"/>
      <c r="I731" s="103"/>
      <c r="J731" s="103"/>
      <c r="K731" s="103"/>
      <c r="L731" s="103"/>
      <c r="M731" s="103"/>
      <c r="N731" s="103"/>
      <c r="O731" s="103"/>
      <c r="P731" s="103"/>
      <c r="Q731" s="103"/>
      <c r="R731" s="103"/>
      <c r="S731" s="103"/>
      <c r="T731" s="103"/>
      <c r="U731" s="103"/>
      <c r="V731" s="103"/>
      <c r="W731" s="103"/>
      <c r="X731" s="103"/>
      <c r="Y731" s="157"/>
      <c r="Z731" s="157"/>
    </row>
    <row r="732" spans="1:26">
      <c r="A732" s="103"/>
      <c r="B732" s="103"/>
      <c r="C732" s="103"/>
      <c r="D732" s="103"/>
      <c r="E732" s="103"/>
      <c r="F732" s="103"/>
      <c r="G732" s="103"/>
      <c r="H732" s="103"/>
      <c r="I732" s="103"/>
      <c r="J732" s="103"/>
      <c r="K732" s="103"/>
      <c r="L732" s="103"/>
      <c r="M732" s="103"/>
      <c r="N732" s="103"/>
      <c r="O732" s="103"/>
      <c r="P732" s="103"/>
      <c r="Q732" s="103"/>
      <c r="R732" s="103"/>
      <c r="S732" s="103"/>
      <c r="T732" s="103"/>
      <c r="U732" s="103"/>
      <c r="V732" s="103"/>
      <c r="W732" s="103"/>
      <c r="X732" s="103"/>
      <c r="Y732" s="157"/>
      <c r="Z732" s="157"/>
    </row>
    <row r="733" spans="1:26">
      <c r="A733" s="103"/>
      <c r="B733" s="103"/>
      <c r="C733" s="103"/>
      <c r="D733" s="103"/>
      <c r="E733" s="103"/>
      <c r="F733" s="103"/>
      <c r="G733" s="103"/>
      <c r="H733" s="103"/>
      <c r="I733" s="103"/>
      <c r="J733" s="103"/>
      <c r="K733" s="103"/>
      <c r="L733" s="103"/>
      <c r="M733" s="103"/>
      <c r="N733" s="103"/>
      <c r="O733" s="103"/>
      <c r="P733" s="103"/>
      <c r="Q733" s="103"/>
      <c r="R733" s="103"/>
      <c r="S733" s="103"/>
      <c r="T733" s="103"/>
      <c r="U733" s="103"/>
      <c r="V733" s="103"/>
      <c r="W733" s="103"/>
      <c r="X733" s="103"/>
      <c r="Y733" s="157"/>
      <c r="Z733" s="157"/>
    </row>
    <row r="734" spans="1:26">
      <c r="A734" s="103"/>
      <c r="B734" s="103"/>
      <c r="C734" s="103"/>
      <c r="D734" s="103"/>
      <c r="E734" s="103"/>
      <c r="F734" s="103"/>
      <c r="G734" s="103"/>
      <c r="H734" s="103"/>
      <c r="I734" s="103"/>
      <c r="J734" s="103"/>
      <c r="K734" s="103"/>
      <c r="L734" s="103"/>
      <c r="M734" s="103"/>
      <c r="N734" s="103"/>
      <c r="O734" s="103"/>
      <c r="P734" s="103"/>
      <c r="Q734" s="103"/>
      <c r="R734" s="103"/>
      <c r="S734" s="103"/>
      <c r="T734" s="103"/>
      <c r="U734" s="103"/>
      <c r="V734" s="103"/>
      <c r="W734" s="103"/>
      <c r="X734" s="103"/>
      <c r="Y734" s="157"/>
      <c r="Z734" s="157"/>
    </row>
    <row r="735" spans="1:26">
      <c r="A735" s="103"/>
      <c r="B735" s="103"/>
      <c r="C735" s="103"/>
      <c r="D735" s="103"/>
      <c r="E735" s="103"/>
      <c r="F735" s="103"/>
      <c r="G735" s="103"/>
      <c r="H735" s="103"/>
      <c r="I735" s="103"/>
      <c r="J735" s="103"/>
      <c r="K735" s="103"/>
      <c r="L735" s="103"/>
      <c r="M735" s="103"/>
      <c r="N735" s="103"/>
      <c r="O735" s="103"/>
      <c r="P735" s="103"/>
      <c r="Q735" s="103"/>
      <c r="R735" s="103"/>
      <c r="S735" s="103"/>
      <c r="T735" s="103"/>
      <c r="U735" s="103"/>
      <c r="V735" s="103"/>
      <c r="W735" s="103"/>
      <c r="X735" s="103"/>
      <c r="Y735" s="157"/>
      <c r="Z735" s="157"/>
    </row>
    <row r="736" spans="1:26">
      <c r="A736" s="103"/>
      <c r="B736" s="103"/>
      <c r="C736" s="103"/>
      <c r="D736" s="103"/>
      <c r="E736" s="103"/>
      <c r="F736" s="103"/>
      <c r="G736" s="103"/>
      <c r="H736" s="103"/>
      <c r="I736" s="103"/>
      <c r="J736" s="103"/>
      <c r="K736" s="103"/>
      <c r="L736" s="103"/>
      <c r="M736" s="103"/>
      <c r="N736" s="103"/>
      <c r="O736" s="103"/>
      <c r="P736" s="103"/>
      <c r="Q736" s="103"/>
      <c r="R736" s="103"/>
      <c r="S736" s="103"/>
      <c r="T736" s="103"/>
      <c r="U736" s="103"/>
      <c r="V736" s="103"/>
      <c r="W736" s="103"/>
      <c r="X736" s="103"/>
      <c r="Y736" s="157"/>
      <c r="Z736" s="157"/>
    </row>
    <row r="737" spans="1:26">
      <c r="A737" s="103"/>
      <c r="B737" s="103"/>
      <c r="C737" s="103"/>
      <c r="D737" s="103"/>
      <c r="E737" s="103"/>
      <c r="F737" s="103"/>
      <c r="G737" s="103"/>
      <c r="H737" s="103"/>
      <c r="I737" s="103"/>
      <c r="J737" s="103"/>
      <c r="K737" s="103"/>
      <c r="L737" s="103"/>
      <c r="M737" s="103"/>
      <c r="N737" s="103"/>
      <c r="O737" s="103"/>
      <c r="P737" s="103"/>
      <c r="Q737" s="103"/>
      <c r="R737" s="103"/>
      <c r="S737" s="103"/>
      <c r="T737" s="103"/>
      <c r="U737" s="103"/>
      <c r="V737" s="103"/>
      <c r="W737" s="103"/>
      <c r="X737" s="103"/>
      <c r="Y737" s="157"/>
      <c r="Z737" s="157"/>
    </row>
    <row r="738" spans="1:26">
      <c r="A738" s="103"/>
      <c r="B738" s="103"/>
      <c r="C738" s="103"/>
      <c r="D738" s="103"/>
      <c r="E738" s="103"/>
      <c r="F738" s="103"/>
      <c r="G738" s="103"/>
      <c r="H738" s="103"/>
      <c r="I738" s="103"/>
      <c r="J738" s="103"/>
      <c r="K738" s="103"/>
      <c r="L738" s="103"/>
      <c r="M738" s="103"/>
      <c r="N738" s="103"/>
      <c r="O738" s="103"/>
      <c r="P738" s="103"/>
      <c r="Q738" s="103"/>
      <c r="R738" s="103"/>
      <c r="S738" s="103"/>
      <c r="T738" s="103"/>
      <c r="U738" s="103"/>
      <c r="V738" s="103"/>
      <c r="W738" s="103"/>
      <c r="X738" s="103"/>
      <c r="Y738" s="157"/>
      <c r="Z738" s="157"/>
    </row>
    <row r="739" spans="1:26">
      <c r="A739" s="103"/>
      <c r="B739" s="103"/>
      <c r="C739" s="103"/>
      <c r="D739" s="103"/>
      <c r="E739" s="103"/>
      <c r="F739" s="103"/>
      <c r="G739" s="103"/>
      <c r="H739" s="103"/>
      <c r="I739" s="103"/>
      <c r="J739" s="103"/>
      <c r="K739" s="103"/>
      <c r="L739" s="103"/>
      <c r="M739" s="103"/>
      <c r="N739" s="103"/>
      <c r="O739" s="103"/>
      <c r="P739" s="103"/>
      <c r="Q739" s="103"/>
      <c r="R739" s="103"/>
      <c r="S739" s="103"/>
      <c r="T739" s="103"/>
      <c r="U739" s="103"/>
      <c r="V739" s="103"/>
      <c r="W739" s="103"/>
      <c r="X739" s="103"/>
      <c r="Y739" s="157"/>
      <c r="Z739" s="157"/>
    </row>
    <row r="740" spans="1:26">
      <c r="A740" s="103"/>
      <c r="B740" s="103"/>
      <c r="C740" s="103"/>
      <c r="D740" s="103"/>
      <c r="E740" s="103"/>
      <c r="F740" s="103"/>
      <c r="G740" s="103"/>
      <c r="H740" s="103"/>
      <c r="I740" s="103"/>
      <c r="J740" s="103"/>
      <c r="K740" s="103"/>
      <c r="L740" s="103"/>
      <c r="M740" s="103"/>
      <c r="N740" s="103"/>
      <c r="O740" s="103"/>
      <c r="P740" s="103"/>
      <c r="Q740" s="103"/>
      <c r="R740" s="103"/>
      <c r="S740" s="103"/>
      <c r="T740" s="103"/>
      <c r="U740" s="103"/>
      <c r="V740" s="103"/>
      <c r="W740" s="103"/>
      <c r="X740" s="103"/>
      <c r="Y740" s="157"/>
      <c r="Z740" s="157"/>
    </row>
    <row r="741" spans="1:26">
      <c r="A741" s="103"/>
      <c r="B741" s="103"/>
      <c r="C741" s="103"/>
      <c r="D741" s="103"/>
      <c r="E741" s="103"/>
      <c r="F741" s="103"/>
      <c r="G741" s="103"/>
      <c r="H741" s="103"/>
      <c r="I741" s="103"/>
      <c r="J741" s="103"/>
      <c r="K741" s="103"/>
      <c r="L741" s="103"/>
      <c r="M741" s="103"/>
      <c r="N741" s="103"/>
      <c r="O741" s="103"/>
      <c r="P741" s="103"/>
      <c r="Q741" s="103"/>
      <c r="R741" s="103"/>
      <c r="S741" s="103"/>
      <c r="T741" s="103"/>
      <c r="U741" s="103"/>
      <c r="V741" s="103"/>
      <c r="W741" s="103"/>
      <c r="X741" s="103"/>
      <c r="Y741" s="157"/>
      <c r="Z741" s="157"/>
    </row>
    <row r="742" spans="1:26">
      <c r="A742" s="103"/>
      <c r="B742" s="103"/>
      <c r="C742" s="103"/>
      <c r="D742" s="103"/>
      <c r="E742" s="103"/>
      <c r="F742" s="103"/>
      <c r="G742" s="103"/>
      <c r="H742" s="103"/>
      <c r="I742" s="103"/>
      <c r="J742" s="103"/>
      <c r="K742" s="103"/>
      <c r="L742" s="103"/>
      <c r="M742" s="103"/>
      <c r="N742" s="103"/>
      <c r="O742" s="103"/>
      <c r="P742" s="103"/>
      <c r="Q742" s="103"/>
      <c r="R742" s="103"/>
      <c r="S742" s="103"/>
      <c r="T742" s="103"/>
      <c r="U742" s="103"/>
      <c r="V742" s="103"/>
      <c r="W742" s="103"/>
      <c r="X742" s="103"/>
      <c r="Y742" s="157"/>
      <c r="Z742" s="157"/>
    </row>
    <row r="743" spans="1:26">
      <c r="A743" s="103"/>
      <c r="B743" s="103"/>
      <c r="C743" s="103"/>
      <c r="D743" s="103"/>
      <c r="E743" s="103"/>
      <c r="F743" s="103"/>
      <c r="G743" s="103"/>
      <c r="H743" s="103"/>
      <c r="I743" s="103"/>
      <c r="J743" s="103"/>
      <c r="K743" s="103"/>
      <c r="L743" s="103"/>
      <c r="M743" s="103"/>
      <c r="N743" s="103"/>
      <c r="O743" s="103"/>
      <c r="P743" s="103"/>
      <c r="Q743" s="103"/>
      <c r="R743" s="103"/>
      <c r="S743" s="103"/>
      <c r="T743" s="103"/>
      <c r="U743" s="103"/>
      <c r="V743" s="103"/>
      <c r="W743" s="103"/>
      <c r="X743" s="103"/>
      <c r="Y743" s="157"/>
      <c r="Z743" s="157"/>
    </row>
    <row r="744" spans="1:26">
      <c r="A744" s="103"/>
      <c r="B744" s="103"/>
      <c r="C744" s="103"/>
      <c r="D744" s="103"/>
      <c r="E744" s="103"/>
      <c r="F744" s="103"/>
      <c r="G744" s="103"/>
      <c r="H744" s="103"/>
      <c r="I744" s="103"/>
      <c r="J744" s="103"/>
      <c r="K744" s="103"/>
      <c r="L744" s="103"/>
      <c r="M744" s="103"/>
      <c r="N744" s="103"/>
      <c r="O744" s="103"/>
      <c r="P744" s="103"/>
      <c r="Q744" s="103"/>
      <c r="R744" s="103"/>
      <c r="S744" s="103"/>
      <c r="T744" s="103"/>
      <c r="U744" s="103"/>
      <c r="V744" s="103"/>
      <c r="W744" s="103"/>
      <c r="X744" s="103"/>
      <c r="Y744" s="157"/>
      <c r="Z744" s="157"/>
    </row>
    <row r="745" spans="1:26">
      <c r="A745" s="103"/>
      <c r="B745" s="103"/>
      <c r="C745" s="103"/>
      <c r="D745" s="103"/>
      <c r="E745" s="103"/>
      <c r="F745" s="103"/>
      <c r="G745" s="103"/>
      <c r="H745" s="103"/>
      <c r="I745" s="103"/>
      <c r="J745" s="103"/>
      <c r="K745" s="103"/>
      <c r="L745" s="103"/>
      <c r="M745" s="103"/>
      <c r="N745" s="103"/>
      <c r="O745" s="103"/>
      <c r="P745" s="103"/>
      <c r="Q745" s="103"/>
      <c r="R745" s="103"/>
      <c r="S745" s="103"/>
      <c r="T745" s="103"/>
      <c r="U745" s="103"/>
      <c r="V745" s="103"/>
      <c r="W745" s="103"/>
      <c r="X745" s="103"/>
      <c r="Y745" s="157"/>
      <c r="Z745" s="157"/>
    </row>
    <row r="746" spans="1:26">
      <c r="A746" s="103"/>
      <c r="B746" s="103"/>
      <c r="C746" s="103"/>
      <c r="D746" s="103"/>
      <c r="E746" s="103"/>
      <c r="F746" s="103"/>
      <c r="G746" s="103"/>
      <c r="H746" s="103"/>
      <c r="I746" s="103"/>
      <c r="J746" s="103"/>
      <c r="K746" s="103"/>
      <c r="L746" s="103"/>
      <c r="M746" s="103"/>
      <c r="N746" s="103"/>
      <c r="O746" s="103"/>
      <c r="P746" s="103"/>
      <c r="Q746" s="103"/>
      <c r="R746" s="103"/>
      <c r="S746" s="103"/>
      <c r="T746" s="103"/>
      <c r="U746" s="103"/>
      <c r="V746" s="103"/>
      <c r="W746" s="103"/>
      <c r="X746" s="103"/>
      <c r="Y746" s="157"/>
      <c r="Z746" s="157"/>
    </row>
    <row r="747" spans="1:26">
      <c r="A747" s="103"/>
      <c r="B747" s="103"/>
      <c r="C747" s="103"/>
      <c r="D747" s="103"/>
      <c r="E747" s="103"/>
      <c r="F747" s="103"/>
      <c r="G747" s="103"/>
      <c r="H747" s="103"/>
      <c r="I747" s="103"/>
      <c r="J747" s="103"/>
      <c r="K747" s="103"/>
      <c r="L747" s="103"/>
      <c r="M747" s="103"/>
      <c r="N747" s="103"/>
      <c r="O747" s="103"/>
      <c r="P747" s="103"/>
      <c r="Q747" s="103"/>
      <c r="R747" s="103"/>
      <c r="S747" s="103"/>
      <c r="T747" s="103"/>
      <c r="U747" s="103"/>
      <c r="V747" s="103"/>
      <c r="W747" s="103"/>
      <c r="X747" s="103"/>
      <c r="Y747" s="157"/>
      <c r="Z747" s="157"/>
    </row>
    <row r="748" spans="1:26">
      <c r="A748" s="103"/>
      <c r="B748" s="103"/>
      <c r="C748" s="103"/>
      <c r="D748" s="103"/>
      <c r="E748" s="103"/>
      <c r="F748" s="103"/>
      <c r="G748" s="103"/>
      <c r="H748" s="103"/>
      <c r="I748" s="103"/>
      <c r="J748" s="103"/>
      <c r="K748" s="103"/>
      <c r="L748" s="103"/>
      <c r="M748" s="103"/>
      <c r="N748" s="103"/>
      <c r="O748" s="103"/>
      <c r="P748" s="103"/>
      <c r="Q748" s="103"/>
      <c r="R748" s="103"/>
      <c r="S748" s="103"/>
      <c r="T748" s="103"/>
      <c r="U748" s="103"/>
      <c r="V748" s="103"/>
      <c r="W748" s="103"/>
      <c r="X748" s="103"/>
      <c r="Y748" s="157"/>
      <c r="Z748" s="157"/>
    </row>
    <row r="749" spans="1:26">
      <c r="A749" s="103"/>
      <c r="B749" s="103"/>
      <c r="C749" s="103"/>
      <c r="D749" s="103"/>
      <c r="E749" s="103"/>
      <c r="F749" s="103"/>
      <c r="G749" s="103"/>
      <c r="H749" s="103"/>
      <c r="I749" s="103"/>
      <c r="J749" s="103"/>
      <c r="K749" s="103"/>
      <c r="L749" s="103"/>
      <c r="M749" s="103"/>
      <c r="N749" s="103"/>
      <c r="O749" s="103"/>
      <c r="P749" s="103"/>
      <c r="Q749" s="103"/>
      <c r="R749" s="103"/>
      <c r="S749" s="103"/>
      <c r="T749" s="103"/>
      <c r="U749" s="103"/>
      <c r="V749" s="103"/>
      <c r="W749" s="103"/>
      <c r="X749" s="103"/>
      <c r="Y749" s="157"/>
      <c r="Z749" s="157"/>
    </row>
    <row r="750" spans="1:26">
      <c r="A750" s="103"/>
      <c r="B750" s="103"/>
      <c r="C750" s="103"/>
      <c r="D750" s="103"/>
      <c r="E750" s="103"/>
      <c r="F750" s="103"/>
      <c r="G750" s="103"/>
      <c r="H750" s="103"/>
      <c r="I750" s="103"/>
      <c r="J750" s="103"/>
      <c r="K750" s="103"/>
      <c r="L750" s="103"/>
      <c r="M750" s="103"/>
      <c r="N750" s="103"/>
      <c r="O750" s="103"/>
      <c r="P750" s="103"/>
      <c r="Q750" s="103"/>
      <c r="R750" s="103"/>
      <c r="S750" s="103"/>
      <c r="T750" s="103"/>
      <c r="U750" s="103"/>
      <c r="V750" s="103"/>
      <c r="W750" s="103"/>
      <c r="X750" s="103"/>
      <c r="Y750" s="157"/>
      <c r="Z750" s="157"/>
    </row>
    <row r="751" spans="1:26">
      <c r="A751" s="103"/>
      <c r="B751" s="103"/>
      <c r="C751" s="103"/>
      <c r="D751" s="103"/>
      <c r="E751" s="103"/>
      <c r="F751" s="103"/>
      <c r="G751" s="103"/>
      <c r="H751" s="103"/>
      <c r="I751" s="103"/>
      <c r="J751" s="103"/>
      <c r="K751" s="103"/>
      <c r="L751" s="103"/>
      <c r="M751" s="103"/>
      <c r="N751" s="103"/>
      <c r="O751" s="103"/>
      <c r="P751" s="103"/>
      <c r="Q751" s="103"/>
      <c r="R751" s="103"/>
      <c r="S751" s="103"/>
      <c r="T751" s="103"/>
      <c r="U751" s="103"/>
      <c r="V751" s="103"/>
      <c r="W751" s="103"/>
      <c r="X751" s="103"/>
      <c r="Y751" s="157"/>
      <c r="Z751" s="157"/>
    </row>
    <row r="752" spans="1:26">
      <c r="A752" s="103"/>
      <c r="B752" s="103"/>
      <c r="C752" s="103"/>
      <c r="D752" s="103"/>
      <c r="E752" s="103"/>
      <c r="F752" s="103"/>
      <c r="G752" s="103"/>
      <c r="H752" s="103"/>
      <c r="I752" s="103"/>
      <c r="J752" s="103"/>
      <c r="K752" s="103"/>
      <c r="L752" s="103"/>
      <c r="M752" s="103"/>
      <c r="N752" s="103"/>
      <c r="O752" s="103"/>
      <c r="P752" s="103"/>
      <c r="Q752" s="103"/>
      <c r="R752" s="103"/>
      <c r="S752" s="103"/>
      <c r="T752" s="103"/>
      <c r="U752" s="103"/>
      <c r="V752" s="103"/>
      <c r="W752" s="103"/>
      <c r="X752" s="103"/>
      <c r="Y752" s="157"/>
      <c r="Z752" s="157"/>
    </row>
    <row r="753" spans="1:26">
      <c r="A753" s="103"/>
      <c r="B753" s="103"/>
      <c r="C753" s="103"/>
      <c r="D753" s="103"/>
      <c r="E753" s="103"/>
      <c r="F753" s="103"/>
      <c r="G753" s="103"/>
      <c r="H753" s="103"/>
      <c r="I753" s="103"/>
      <c r="J753" s="103"/>
      <c r="K753" s="103"/>
      <c r="L753" s="103"/>
      <c r="M753" s="103"/>
      <c r="N753" s="103"/>
      <c r="O753" s="103"/>
      <c r="P753" s="103"/>
      <c r="Q753" s="103"/>
      <c r="R753" s="103"/>
      <c r="S753" s="103"/>
      <c r="T753" s="103"/>
      <c r="U753" s="103"/>
      <c r="V753" s="103"/>
      <c r="W753" s="103"/>
      <c r="X753" s="103"/>
      <c r="Y753" s="157"/>
      <c r="Z753" s="157"/>
    </row>
    <row r="754" spans="1:26">
      <c r="A754" s="103"/>
      <c r="B754" s="103"/>
      <c r="C754" s="103"/>
      <c r="D754" s="103"/>
      <c r="E754" s="103"/>
      <c r="F754" s="103"/>
      <c r="G754" s="103"/>
      <c r="H754" s="103"/>
      <c r="I754" s="103"/>
      <c r="J754" s="103"/>
      <c r="K754" s="103"/>
      <c r="L754" s="103"/>
      <c r="M754" s="103"/>
      <c r="N754" s="103"/>
      <c r="O754" s="103"/>
      <c r="P754" s="103"/>
      <c r="Q754" s="103"/>
      <c r="R754" s="103"/>
      <c r="S754" s="103"/>
      <c r="T754" s="103"/>
      <c r="U754" s="103"/>
      <c r="V754" s="103"/>
      <c r="W754" s="103"/>
      <c r="X754" s="103"/>
      <c r="Y754" s="157"/>
      <c r="Z754" s="157"/>
    </row>
    <row r="755" spans="1:26">
      <c r="A755" s="103"/>
      <c r="B755" s="103"/>
      <c r="C755" s="103"/>
      <c r="D755" s="103"/>
      <c r="E755" s="103"/>
      <c r="F755" s="103"/>
      <c r="G755" s="103"/>
      <c r="H755" s="103"/>
      <c r="I755" s="103"/>
      <c r="J755" s="103"/>
      <c r="K755" s="103"/>
      <c r="L755" s="103"/>
      <c r="M755" s="103"/>
      <c r="N755" s="103"/>
      <c r="O755" s="103"/>
      <c r="P755" s="103"/>
      <c r="Q755" s="103"/>
      <c r="R755" s="103"/>
      <c r="S755" s="103"/>
      <c r="T755" s="103"/>
      <c r="U755" s="103"/>
      <c r="V755" s="103"/>
      <c r="W755" s="103"/>
      <c r="X755" s="103"/>
      <c r="Y755" s="157"/>
      <c r="Z755" s="157"/>
    </row>
    <row r="756" spans="1:26">
      <c r="A756" s="103"/>
      <c r="B756" s="103"/>
      <c r="C756" s="103"/>
      <c r="D756" s="103"/>
      <c r="E756" s="103"/>
      <c r="F756" s="103"/>
      <c r="G756" s="103"/>
      <c r="H756" s="103"/>
      <c r="I756" s="103"/>
      <c r="J756" s="103"/>
      <c r="K756" s="103"/>
      <c r="L756" s="103"/>
      <c r="M756" s="103"/>
      <c r="N756" s="103"/>
      <c r="O756" s="103"/>
      <c r="P756" s="103"/>
      <c r="Q756" s="103"/>
      <c r="R756" s="103"/>
      <c r="S756" s="103"/>
      <c r="T756" s="103"/>
      <c r="U756" s="103"/>
      <c r="V756" s="103"/>
      <c r="W756" s="103"/>
      <c r="X756" s="103"/>
      <c r="Y756" s="157"/>
      <c r="Z756" s="157"/>
    </row>
    <row r="757" spans="1:26">
      <c r="A757" s="103"/>
      <c r="B757" s="103"/>
      <c r="C757" s="103"/>
      <c r="D757" s="103"/>
      <c r="E757" s="103"/>
      <c r="F757" s="103"/>
      <c r="G757" s="103"/>
      <c r="H757" s="103"/>
      <c r="I757" s="103"/>
      <c r="J757" s="103"/>
      <c r="K757" s="103"/>
      <c r="L757" s="103"/>
      <c r="M757" s="103"/>
      <c r="N757" s="103"/>
      <c r="O757" s="103"/>
      <c r="P757" s="103"/>
      <c r="Q757" s="103"/>
      <c r="R757" s="103"/>
      <c r="S757" s="103"/>
      <c r="T757" s="103"/>
      <c r="U757" s="103"/>
      <c r="V757" s="103"/>
      <c r="W757" s="103"/>
      <c r="X757" s="103"/>
      <c r="Y757" s="157"/>
      <c r="Z757" s="157"/>
    </row>
    <row r="758" spans="1:26">
      <c r="A758" s="103"/>
      <c r="B758" s="103"/>
      <c r="C758" s="103"/>
      <c r="D758" s="103"/>
      <c r="E758" s="103"/>
      <c r="F758" s="103"/>
      <c r="G758" s="103"/>
      <c r="H758" s="103"/>
      <c r="I758" s="103"/>
      <c r="J758" s="103"/>
      <c r="K758" s="103"/>
      <c r="L758" s="103"/>
      <c r="M758" s="103"/>
      <c r="N758" s="103"/>
      <c r="O758" s="103"/>
      <c r="P758" s="103"/>
      <c r="Q758" s="103"/>
      <c r="R758" s="103"/>
      <c r="S758" s="103"/>
      <c r="T758" s="103"/>
      <c r="U758" s="103"/>
      <c r="V758" s="103"/>
      <c r="W758" s="103"/>
      <c r="X758" s="103"/>
      <c r="Y758" s="157"/>
      <c r="Z758" s="157"/>
    </row>
    <row r="759" spans="1:26">
      <c r="A759" s="103"/>
      <c r="B759" s="103"/>
      <c r="C759" s="103"/>
      <c r="D759" s="103"/>
      <c r="E759" s="103"/>
      <c r="F759" s="103"/>
      <c r="G759" s="103"/>
      <c r="H759" s="103"/>
      <c r="I759" s="103"/>
      <c r="J759" s="103"/>
      <c r="K759" s="103"/>
      <c r="L759" s="103"/>
      <c r="M759" s="103"/>
      <c r="N759" s="103"/>
      <c r="O759" s="103"/>
      <c r="P759" s="103"/>
      <c r="Q759" s="103"/>
      <c r="R759" s="103"/>
      <c r="S759" s="103"/>
      <c r="T759" s="103"/>
      <c r="U759" s="103"/>
      <c r="V759" s="103"/>
      <c r="W759" s="103"/>
      <c r="X759" s="103"/>
      <c r="Y759" s="157"/>
      <c r="Z759" s="157"/>
    </row>
    <row r="760" spans="1:26">
      <c r="A760" s="103"/>
      <c r="B760" s="103"/>
      <c r="C760" s="103"/>
      <c r="D760" s="103"/>
      <c r="E760" s="103"/>
      <c r="F760" s="103"/>
      <c r="G760" s="103"/>
      <c r="H760" s="103"/>
      <c r="I760" s="103"/>
      <c r="J760" s="103"/>
      <c r="K760" s="103"/>
      <c r="L760" s="103"/>
      <c r="M760" s="103"/>
      <c r="N760" s="103"/>
      <c r="O760" s="103"/>
      <c r="P760" s="103"/>
      <c r="Q760" s="103"/>
      <c r="R760" s="103"/>
      <c r="S760" s="103"/>
      <c r="T760" s="103"/>
      <c r="U760" s="103"/>
      <c r="V760" s="103"/>
      <c r="W760" s="103"/>
      <c r="X760" s="103"/>
      <c r="Y760" s="157"/>
      <c r="Z760" s="157"/>
    </row>
    <row r="761" spans="1:26">
      <c r="A761" s="103"/>
      <c r="B761" s="103"/>
      <c r="C761" s="103"/>
      <c r="D761" s="103"/>
      <c r="E761" s="103"/>
      <c r="F761" s="103"/>
      <c r="G761" s="103"/>
      <c r="H761" s="103"/>
      <c r="I761" s="103"/>
      <c r="J761" s="103"/>
      <c r="K761" s="103"/>
      <c r="L761" s="103"/>
      <c r="M761" s="103"/>
      <c r="N761" s="103"/>
      <c r="O761" s="103"/>
      <c r="P761" s="103"/>
      <c r="Q761" s="103"/>
      <c r="R761" s="103"/>
      <c r="S761" s="103"/>
      <c r="T761" s="103"/>
      <c r="U761" s="103"/>
      <c r="V761" s="103"/>
      <c r="W761" s="103"/>
      <c r="X761" s="103"/>
      <c r="Y761" s="157"/>
      <c r="Z761" s="157"/>
    </row>
    <row r="762" spans="1:26">
      <c r="A762" s="103"/>
      <c r="B762" s="103"/>
      <c r="C762" s="103"/>
      <c r="D762" s="103"/>
      <c r="E762" s="103"/>
      <c r="F762" s="103"/>
      <c r="G762" s="103"/>
      <c r="H762" s="103"/>
      <c r="I762" s="103"/>
      <c r="J762" s="103"/>
      <c r="K762" s="103"/>
      <c r="L762" s="103"/>
      <c r="M762" s="103"/>
      <c r="N762" s="103"/>
      <c r="O762" s="103"/>
      <c r="P762" s="103"/>
      <c r="Q762" s="103"/>
      <c r="R762" s="103"/>
      <c r="S762" s="103"/>
      <c r="T762" s="103"/>
      <c r="U762" s="103"/>
      <c r="V762" s="103"/>
      <c r="W762" s="103"/>
      <c r="X762" s="103"/>
      <c r="Y762" s="157"/>
      <c r="Z762" s="157"/>
    </row>
    <row r="763" spans="1:26">
      <c r="A763" s="103"/>
      <c r="B763" s="103"/>
      <c r="C763" s="103"/>
      <c r="D763" s="103"/>
      <c r="E763" s="103"/>
      <c r="F763" s="103"/>
      <c r="G763" s="103"/>
      <c r="H763" s="103"/>
      <c r="I763" s="103"/>
      <c r="J763" s="103"/>
      <c r="K763" s="103"/>
      <c r="L763" s="103"/>
      <c r="M763" s="103"/>
      <c r="N763" s="103"/>
      <c r="O763" s="103"/>
      <c r="P763" s="103"/>
      <c r="Q763" s="103"/>
      <c r="R763" s="103"/>
      <c r="S763" s="103"/>
      <c r="T763" s="103"/>
      <c r="U763" s="103"/>
      <c r="V763" s="103"/>
      <c r="W763" s="103"/>
      <c r="X763" s="103"/>
      <c r="Y763" s="157"/>
      <c r="Z763" s="157"/>
    </row>
    <row r="764" spans="1:26">
      <c r="A764" s="103"/>
      <c r="B764" s="103"/>
      <c r="C764" s="103"/>
      <c r="D764" s="103"/>
      <c r="E764" s="103"/>
      <c r="F764" s="103"/>
      <c r="G764" s="103"/>
      <c r="H764" s="103"/>
      <c r="I764" s="103"/>
      <c r="J764" s="103"/>
      <c r="K764" s="103"/>
      <c r="L764" s="103"/>
      <c r="M764" s="103"/>
      <c r="N764" s="103"/>
      <c r="O764" s="103"/>
      <c r="P764" s="103"/>
      <c r="Q764" s="103"/>
      <c r="R764" s="103"/>
      <c r="S764" s="103"/>
      <c r="T764" s="103"/>
      <c r="U764" s="103"/>
      <c r="V764" s="103"/>
      <c r="W764" s="103"/>
      <c r="X764" s="103"/>
      <c r="Y764" s="157"/>
      <c r="Z764" s="157"/>
    </row>
    <row r="765" spans="1:26">
      <c r="A765" s="103"/>
      <c r="B765" s="103"/>
      <c r="C765" s="103"/>
      <c r="D765" s="103"/>
      <c r="E765" s="103"/>
      <c r="F765" s="103"/>
      <c r="G765" s="103"/>
      <c r="H765" s="103"/>
      <c r="I765" s="103"/>
      <c r="J765" s="103"/>
      <c r="K765" s="103"/>
      <c r="L765" s="103"/>
      <c r="M765" s="103"/>
      <c r="N765" s="103"/>
      <c r="O765" s="103"/>
      <c r="P765" s="103"/>
      <c r="Q765" s="103"/>
      <c r="R765" s="103"/>
      <c r="S765" s="103"/>
      <c r="T765" s="103"/>
      <c r="U765" s="103"/>
      <c r="V765" s="103"/>
      <c r="W765" s="103"/>
      <c r="X765" s="103"/>
      <c r="Y765" s="157"/>
      <c r="Z765" s="157"/>
    </row>
    <row r="766" spans="1:26">
      <c r="A766" s="103"/>
      <c r="B766" s="103"/>
      <c r="C766" s="103"/>
      <c r="D766" s="103"/>
      <c r="E766" s="103"/>
      <c r="F766" s="103"/>
      <c r="G766" s="103"/>
      <c r="H766" s="103"/>
      <c r="I766" s="103"/>
      <c r="J766" s="103"/>
      <c r="K766" s="103"/>
      <c r="L766" s="103"/>
      <c r="M766" s="103"/>
      <c r="N766" s="103"/>
      <c r="O766" s="103"/>
      <c r="P766" s="103"/>
      <c r="Q766" s="103"/>
      <c r="R766" s="103"/>
      <c r="S766" s="103"/>
      <c r="T766" s="103"/>
      <c r="U766" s="103"/>
      <c r="V766" s="103"/>
      <c r="W766" s="103"/>
      <c r="X766" s="103"/>
      <c r="Y766" s="157"/>
      <c r="Z766" s="157"/>
    </row>
    <row r="767" spans="1:26">
      <c r="A767" s="103"/>
      <c r="B767" s="103"/>
      <c r="C767" s="103"/>
      <c r="D767" s="103"/>
      <c r="E767" s="103"/>
      <c r="F767" s="103"/>
      <c r="G767" s="103"/>
      <c r="H767" s="103"/>
      <c r="I767" s="103"/>
      <c r="J767" s="103"/>
      <c r="K767" s="103"/>
      <c r="L767" s="103"/>
      <c r="M767" s="103"/>
      <c r="N767" s="103"/>
      <c r="O767" s="103"/>
      <c r="P767" s="103"/>
      <c r="Q767" s="103"/>
      <c r="R767" s="103"/>
      <c r="S767" s="103"/>
      <c r="T767" s="103"/>
      <c r="U767" s="103"/>
      <c r="V767" s="103"/>
      <c r="W767" s="103"/>
      <c r="X767" s="103"/>
      <c r="Y767" s="157"/>
      <c r="Z767" s="157"/>
    </row>
    <row r="768" spans="1:26">
      <c r="A768" s="103"/>
      <c r="B768" s="103"/>
      <c r="C768" s="103"/>
      <c r="D768" s="103"/>
      <c r="E768" s="103"/>
      <c r="F768" s="103"/>
      <c r="G768" s="103"/>
      <c r="H768" s="103"/>
      <c r="I768" s="103"/>
      <c r="J768" s="103"/>
      <c r="K768" s="103"/>
      <c r="L768" s="103"/>
      <c r="M768" s="103"/>
      <c r="N768" s="103"/>
      <c r="O768" s="103"/>
      <c r="P768" s="103"/>
      <c r="Q768" s="103"/>
      <c r="R768" s="103"/>
      <c r="S768" s="103"/>
      <c r="T768" s="103"/>
      <c r="U768" s="103"/>
      <c r="V768" s="103"/>
      <c r="W768" s="103"/>
      <c r="X768" s="103"/>
      <c r="Y768" s="157"/>
      <c r="Z768" s="157"/>
    </row>
    <row r="769" spans="1:26">
      <c r="A769" s="103"/>
      <c r="B769" s="103"/>
      <c r="C769" s="103"/>
      <c r="D769" s="103"/>
      <c r="E769" s="103"/>
      <c r="F769" s="103"/>
      <c r="G769" s="103"/>
      <c r="H769" s="103"/>
      <c r="I769" s="103"/>
      <c r="J769" s="103"/>
      <c r="K769" s="103"/>
      <c r="L769" s="103"/>
      <c r="M769" s="103"/>
      <c r="N769" s="103"/>
      <c r="O769" s="103"/>
      <c r="P769" s="103"/>
      <c r="Q769" s="103"/>
      <c r="R769" s="103"/>
      <c r="S769" s="103"/>
      <c r="T769" s="103"/>
      <c r="U769" s="103"/>
      <c r="V769" s="103"/>
      <c r="W769" s="103"/>
      <c r="X769" s="103"/>
      <c r="Y769" s="157"/>
      <c r="Z769" s="157"/>
    </row>
    <row r="770" spans="1:26">
      <c r="A770" s="103"/>
      <c r="B770" s="103"/>
      <c r="C770" s="103"/>
      <c r="D770" s="103"/>
      <c r="E770" s="103"/>
      <c r="F770" s="103"/>
      <c r="G770" s="103"/>
      <c r="H770" s="103"/>
      <c r="I770" s="103"/>
      <c r="J770" s="103"/>
      <c r="K770" s="103"/>
      <c r="L770" s="103"/>
      <c r="M770" s="103"/>
      <c r="N770" s="103"/>
      <c r="O770" s="103"/>
      <c r="P770" s="103"/>
      <c r="Q770" s="103"/>
      <c r="R770" s="103"/>
      <c r="S770" s="103"/>
      <c r="T770" s="103"/>
      <c r="U770" s="103"/>
      <c r="V770" s="103"/>
      <c r="W770" s="103"/>
      <c r="X770" s="103"/>
      <c r="Y770" s="157"/>
      <c r="Z770" s="157"/>
    </row>
    <row r="771" spans="1:26">
      <c r="A771" s="103"/>
      <c r="B771" s="103"/>
      <c r="C771" s="103"/>
      <c r="D771" s="103"/>
      <c r="E771" s="103"/>
      <c r="F771" s="103"/>
      <c r="G771" s="103"/>
      <c r="H771" s="103"/>
      <c r="I771" s="103"/>
      <c r="J771" s="103"/>
      <c r="K771" s="103"/>
      <c r="L771" s="103"/>
      <c r="M771" s="103"/>
      <c r="N771" s="103"/>
      <c r="O771" s="103"/>
      <c r="P771" s="103"/>
      <c r="Q771" s="103"/>
      <c r="R771" s="103"/>
      <c r="S771" s="103"/>
      <c r="T771" s="103"/>
      <c r="U771" s="103"/>
      <c r="V771" s="103"/>
      <c r="W771" s="103"/>
      <c r="X771" s="103"/>
      <c r="Y771" s="157"/>
      <c r="Z771" s="157"/>
    </row>
    <row r="772" spans="1:26">
      <c r="A772" s="103"/>
      <c r="B772" s="103"/>
      <c r="C772" s="103"/>
      <c r="D772" s="103"/>
      <c r="E772" s="103"/>
      <c r="F772" s="103"/>
      <c r="G772" s="103"/>
      <c r="H772" s="103"/>
      <c r="I772" s="103"/>
      <c r="J772" s="103"/>
      <c r="K772" s="103"/>
      <c r="L772" s="103"/>
      <c r="M772" s="103"/>
      <c r="N772" s="103"/>
      <c r="O772" s="103"/>
      <c r="P772" s="103"/>
      <c r="Q772" s="103"/>
      <c r="R772" s="103"/>
      <c r="S772" s="103"/>
      <c r="T772" s="103"/>
      <c r="U772" s="103"/>
      <c r="V772" s="103"/>
      <c r="W772" s="103"/>
      <c r="X772" s="103"/>
      <c r="Y772" s="157"/>
      <c r="Z772" s="157"/>
    </row>
    <row r="773" spans="1:26">
      <c r="A773" s="103"/>
      <c r="B773" s="103"/>
      <c r="C773" s="103"/>
      <c r="D773" s="103"/>
      <c r="E773" s="103"/>
      <c r="F773" s="103"/>
      <c r="G773" s="103"/>
      <c r="H773" s="103"/>
      <c r="I773" s="103"/>
      <c r="J773" s="103"/>
      <c r="K773" s="103"/>
      <c r="L773" s="103"/>
      <c r="M773" s="103"/>
      <c r="N773" s="103"/>
      <c r="O773" s="103"/>
      <c r="P773" s="103"/>
      <c r="Q773" s="103"/>
      <c r="R773" s="103"/>
      <c r="S773" s="103"/>
      <c r="T773" s="103"/>
      <c r="U773" s="103"/>
      <c r="V773" s="103"/>
      <c r="W773" s="103"/>
      <c r="X773" s="103"/>
      <c r="Y773" s="157"/>
      <c r="Z773" s="157"/>
    </row>
    <row r="774" spans="1:26">
      <c r="A774" s="103"/>
      <c r="B774" s="103"/>
      <c r="C774" s="103"/>
      <c r="D774" s="103"/>
      <c r="E774" s="103"/>
      <c r="F774" s="103"/>
      <c r="G774" s="103"/>
      <c r="H774" s="103"/>
      <c r="I774" s="103"/>
      <c r="J774" s="103"/>
      <c r="K774" s="103"/>
      <c r="L774" s="103"/>
      <c r="M774" s="103"/>
      <c r="N774" s="103"/>
      <c r="O774" s="103"/>
      <c r="P774" s="103"/>
      <c r="Q774" s="103"/>
      <c r="R774" s="103"/>
      <c r="S774" s="103"/>
      <c r="T774" s="103"/>
      <c r="U774" s="103"/>
      <c r="V774" s="103"/>
      <c r="W774" s="103"/>
      <c r="X774" s="103"/>
      <c r="Y774" s="157"/>
      <c r="Z774" s="157"/>
    </row>
    <row r="775" spans="1:26">
      <c r="A775" s="103"/>
      <c r="B775" s="103"/>
      <c r="C775" s="103"/>
      <c r="D775" s="103"/>
      <c r="E775" s="103"/>
      <c r="F775" s="103"/>
      <c r="G775" s="103"/>
      <c r="H775" s="103"/>
      <c r="I775" s="103"/>
      <c r="J775" s="103"/>
      <c r="K775" s="103"/>
      <c r="L775" s="103"/>
      <c r="M775" s="103"/>
      <c r="N775" s="103"/>
      <c r="O775" s="103"/>
      <c r="P775" s="103"/>
      <c r="Q775" s="103"/>
      <c r="R775" s="103"/>
      <c r="S775" s="103"/>
      <c r="T775" s="103"/>
      <c r="U775" s="103"/>
      <c r="V775" s="103"/>
      <c r="W775" s="103"/>
      <c r="X775" s="103"/>
      <c r="Y775" s="157"/>
      <c r="Z775" s="157"/>
    </row>
    <row r="776" spans="1:26">
      <c r="A776" s="103"/>
      <c r="B776" s="103"/>
      <c r="C776" s="103"/>
      <c r="D776" s="103"/>
      <c r="E776" s="103"/>
      <c r="F776" s="103"/>
      <c r="G776" s="103"/>
      <c r="H776" s="103"/>
      <c r="I776" s="103"/>
      <c r="J776" s="103"/>
      <c r="K776" s="103"/>
      <c r="L776" s="103"/>
      <c r="M776" s="103"/>
      <c r="N776" s="103"/>
      <c r="O776" s="103"/>
      <c r="P776" s="103"/>
      <c r="Q776" s="103"/>
      <c r="R776" s="103"/>
      <c r="S776" s="103"/>
      <c r="T776" s="103"/>
      <c r="U776" s="103"/>
      <c r="V776" s="103"/>
      <c r="W776" s="103"/>
      <c r="X776" s="103"/>
      <c r="Y776" s="157"/>
      <c r="Z776" s="157"/>
    </row>
    <row r="777" spans="1:26">
      <c r="A777" s="103"/>
      <c r="B777" s="103"/>
      <c r="C777" s="103"/>
      <c r="D777" s="103"/>
      <c r="E777" s="103"/>
      <c r="F777" s="103"/>
      <c r="G777" s="103"/>
      <c r="H777" s="103"/>
      <c r="I777" s="103"/>
      <c r="J777" s="103"/>
      <c r="K777" s="103"/>
      <c r="L777" s="103"/>
      <c r="M777" s="103"/>
      <c r="N777" s="103"/>
      <c r="O777" s="103"/>
      <c r="P777" s="103"/>
      <c r="Q777" s="103"/>
      <c r="R777" s="103"/>
      <c r="S777" s="103"/>
      <c r="T777" s="103"/>
      <c r="U777" s="103"/>
      <c r="V777" s="103"/>
      <c r="W777" s="103"/>
      <c r="X777" s="103"/>
      <c r="Y777" s="157"/>
      <c r="Z777" s="157"/>
    </row>
    <row r="778" spans="1:26">
      <c r="A778" s="103"/>
      <c r="B778" s="103"/>
      <c r="C778" s="103"/>
      <c r="D778" s="103"/>
      <c r="E778" s="103"/>
      <c r="F778" s="103"/>
      <c r="G778" s="103"/>
      <c r="H778" s="103"/>
      <c r="I778" s="103"/>
      <c r="J778" s="103"/>
      <c r="K778" s="103"/>
      <c r="L778" s="103"/>
      <c r="M778" s="103"/>
      <c r="N778" s="103"/>
      <c r="O778" s="103"/>
      <c r="P778" s="103"/>
      <c r="Q778" s="103"/>
      <c r="R778" s="103"/>
      <c r="S778" s="103"/>
      <c r="T778" s="103"/>
      <c r="U778" s="103"/>
      <c r="V778" s="103"/>
      <c r="W778" s="103"/>
      <c r="X778" s="103"/>
      <c r="Y778" s="157"/>
      <c r="Z778" s="157"/>
    </row>
    <row r="779" spans="1:26">
      <c r="A779" s="103"/>
      <c r="B779" s="103"/>
      <c r="C779" s="103"/>
      <c r="D779" s="103"/>
      <c r="E779" s="103"/>
      <c r="F779" s="103"/>
      <c r="G779" s="103"/>
      <c r="H779" s="103"/>
      <c r="I779" s="103"/>
      <c r="J779" s="103"/>
      <c r="K779" s="103"/>
      <c r="L779" s="103"/>
      <c r="M779" s="103"/>
      <c r="N779" s="103"/>
      <c r="O779" s="103"/>
      <c r="P779" s="103"/>
      <c r="Q779" s="103"/>
      <c r="R779" s="103"/>
      <c r="S779" s="103"/>
      <c r="T779" s="103"/>
      <c r="U779" s="103"/>
      <c r="V779" s="103"/>
      <c r="W779" s="103"/>
      <c r="X779" s="103"/>
      <c r="Y779" s="157"/>
      <c r="Z779" s="157"/>
    </row>
    <row r="780" spans="1:26">
      <c r="A780" s="103"/>
      <c r="B780" s="103"/>
      <c r="C780" s="103"/>
      <c r="D780" s="103"/>
      <c r="E780" s="103"/>
      <c r="F780" s="103"/>
      <c r="G780" s="103"/>
      <c r="H780" s="103"/>
      <c r="I780" s="103"/>
      <c r="J780" s="103"/>
      <c r="K780" s="103"/>
      <c r="L780" s="103"/>
      <c r="M780" s="103"/>
      <c r="N780" s="103"/>
      <c r="O780" s="103"/>
      <c r="P780" s="103"/>
      <c r="Q780" s="103"/>
      <c r="R780" s="103"/>
      <c r="S780" s="103"/>
      <c r="T780" s="103"/>
      <c r="U780" s="103"/>
      <c r="V780" s="103"/>
      <c r="W780" s="103"/>
      <c r="X780" s="103"/>
      <c r="Y780" s="157"/>
      <c r="Z780" s="157"/>
    </row>
    <row r="781" spans="1:26">
      <c r="A781" s="103"/>
      <c r="B781" s="103"/>
      <c r="C781" s="103"/>
      <c r="D781" s="103"/>
      <c r="E781" s="103"/>
      <c r="F781" s="103"/>
      <c r="G781" s="103"/>
      <c r="H781" s="103"/>
      <c r="I781" s="103"/>
      <c r="J781" s="103"/>
      <c r="K781" s="103"/>
      <c r="L781" s="103"/>
      <c r="M781" s="103"/>
      <c r="N781" s="103"/>
      <c r="O781" s="103"/>
      <c r="P781" s="103"/>
      <c r="Q781" s="103"/>
      <c r="R781" s="103"/>
      <c r="S781" s="103"/>
      <c r="T781" s="103"/>
      <c r="U781" s="103"/>
      <c r="V781" s="103"/>
      <c r="W781" s="103"/>
      <c r="X781" s="103"/>
      <c r="Y781" s="157"/>
      <c r="Z781" s="157"/>
    </row>
    <row r="782" spans="1:26">
      <c r="A782" s="103"/>
      <c r="B782" s="103"/>
      <c r="C782" s="103"/>
      <c r="D782" s="103"/>
      <c r="E782" s="103"/>
      <c r="F782" s="103"/>
      <c r="G782" s="103"/>
      <c r="H782" s="103"/>
      <c r="I782" s="103"/>
      <c r="J782" s="103"/>
      <c r="K782" s="103"/>
      <c r="L782" s="103"/>
      <c r="M782" s="103"/>
      <c r="N782" s="103"/>
      <c r="O782" s="103"/>
      <c r="P782" s="103"/>
      <c r="Q782" s="103"/>
      <c r="R782" s="103"/>
      <c r="S782" s="103"/>
      <c r="T782" s="103"/>
      <c r="U782" s="103"/>
      <c r="V782" s="103"/>
      <c r="W782" s="103"/>
      <c r="X782" s="103"/>
      <c r="Y782" s="157"/>
      <c r="Z782" s="157"/>
    </row>
    <row r="783" spans="1:26">
      <c r="A783" s="103"/>
      <c r="B783" s="103"/>
      <c r="C783" s="103"/>
      <c r="D783" s="103"/>
      <c r="E783" s="103"/>
      <c r="F783" s="103"/>
      <c r="G783" s="103"/>
      <c r="H783" s="103"/>
      <c r="I783" s="103"/>
      <c r="J783" s="103"/>
      <c r="K783" s="103"/>
      <c r="L783" s="103"/>
      <c r="M783" s="103"/>
      <c r="N783" s="103"/>
      <c r="O783" s="103"/>
      <c r="P783" s="103"/>
      <c r="Q783" s="103"/>
      <c r="R783" s="103"/>
      <c r="S783" s="103"/>
      <c r="T783" s="103"/>
      <c r="U783" s="103"/>
      <c r="V783" s="103"/>
      <c r="W783" s="103"/>
      <c r="X783" s="103"/>
      <c r="Y783" s="157"/>
      <c r="Z783" s="157"/>
    </row>
    <row r="784" spans="1:26">
      <c r="A784" s="103"/>
      <c r="B784" s="103"/>
      <c r="C784" s="103"/>
      <c r="D784" s="103"/>
      <c r="E784" s="103"/>
      <c r="F784" s="103"/>
      <c r="G784" s="103"/>
      <c r="H784" s="103"/>
      <c r="I784" s="103"/>
      <c r="J784" s="103"/>
      <c r="K784" s="103"/>
      <c r="L784" s="103"/>
      <c r="M784" s="103"/>
      <c r="N784" s="103"/>
      <c r="O784" s="103"/>
      <c r="P784" s="103"/>
      <c r="Q784" s="103"/>
      <c r="R784" s="103"/>
      <c r="S784" s="103"/>
      <c r="T784" s="103"/>
      <c r="U784" s="103"/>
      <c r="V784" s="103"/>
      <c r="W784" s="103"/>
      <c r="X784" s="103"/>
      <c r="Y784" s="157"/>
      <c r="Z784" s="157"/>
    </row>
    <row r="785" spans="1:26">
      <c r="A785" s="103"/>
      <c r="B785" s="103"/>
      <c r="C785" s="103"/>
      <c r="D785" s="103"/>
      <c r="E785" s="103"/>
      <c r="F785" s="103"/>
      <c r="G785" s="103"/>
      <c r="H785" s="103"/>
      <c r="I785" s="103"/>
      <c r="J785" s="103"/>
      <c r="K785" s="103"/>
      <c r="L785" s="103"/>
      <c r="M785" s="103"/>
      <c r="N785" s="103"/>
      <c r="O785" s="103"/>
      <c r="P785" s="103"/>
      <c r="Q785" s="103"/>
      <c r="R785" s="103"/>
      <c r="S785" s="103"/>
      <c r="T785" s="103"/>
      <c r="U785" s="103"/>
      <c r="V785" s="103"/>
      <c r="W785" s="103"/>
      <c r="X785" s="103"/>
      <c r="Y785" s="157"/>
      <c r="Z785" s="157"/>
    </row>
    <row r="786" spans="1:26">
      <c r="A786" s="103"/>
      <c r="B786" s="103"/>
      <c r="C786" s="103"/>
      <c r="D786" s="103"/>
      <c r="E786" s="103"/>
      <c r="F786" s="103"/>
      <c r="G786" s="103"/>
      <c r="H786" s="103"/>
      <c r="I786" s="103"/>
      <c r="J786" s="103"/>
      <c r="K786" s="103"/>
      <c r="L786" s="103"/>
      <c r="M786" s="103"/>
      <c r="N786" s="103"/>
      <c r="O786" s="103"/>
      <c r="P786" s="103"/>
      <c r="Q786" s="103"/>
      <c r="R786" s="103"/>
      <c r="S786" s="103"/>
      <c r="T786" s="103"/>
      <c r="U786" s="103"/>
      <c r="V786" s="103"/>
      <c r="W786" s="103"/>
      <c r="X786" s="103"/>
      <c r="Y786" s="157"/>
      <c r="Z786" s="157"/>
    </row>
    <row r="787" spans="1:26">
      <c r="A787" s="103"/>
      <c r="B787" s="103"/>
      <c r="C787" s="103"/>
      <c r="D787" s="103"/>
      <c r="E787" s="103"/>
      <c r="F787" s="103"/>
      <c r="G787" s="103"/>
      <c r="H787" s="103"/>
      <c r="I787" s="103"/>
      <c r="J787" s="103"/>
      <c r="K787" s="103"/>
      <c r="L787" s="103"/>
      <c r="M787" s="103"/>
      <c r="N787" s="103"/>
      <c r="O787" s="103"/>
      <c r="P787" s="103"/>
      <c r="Q787" s="103"/>
      <c r="R787" s="103"/>
      <c r="S787" s="103"/>
      <c r="T787" s="103"/>
      <c r="U787" s="103"/>
      <c r="V787" s="103"/>
      <c r="W787" s="103"/>
      <c r="X787" s="103"/>
      <c r="Y787" s="157"/>
      <c r="Z787" s="157"/>
    </row>
    <row r="788" spans="1:26">
      <c r="A788" s="103"/>
      <c r="B788" s="103"/>
      <c r="C788" s="103"/>
      <c r="D788" s="103"/>
      <c r="E788" s="103"/>
      <c r="F788" s="103"/>
      <c r="G788" s="103"/>
      <c r="H788" s="103"/>
      <c r="I788" s="103"/>
      <c r="J788" s="103"/>
      <c r="K788" s="103"/>
      <c r="L788" s="103"/>
      <c r="M788" s="103"/>
      <c r="N788" s="103"/>
      <c r="O788" s="103"/>
      <c r="P788" s="103"/>
      <c r="Q788" s="103"/>
      <c r="R788" s="103"/>
      <c r="S788" s="103"/>
      <c r="T788" s="103"/>
      <c r="U788" s="103"/>
      <c r="V788" s="103"/>
      <c r="W788" s="103"/>
      <c r="X788" s="103"/>
      <c r="Y788" s="157"/>
      <c r="Z788" s="157"/>
    </row>
    <row r="789" spans="1:26">
      <c r="A789" s="103"/>
      <c r="B789" s="103"/>
      <c r="C789" s="103"/>
      <c r="D789" s="103"/>
      <c r="E789" s="103"/>
      <c r="F789" s="103"/>
      <c r="G789" s="103"/>
      <c r="H789" s="103"/>
      <c r="I789" s="103"/>
      <c r="J789" s="103"/>
      <c r="K789" s="103"/>
      <c r="L789" s="103"/>
      <c r="M789" s="103"/>
      <c r="N789" s="103"/>
      <c r="O789" s="103"/>
      <c r="P789" s="103"/>
      <c r="Q789" s="103"/>
      <c r="R789" s="103"/>
      <c r="S789" s="103"/>
      <c r="T789" s="103"/>
      <c r="U789" s="103"/>
      <c r="V789" s="103"/>
      <c r="W789" s="103"/>
      <c r="X789" s="103"/>
      <c r="Y789" s="157"/>
      <c r="Z789" s="157"/>
    </row>
    <row r="790" spans="1:26">
      <c r="A790" s="103"/>
      <c r="B790" s="103"/>
      <c r="C790" s="103"/>
      <c r="D790" s="103"/>
      <c r="E790" s="103"/>
      <c r="F790" s="103"/>
      <c r="G790" s="103"/>
      <c r="H790" s="103"/>
      <c r="I790" s="103"/>
      <c r="J790" s="103"/>
      <c r="K790" s="103"/>
      <c r="L790" s="103"/>
      <c r="M790" s="103"/>
      <c r="N790" s="103"/>
      <c r="O790" s="103"/>
      <c r="P790" s="103"/>
      <c r="Q790" s="103"/>
      <c r="R790" s="103"/>
      <c r="S790" s="103"/>
      <c r="T790" s="103"/>
      <c r="U790" s="103"/>
      <c r="V790" s="103"/>
      <c r="W790" s="103"/>
      <c r="X790" s="103"/>
      <c r="Y790" s="157"/>
      <c r="Z790" s="157"/>
    </row>
    <row r="791" spans="1:26">
      <c r="A791" s="103"/>
      <c r="B791" s="103"/>
      <c r="C791" s="103"/>
      <c r="D791" s="103"/>
      <c r="E791" s="103"/>
      <c r="F791" s="103"/>
      <c r="G791" s="103"/>
      <c r="H791" s="103"/>
      <c r="I791" s="103"/>
      <c r="J791" s="103"/>
      <c r="K791" s="103"/>
      <c r="L791" s="103"/>
      <c r="M791" s="103"/>
      <c r="N791" s="103"/>
      <c r="O791" s="103"/>
      <c r="P791" s="103"/>
      <c r="Q791" s="103"/>
      <c r="R791" s="103"/>
      <c r="S791" s="103"/>
      <c r="T791" s="103"/>
      <c r="U791" s="103"/>
      <c r="V791" s="103"/>
      <c r="W791" s="103"/>
      <c r="X791" s="103"/>
      <c r="Y791" s="157"/>
      <c r="Z791" s="157"/>
    </row>
    <row r="792" spans="1:26">
      <c r="A792" s="103"/>
      <c r="B792" s="103"/>
      <c r="C792" s="103"/>
      <c r="D792" s="103"/>
      <c r="E792" s="103"/>
      <c r="F792" s="103"/>
      <c r="G792" s="103"/>
      <c r="H792" s="103"/>
      <c r="I792" s="103"/>
      <c r="J792" s="103"/>
      <c r="K792" s="103"/>
      <c r="L792" s="103"/>
      <c r="M792" s="103"/>
      <c r="N792" s="103"/>
      <c r="O792" s="103"/>
      <c r="P792" s="103"/>
      <c r="Q792" s="103"/>
      <c r="R792" s="103"/>
      <c r="S792" s="103"/>
      <c r="T792" s="103"/>
      <c r="U792" s="103"/>
      <c r="V792" s="103"/>
      <c r="W792" s="103"/>
      <c r="X792" s="103"/>
      <c r="Y792" s="157"/>
      <c r="Z792" s="157"/>
    </row>
    <row r="793" spans="1:26">
      <c r="A793" s="103"/>
      <c r="B793" s="103"/>
      <c r="C793" s="103"/>
      <c r="D793" s="103"/>
      <c r="E793" s="103"/>
      <c r="F793" s="103"/>
      <c r="G793" s="103"/>
      <c r="H793" s="103"/>
      <c r="I793" s="103"/>
      <c r="J793" s="103"/>
      <c r="K793" s="103"/>
      <c r="L793" s="103"/>
      <c r="M793" s="103"/>
      <c r="N793" s="103"/>
      <c r="O793" s="103"/>
      <c r="P793" s="103"/>
      <c r="Q793" s="103"/>
      <c r="R793" s="103"/>
      <c r="S793" s="103"/>
      <c r="T793" s="103"/>
      <c r="U793" s="103"/>
      <c r="V793" s="103"/>
      <c r="W793" s="103"/>
      <c r="X793" s="103"/>
      <c r="Y793" s="157"/>
      <c r="Z793" s="157"/>
    </row>
    <row r="794" spans="1:26">
      <c r="A794" s="103"/>
      <c r="B794" s="103"/>
      <c r="C794" s="103"/>
      <c r="D794" s="103"/>
      <c r="E794" s="103"/>
      <c r="F794" s="103"/>
      <c r="G794" s="103"/>
      <c r="H794" s="103"/>
      <c r="I794" s="103"/>
      <c r="J794" s="103"/>
      <c r="K794" s="103"/>
      <c r="L794" s="103"/>
      <c r="M794" s="103"/>
      <c r="N794" s="103"/>
      <c r="O794" s="103"/>
      <c r="P794" s="103"/>
      <c r="Q794" s="103"/>
      <c r="R794" s="103"/>
      <c r="S794" s="103"/>
      <c r="T794" s="103"/>
      <c r="U794" s="103"/>
      <c r="V794" s="103"/>
      <c r="W794" s="103"/>
      <c r="X794" s="103"/>
      <c r="Y794" s="157"/>
      <c r="Z794" s="157"/>
    </row>
    <row r="795" spans="1:26">
      <c r="A795" s="103"/>
      <c r="B795" s="103"/>
      <c r="C795" s="103"/>
      <c r="D795" s="103"/>
      <c r="E795" s="103"/>
      <c r="F795" s="103"/>
      <c r="G795" s="103"/>
      <c r="H795" s="103"/>
      <c r="I795" s="103"/>
      <c r="J795" s="103"/>
      <c r="K795" s="103"/>
      <c r="L795" s="103"/>
      <c r="M795" s="103"/>
      <c r="N795" s="103"/>
      <c r="O795" s="103"/>
      <c r="P795" s="103"/>
      <c r="Q795" s="103"/>
      <c r="R795" s="103"/>
      <c r="S795" s="103"/>
      <c r="T795" s="103"/>
      <c r="U795" s="103"/>
      <c r="V795" s="103"/>
      <c r="W795" s="103"/>
      <c r="X795" s="103"/>
      <c r="Y795" s="157"/>
      <c r="Z795" s="157"/>
    </row>
    <row r="796" spans="1:26">
      <c r="A796" s="103"/>
      <c r="B796" s="103"/>
      <c r="C796" s="103"/>
      <c r="D796" s="103"/>
      <c r="E796" s="103"/>
      <c r="F796" s="103"/>
      <c r="G796" s="103"/>
      <c r="H796" s="103"/>
      <c r="I796" s="103"/>
      <c r="J796" s="103"/>
      <c r="K796" s="103"/>
      <c r="L796" s="103"/>
      <c r="M796" s="103"/>
      <c r="N796" s="103"/>
      <c r="O796" s="103"/>
      <c r="P796" s="103"/>
      <c r="Q796" s="103"/>
      <c r="R796" s="103"/>
      <c r="S796" s="103"/>
      <c r="T796" s="103"/>
      <c r="U796" s="103"/>
      <c r="V796" s="103"/>
      <c r="W796" s="103"/>
      <c r="X796" s="103"/>
      <c r="Y796" s="157"/>
      <c r="Z796" s="157"/>
    </row>
    <row r="797" spans="1:26">
      <c r="A797" s="103"/>
      <c r="B797" s="103"/>
      <c r="C797" s="103"/>
      <c r="D797" s="103"/>
      <c r="E797" s="103"/>
      <c r="F797" s="103"/>
      <c r="G797" s="103"/>
      <c r="H797" s="103"/>
      <c r="I797" s="103"/>
      <c r="J797" s="103"/>
      <c r="K797" s="103"/>
      <c r="L797" s="103"/>
      <c r="M797" s="103"/>
      <c r="N797" s="103"/>
      <c r="O797" s="103"/>
      <c r="P797" s="103"/>
      <c r="Q797" s="103"/>
      <c r="R797" s="103"/>
      <c r="S797" s="103"/>
      <c r="T797" s="103"/>
      <c r="U797" s="103"/>
      <c r="V797" s="103"/>
      <c r="W797" s="103"/>
      <c r="X797" s="103"/>
      <c r="Y797" s="157"/>
      <c r="Z797" s="157"/>
    </row>
    <row r="798" spans="1:26">
      <c r="A798" s="103"/>
      <c r="B798" s="103"/>
      <c r="C798" s="103"/>
      <c r="D798" s="103"/>
      <c r="E798" s="103"/>
      <c r="F798" s="103"/>
      <c r="G798" s="103"/>
      <c r="H798" s="103"/>
      <c r="I798" s="103"/>
      <c r="J798" s="103"/>
      <c r="K798" s="103"/>
      <c r="L798" s="103"/>
      <c r="M798" s="103"/>
      <c r="N798" s="103"/>
      <c r="O798" s="103"/>
      <c r="P798" s="103"/>
      <c r="Q798" s="103"/>
      <c r="R798" s="103"/>
      <c r="S798" s="103"/>
      <c r="T798" s="103"/>
      <c r="U798" s="103"/>
      <c r="V798" s="103"/>
      <c r="W798" s="103"/>
      <c r="X798" s="103"/>
      <c r="Y798" s="157"/>
      <c r="Z798" s="157"/>
    </row>
    <row r="799" spans="1:26">
      <c r="A799" s="103"/>
      <c r="B799" s="103"/>
      <c r="C799" s="103"/>
      <c r="D799" s="103"/>
      <c r="E799" s="103"/>
      <c r="F799" s="103"/>
      <c r="G799" s="103"/>
      <c r="H799" s="103"/>
      <c r="I799" s="103"/>
      <c r="J799" s="103"/>
      <c r="K799" s="103"/>
      <c r="L799" s="103"/>
      <c r="M799" s="103"/>
      <c r="N799" s="103"/>
      <c r="O799" s="103"/>
      <c r="P799" s="103"/>
      <c r="Q799" s="103"/>
      <c r="R799" s="103"/>
      <c r="S799" s="103"/>
      <c r="T799" s="103"/>
      <c r="U799" s="103"/>
      <c r="V799" s="103"/>
      <c r="W799" s="103"/>
      <c r="X799" s="103"/>
      <c r="Y799" s="157"/>
      <c r="Z799" s="157"/>
    </row>
    <row r="800" spans="1:26">
      <c r="A800" s="103"/>
      <c r="B800" s="103"/>
      <c r="C800" s="103"/>
      <c r="D800" s="103"/>
      <c r="E800" s="103"/>
      <c r="F800" s="103"/>
      <c r="G800" s="103"/>
      <c r="H800" s="103"/>
      <c r="I800" s="103"/>
      <c r="J800" s="103"/>
      <c r="K800" s="103"/>
      <c r="L800" s="103"/>
      <c r="M800" s="103"/>
      <c r="N800" s="103"/>
      <c r="O800" s="103"/>
      <c r="P800" s="103"/>
      <c r="Q800" s="103"/>
      <c r="R800" s="103"/>
      <c r="S800" s="103"/>
      <c r="T800" s="103"/>
      <c r="U800" s="103"/>
      <c r="V800" s="103"/>
      <c r="W800" s="103"/>
      <c r="X800" s="103"/>
      <c r="Y800" s="157"/>
      <c r="Z800" s="157"/>
    </row>
    <row r="801" spans="1:26">
      <c r="A801" s="103"/>
      <c r="B801" s="103"/>
      <c r="C801" s="103"/>
      <c r="D801" s="103"/>
      <c r="E801" s="103"/>
      <c r="F801" s="103"/>
      <c r="G801" s="103"/>
      <c r="H801" s="103"/>
      <c r="I801" s="103"/>
      <c r="J801" s="103"/>
      <c r="K801" s="103"/>
      <c r="L801" s="103"/>
      <c r="M801" s="103"/>
      <c r="N801" s="103"/>
      <c r="O801" s="103"/>
      <c r="P801" s="103"/>
      <c r="Q801" s="103"/>
      <c r="R801" s="103"/>
      <c r="S801" s="103"/>
      <c r="T801" s="103"/>
      <c r="U801" s="103"/>
      <c r="V801" s="103"/>
      <c r="W801" s="103"/>
      <c r="X801" s="103"/>
      <c r="Y801" s="157"/>
      <c r="Z801" s="157"/>
    </row>
    <row r="802" spans="1:26">
      <c r="A802" s="103"/>
      <c r="B802" s="103"/>
      <c r="C802" s="103"/>
      <c r="D802" s="103"/>
      <c r="E802" s="103"/>
      <c r="F802" s="103"/>
      <c r="G802" s="103"/>
      <c r="H802" s="103"/>
      <c r="I802" s="103"/>
      <c r="J802" s="103"/>
      <c r="K802" s="103"/>
      <c r="L802" s="103"/>
      <c r="M802" s="103"/>
      <c r="N802" s="103"/>
      <c r="O802" s="103"/>
      <c r="P802" s="103"/>
      <c r="Q802" s="103"/>
      <c r="R802" s="103"/>
      <c r="S802" s="103"/>
      <c r="T802" s="103"/>
      <c r="U802" s="103"/>
      <c r="V802" s="103"/>
      <c r="W802" s="103"/>
      <c r="X802" s="103"/>
      <c r="Y802" s="157"/>
      <c r="Z802" s="157"/>
    </row>
    <row r="803" spans="1:26">
      <c r="A803" s="103"/>
      <c r="B803" s="103"/>
      <c r="C803" s="103"/>
      <c r="D803" s="103"/>
      <c r="E803" s="103"/>
      <c r="F803" s="103"/>
      <c r="G803" s="103"/>
      <c r="H803" s="103"/>
      <c r="I803" s="103"/>
      <c r="J803" s="103"/>
      <c r="K803" s="103"/>
      <c r="L803" s="103"/>
      <c r="M803" s="103"/>
      <c r="N803" s="103"/>
      <c r="O803" s="103"/>
      <c r="P803" s="103"/>
      <c r="Q803" s="103"/>
      <c r="R803" s="103"/>
      <c r="S803" s="103"/>
      <c r="T803" s="103"/>
      <c r="U803" s="103"/>
      <c r="V803" s="103"/>
      <c r="W803" s="103"/>
      <c r="X803" s="103"/>
      <c r="Y803" s="157"/>
      <c r="Z803" s="157"/>
    </row>
    <row r="804" spans="1:26">
      <c r="A804" s="103"/>
      <c r="B804" s="103"/>
      <c r="C804" s="103"/>
      <c r="D804" s="103"/>
      <c r="E804" s="103"/>
      <c r="F804" s="103"/>
      <c r="G804" s="103"/>
      <c r="H804" s="103"/>
      <c r="I804" s="103"/>
      <c r="J804" s="103"/>
      <c r="K804" s="103"/>
      <c r="L804" s="103"/>
      <c r="M804" s="103"/>
      <c r="N804" s="103"/>
      <c r="O804" s="103"/>
      <c r="P804" s="103"/>
      <c r="Q804" s="103"/>
      <c r="R804" s="103"/>
      <c r="S804" s="103"/>
      <c r="T804" s="103"/>
      <c r="U804" s="103"/>
      <c r="V804" s="103"/>
      <c r="W804" s="103"/>
      <c r="X804" s="103"/>
      <c r="Y804" s="157"/>
      <c r="Z804" s="157"/>
    </row>
    <row r="805" spans="1:26">
      <c r="A805" s="103"/>
      <c r="B805" s="103"/>
      <c r="C805" s="103"/>
      <c r="D805" s="103"/>
      <c r="E805" s="103"/>
      <c r="F805" s="103"/>
      <c r="G805" s="103"/>
      <c r="H805" s="103"/>
      <c r="I805" s="103"/>
      <c r="J805" s="103"/>
      <c r="K805" s="103"/>
      <c r="L805" s="103"/>
      <c r="M805" s="103"/>
      <c r="N805" s="103"/>
      <c r="O805" s="103"/>
      <c r="P805" s="103"/>
      <c r="Q805" s="103"/>
      <c r="R805" s="103"/>
      <c r="S805" s="103"/>
      <c r="T805" s="103"/>
      <c r="U805" s="103"/>
      <c r="V805" s="103"/>
      <c r="W805" s="103"/>
      <c r="X805" s="103"/>
      <c r="Y805" s="157"/>
      <c r="Z805" s="157"/>
    </row>
    <row r="806" spans="1:26">
      <c r="A806" s="103"/>
      <c r="B806" s="103"/>
      <c r="C806" s="103"/>
      <c r="D806" s="103"/>
      <c r="E806" s="103"/>
      <c r="F806" s="103"/>
      <c r="G806" s="103"/>
      <c r="H806" s="103"/>
      <c r="I806" s="103"/>
      <c r="J806" s="103"/>
      <c r="K806" s="103"/>
      <c r="L806" s="103"/>
      <c r="M806" s="103"/>
      <c r="N806" s="103"/>
      <c r="O806" s="103"/>
      <c r="P806" s="103"/>
      <c r="Q806" s="103"/>
      <c r="R806" s="103"/>
      <c r="S806" s="103"/>
      <c r="T806" s="103"/>
      <c r="U806" s="103"/>
      <c r="V806" s="103"/>
      <c r="W806" s="103"/>
      <c r="X806" s="103"/>
      <c r="Y806" s="157"/>
      <c r="Z806" s="157"/>
    </row>
    <row r="807" spans="1:26">
      <c r="A807" s="103"/>
      <c r="B807" s="103"/>
      <c r="C807" s="103"/>
      <c r="D807" s="103"/>
      <c r="E807" s="103"/>
      <c r="F807" s="103"/>
      <c r="G807" s="103"/>
      <c r="H807" s="103"/>
      <c r="I807" s="103"/>
      <c r="J807" s="103"/>
      <c r="K807" s="103"/>
      <c r="L807" s="103"/>
      <c r="M807" s="103"/>
      <c r="N807" s="103"/>
      <c r="O807" s="103"/>
      <c r="P807" s="103"/>
      <c r="Q807" s="103"/>
      <c r="R807" s="103"/>
      <c r="S807" s="103"/>
      <c r="T807" s="103"/>
      <c r="U807" s="103"/>
      <c r="V807" s="103"/>
      <c r="W807" s="103"/>
      <c r="X807" s="103"/>
      <c r="Y807" s="157"/>
      <c r="Z807" s="157"/>
    </row>
    <row r="808" spans="1:26">
      <c r="A808" s="103"/>
      <c r="B808" s="103"/>
      <c r="C808" s="103"/>
      <c r="D808" s="103"/>
      <c r="E808" s="103"/>
      <c r="F808" s="103"/>
      <c r="G808" s="103"/>
      <c r="H808" s="103"/>
      <c r="I808" s="103"/>
      <c r="J808" s="103"/>
      <c r="K808" s="103"/>
      <c r="L808" s="103"/>
      <c r="M808" s="103"/>
      <c r="N808" s="103"/>
      <c r="O808" s="103"/>
      <c r="P808" s="103"/>
      <c r="Q808" s="103"/>
      <c r="R808" s="103"/>
      <c r="S808" s="103"/>
      <c r="T808" s="103"/>
      <c r="U808" s="103"/>
      <c r="V808" s="103"/>
      <c r="W808" s="103"/>
      <c r="X808" s="103"/>
      <c r="Y808" s="157"/>
      <c r="Z808" s="157"/>
    </row>
    <row r="809" spans="1:26">
      <c r="A809" s="103"/>
      <c r="B809" s="103"/>
      <c r="C809" s="103"/>
      <c r="D809" s="103"/>
      <c r="E809" s="103"/>
      <c r="F809" s="103"/>
      <c r="G809" s="103"/>
      <c r="H809" s="103"/>
      <c r="I809" s="103"/>
      <c r="J809" s="103"/>
      <c r="K809" s="103"/>
      <c r="L809" s="103"/>
      <c r="M809" s="103"/>
      <c r="N809" s="103"/>
      <c r="O809" s="103"/>
      <c r="P809" s="103"/>
      <c r="Q809" s="103"/>
      <c r="R809" s="103"/>
      <c r="S809" s="103"/>
      <c r="T809" s="103"/>
      <c r="U809" s="103"/>
      <c r="V809" s="103"/>
      <c r="W809" s="103"/>
      <c r="X809" s="103"/>
      <c r="Y809" s="157"/>
      <c r="Z809" s="157"/>
    </row>
    <row r="810" spans="1:26">
      <c r="A810" s="103"/>
      <c r="B810" s="103"/>
      <c r="C810" s="103"/>
      <c r="D810" s="103"/>
      <c r="E810" s="103"/>
      <c r="F810" s="103"/>
      <c r="G810" s="103"/>
      <c r="H810" s="103"/>
      <c r="I810" s="103"/>
      <c r="J810" s="103"/>
      <c r="K810" s="103"/>
      <c r="L810" s="103"/>
      <c r="M810" s="103"/>
      <c r="N810" s="103"/>
      <c r="O810" s="103"/>
      <c r="P810" s="103"/>
      <c r="Q810" s="103"/>
      <c r="R810" s="103"/>
      <c r="S810" s="103"/>
      <c r="T810" s="103"/>
      <c r="U810" s="103"/>
      <c r="V810" s="103"/>
      <c r="W810" s="103"/>
      <c r="X810" s="103"/>
      <c r="Y810" s="157"/>
      <c r="Z810" s="157"/>
    </row>
    <row r="811" spans="1:26">
      <c r="A811" s="103"/>
      <c r="B811" s="103"/>
      <c r="C811" s="103"/>
      <c r="D811" s="103"/>
      <c r="E811" s="103"/>
      <c r="F811" s="103"/>
      <c r="G811" s="103"/>
      <c r="H811" s="103"/>
      <c r="I811" s="103"/>
      <c r="J811" s="103"/>
      <c r="K811" s="103"/>
      <c r="L811" s="103"/>
      <c r="M811" s="103"/>
      <c r="N811" s="103"/>
      <c r="O811" s="103"/>
      <c r="P811" s="103"/>
      <c r="Q811" s="103"/>
      <c r="R811" s="103"/>
      <c r="S811" s="103"/>
      <c r="T811" s="103"/>
      <c r="U811" s="103"/>
      <c r="V811" s="103"/>
      <c r="W811" s="103"/>
      <c r="X811" s="103"/>
      <c r="Y811" s="157"/>
      <c r="Z811" s="157"/>
    </row>
    <row r="812" spans="1:26">
      <c r="A812" s="103"/>
      <c r="B812" s="103"/>
      <c r="C812" s="103"/>
      <c r="D812" s="103"/>
      <c r="E812" s="103"/>
      <c r="F812" s="103"/>
      <c r="G812" s="103"/>
      <c r="H812" s="103"/>
      <c r="I812" s="103"/>
      <c r="J812" s="103"/>
      <c r="K812" s="103"/>
      <c r="L812" s="103"/>
      <c r="M812" s="103"/>
      <c r="N812" s="103"/>
      <c r="O812" s="103"/>
      <c r="P812" s="103"/>
      <c r="Q812" s="103"/>
      <c r="R812" s="103"/>
      <c r="S812" s="103"/>
      <c r="T812" s="103"/>
      <c r="U812" s="103"/>
      <c r="V812" s="103"/>
      <c r="W812" s="103"/>
      <c r="X812" s="103"/>
      <c r="Y812" s="157"/>
      <c r="Z812" s="157"/>
    </row>
    <row r="813" spans="1:26">
      <c r="A813" s="103"/>
      <c r="B813" s="103"/>
      <c r="C813" s="103"/>
      <c r="D813" s="103"/>
      <c r="E813" s="103"/>
      <c r="F813" s="103"/>
      <c r="G813" s="103"/>
      <c r="H813" s="103"/>
      <c r="I813" s="103"/>
      <c r="J813" s="103"/>
      <c r="K813" s="103"/>
      <c r="L813" s="103"/>
      <c r="M813" s="103"/>
      <c r="N813" s="103"/>
      <c r="O813" s="103"/>
      <c r="P813" s="103"/>
      <c r="Q813" s="103"/>
      <c r="R813" s="103"/>
      <c r="S813" s="103"/>
      <c r="T813" s="103"/>
      <c r="U813" s="103"/>
      <c r="V813" s="103"/>
      <c r="W813" s="103"/>
      <c r="X813" s="103"/>
      <c r="Y813" s="157"/>
      <c r="Z813" s="157"/>
    </row>
    <row r="814" spans="1:26">
      <c r="A814" s="103"/>
      <c r="B814" s="103"/>
      <c r="C814" s="103"/>
      <c r="D814" s="103"/>
      <c r="E814" s="103"/>
      <c r="F814" s="103"/>
      <c r="G814" s="103"/>
      <c r="H814" s="103"/>
      <c r="I814" s="103"/>
      <c r="J814" s="103"/>
      <c r="K814" s="103"/>
      <c r="L814" s="103"/>
      <c r="M814" s="103"/>
      <c r="N814" s="103"/>
      <c r="O814" s="103"/>
      <c r="P814" s="103"/>
      <c r="Q814" s="103"/>
      <c r="R814" s="103"/>
      <c r="S814" s="103"/>
      <c r="T814" s="103"/>
      <c r="U814" s="103"/>
      <c r="V814" s="103"/>
      <c r="W814" s="103"/>
      <c r="X814" s="103"/>
      <c r="Y814" s="157"/>
      <c r="Z814" s="157"/>
    </row>
    <row r="815" spans="1:26">
      <c r="A815" s="103"/>
      <c r="B815" s="103"/>
      <c r="C815" s="103"/>
      <c r="D815" s="103"/>
      <c r="E815" s="103"/>
      <c r="F815" s="103"/>
      <c r="G815" s="103"/>
      <c r="H815" s="103"/>
      <c r="I815" s="103"/>
      <c r="J815" s="103"/>
      <c r="K815" s="103"/>
      <c r="L815" s="103"/>
      <c r="M815" s="103"/>
      <c r="N815" s="103"/>
      <c r="O815" s="103"/>
      <c r="P815" s="103"/>
      <c r="Q815" s="103"/>
      <c r="R815" s="103"/>
      <c r="S815" s="103"/>
      <c r="T815" s="103"/>
      <c r="U815" s="103"/>
      <c r="V815" s="103"/>
      <c r="W815" s="103"/>
      <c r="X815" s="103"/>
      <c r="Y815" s="157"/>
      <c r="Z815" s="157"/>
    </row>
    <row r="816" spans="1:26">
      <c r="A816" s="103"/>
      <c r="B816" s="103"/>
      <c r="C816" s="103"/>
      <c r="D816" s="103"/>
      <c r="E816" s="103"/>
      <c r="F816" s="103"/>
      <c r="G816" s="103"/>
      <c r="H816" s="103"/>
      <c r="I816" s="103"/>
      <c r="J816" s="103"/>
      <c r="K816" s="103"/>
      <c r="L816" s="103"/>
      <c r="M816" s="103"/>
      <c r="N816" s="103"/>
      <c r="O816" s="103"/>
      <c r="P816" s="103"/>
      <c r="Q816" s="103"/>
      <c r="R816" s="103"/>
      <c r="S816" s="103"/>
      <c r="T816" s="103"/>
      <c r="U816" s="103"/>
      <c r="V816" s="103"/>
      <c r="W816" s="103"/>
      <c r="X816" s="103"/>
      <c r="Y816" s="157"/>
      <c r="Z816" s="157"/>
    </row>
    <row r="817" spans="1:26">
      <c r="A817" s="103"/>
      <c r="B817" s="103"/>
      <c r="C817" s="103"/>
      <c r="D817" s="103"/>
      <c r="E817" s="103"/>
      <c r="F817" s="103"/>
      <c r="G817" s="103"/>
      <c r="H817" s="103"/>
      <c r="I817" s="103"/>
      <c r="J817" s="103"/>
      <c r="K817" s="103"/>
      <c r="L817" s="103"/>
      <c r="M817" s="103"/>
      <c r="N817" s="103"/>
      <c r="O817" s="103"/>
      <c r="P817" s="103"/>
      <c r="Q817" s="103"/>
      <c r="R817" s="103"/>
      <c r="S817" s="103"/>
      <c r="T817" s="103"/>
      <c r="U817" s="103"/>
      <c r="V817" s="103"/>
      <c r="W817" s="103"/>
      <c r="X817" s="103"/>
      <c r="Y817" s="157"/>
      <c r="Z817" s="157"/>
    </row>
    <row r="818" spans="1:26">
      <c r="A818" s="103"/>
      <c r="B818" s="103"/>
      <c r="C818" s="103"/>
      <c r="D818" s="103"/>
      <c r="E818" s="103"/>
      <c r="F818" s="103"/>
      <c r="G818" s="103"/>
      <c r="H818" s="103"/>
      <c r="I818" s="103"/>
      <c r="J818" s="103"/>
      <c r="K818" s="103"/>
      <c r="L818" s="103"/>
      <c r="M818" s="103"/>
      <c r="N818" s="103"/>
      <c r="O818" s="103"/>
      <c r="P818" s="103"/>
      <c r="Q818" s="103"/>
      <c r="R818" s="103"/>
      <c r="S818" s="103"/>
      <c r="T818" s="103"/>
      <c r="U818" s="103"/>
      <c r="V818" s="103"/>
      <c r="W818" s="103"/>
      <c r="X818" s="103"/>
      <c r="Y818" s="157"/>
      <c r="Z818" s="157"/>
    </row>
    <row r="819" spans="1:26">
      <c r="A819" s="103"/>
      <c r="B819" s="103"/>
      <c r="C819" s="103"/>
      <c r="D819" s="103"/>
      <c r="E819" s="103"/>
      <c r="F819" s="103"/>
      <c r="G819" s="103"/>
      <c r="H819" s="103"/>
      <c r="I819" s="103"/>
      <c r="J819" s="103"/>
      <c r="K819" s="103"/>
      <c r="L819" s="103"/>
      <c r="M819" s="103"/>
      <c r="N819" s="103"/>
      <c r="O819" s="103"/>
      <c r="P819" s="103"/>
      <c r="Q819" s="103"/>
      <c r="R819" s="103"/>
      <c r="S819" s="103"/>
      <c r="T819" s="103"/>
      <c r="U819" s="103"/>
      <c r="V819" s="103"/>
      <c r="W819" s="103"/>
      <c r="X819" s="103"/>
      <c r="Y819" s="157"/>
      <c r="Z819" s="157"/>
    </row>
    <row r="820" spans="1:26">
      <c r="A820" s="103"/>
      <c r="B820" s="103"/>
      <c r="C820" s="103"/>
      <c r="D820" s="103"/>
      <c r="E820" s="103"/>
      <c r="F820" s="103"/>
      <c r="G820" s="103"/>
      <c r="H820" s="103"/>
      <c r="I820" s="103"/>
      <c r="J820" s="103"/>
      <c r="K820" s="103"/>
      <c r="L820" s="103"/>
      <c r="M820" s="103"/>
      <c r="N820" s="103"/>
      <c r="O820" s="103"/>
      <c r="P820" s="103"/>
      <c r="Q820" s="103"/>
      <c r="R820" s="103"/>
      <c r="S820" s="103"/>
      <c r="T820" s="103"/>
      <c r="U820" s="103"/>
      <c r="V820" s="103"/>
      <c r="W820" s="103"/>
      <c r="X820" s="103"/>
      <c r="Y820" s="157"/>
      <c r="Z820" s="157"/>
    </row>
    <row r="821" spans="1:26">
      <c r="A821" s="103"/>
      <c r="B821" s="103"/>
      <c r="C821" s="103"/>
      <c r="D821" s="103"/>
      <c r="E821" s="103"/>
      <c r="F821" s="103"/>
      <c r="G821" s="103"/>
      <c r="H821" s="103"/>
      <c r="I821" s="103"/>
      <c r="J821" s="103"/>
      <c r="K821" s="103"/>
      <c r="L821" s="103"/>
      <c r="M821" s="103"/>
      <c r="N821" s="103"/>
      <c r="O821" s="103"/>
      <c r="P821" s="103"/>
      <c r="Q821" s="103"/>
      <c r="R821" s="103"/>
      <c r="S821" s="103"/>
      <c r="T821" s="103"/>
      <c r="U821" s="103"/>
      <c r="V821" s="103"/>
      <c r="W821" s="103"/>
      <c r="X821" s="103"/>
      <c r="Y821" s="157"/>
      <c r="Z821" s="157"/>
    </row>
    <row r="822" spans="1:26">
      <c r="A822" s="103"/>
      <c r="B822" s="103"/>
      <c r="C822" s="103"/>
      <c r="D822" s="103"/>
      <c r="E822" s="103"/>
      <c r="F822" s="103"/>
      <c r="G822" s="103"/>
      <c r="H822" s="103"/>
      <c r="I822" s="103"/>
      <c r="J822" s="103"/>
      <c r="K822" s="103"/>
      <c r="L822" s="103"/>
      <c r="M822" s="103"/>
      <c r="N822" s="103"/>
      <c r="O822" s="103"/>
      <c r="P822" s="103"/>
      <c r="Q822" s="103"/>
      <c r="R822" s="103"/>
      <c r="S822" s="103"/>
      <c r="T822" s="103"/>
      <c r="U822" s="103"/>
      <c r="V822" s="103"/>
      <c r="W822" s="103"/>
      <c r="X822" s="103"/>
      <c r="Y822" s="157"/>
      <c r="Z822" s="157"/>
    </row>
    <row r="823" spans="1:26">
      <c r="A823" s="103"/>
      <c r="B823" s="103"/>
      <c r="C823" s="103"/>
      <c r="D823" s="103"/>
      <c r="E823" s="103"/>
      <c r="F823" s="103"/>
      <c r="G823" s="103"/>
      <c r="H823" s="103"/>
      <c r="I823" s="103"/>
      <c r="J823" s="103"/>
      <c r="K823" s="103"/>
      <c r="L823" s="103"/>
      <c r="M823" s="103"/>
      <c r="N823" s="103"/>
      <c r="O823" s="103"/>
      <c r="P823" s="103"/>
      <c r="Q823" s="103"/>
      <c r="R823" s="103"/>
      <c r="S823" s="103"/>
      <c r="T823" s="103"/>
      <c r="U823" s="103"/>
      <c r="V823" s="103"/>
      <c r="W823" s="103"/>
      <c r="X823" s="103"/>
      <c r="Y823" s="157"/>
      <c r="Z823" s="157"/>
    </row>
    <row r="824" spans="1:26">
      <c r="A824" s="103"/>
      <c r="B824" s="103"/>
      <c r="C824" s="103"/>
      <c r="D824" s="103"/>
      <c r="E824" s="103"/>
      <c r="F824" s="103"/>
      <c r="G824" s="103"/>
      <c r="H824" s="103"/>
      <c r="I824" s="103"/>
      <c r="J824" s="103"/>
      <c r="K824" s="103"/>
      <c r="L824" s="103"/>
      <c r="M824" s="103"/>
      <c r="N824" s="103"/>
      <c r="O824" s="103"/>
      <c r="P824" s="103"/>
      <c r="Q824" s="103"/>
      <c r="R824" s="103"/>
      <c r="S824" s="103"/>
      <c r="T824" s="103"/>
      <c r="U824" s="103"/>
      <c r="V824" s="103"/>
      <c r="W824" s="103"/>
      <c r="X824" s="103"/>
      <c r="Y824" s="157"/>
      <c r="Z824" s="157"/>
    </row>
    <row r="825" spans="1:26">
      <c r="A825" s="103"/>
      <c r="B825" s="103"/>
      <c r="C825" s="103"/>
      <c r="D825" s="103"/>
      <c r="E825" s="103"/>
      <c r="F825" s="103"/>
      <c r="G825" s="103"/>
      <c r="H825" s="103"/>
      <c r="I825" s="103"/>
      <c r="J825" s="103"/>
      <c r="K825" s="103"/>
      <c r="L825" s="103"/>
      <c r="M825" s="103"/>
      <c r="N825" s="103"/>
      <c r="O825" s="103"/>
      <c r="P825" s="103"/>
      <c r="Q825" s="103"/>
      <c r="R825" s="103"/>
      <c r="S825" s="103"/>
      <c r="T825" s="103"/>
      <c r="U825" s="103"/>
      <c r="V825" s="103"/>
      <c r="W825" s="103"/>
      <c r="X825" s="103"/>
      <c r="Y825" s="157"/>
      <c r="Z825" s="157"/>
    </row>
    <row r="826" spans="1:26">
      <c r="A826" s="103"/>
      <c r="B826" s="103"/>
      <c r="C826" s="103"/>
      <c r="D826" s="103"/>
      <c r="E826" s="103"/>
      <c r="F826" s="103"/>
      <c r="G826" s="103"/>
      <c r="H826" s="103"/>
      <c r="I826" s="103"/>
      <c r="J826" s="103"/>
      <c r="K826" s="103"/>
      <c r="L826" s="103"/>
      <c r="M826" s="103"/>
      <c r="N826" s="103"/>
      <c r="O826" s="103"/>
      <c r="P826" s="103"/>
      <c r="Q826" s="103"/>
      <c r="R826" s="103"/>
      <c r="S826" s="103"/>
      <c r="T826" s="103"/>
      <c r="U826" s="103"/>
      <c r="V826" s="103"/>
      <c r="W826" s="103"/>
      <c r="X826" s="103"/>
      <c r="Y826" s="157"/>
      <c r="Z826" s="157"/>
    </row>
    <row r="827" spans="1:26">
      <c r="A827" s="103"/>
      <c r="B827" s="103"/>
      <c r="C827" s="103"/>
      <c r="D827" s="103"/>
      <c r="E827" s="103"/>
      <c r="F827" s="103"/>
      <c r="G827" s="103"/>
      <c r="H827" s="103"/>
      <c r="I827" s="103"/>
      <c r="J827" s="103"/>
      <c r="K827" s="103"/>
      <c r="L827" s="103"/>
      <c r="M827" s="103"/>
      <c r="N827" s="103"/>
      <c r="O827" s="103"/>
      <c r="P827" s="103"/>
      <c r="Q827" s="103"/>
      <c r="R827" s="103"/>
      <c r="S827" s="103"/>
      <c r="T827" s="103"/>
      <c r="U827" s="103"/>
      <c r="V827" s="103"/>
      <c r="W827" s="103"/>
      <c r="X827" s="103"/>
      <c r="Y827" s="157"/>
      <c r="Z827" s="157"/>
    </row>
    <row r="828" spans="1:26">
      <c r="A828" s="103"/>
      <c r="B828" s="103"/>
      <c r="C828" s="103"/>
      <c r="D828" s="103"/>
      <c r="E828" s="103"/>
      <c r="F828" s="103"/>
      <c r="G828" s="103"/>
      <c r="H828" s="103"/>
      <c r="I828" s="103"/>
      <c r="J828" s="103"/>
      <c r="K828" s="103"/>
      <c r="L828" s="103"/>
      <c r="M828" s="103"/>
      <c r="N828" s="103"/>
      <c r="O828" s="103"/>
      <c r="P828" s="103"/>
      <c r="Q828" s="103"/>
      <c r="R828" s="103"/>
      <c r="S828" s="103"/>
      <c r="T828" s="103"/>
      <c r="U828" s="103"/>
      <c r="V828" s="103"/>
      <c r="W828" s="103"/>
      <c r="X828" s="103"/>
      <c r="Y828" s="157"/>
      <c r="Z828" s="157"/>
    </row>
    <row r="829" spans="1:26">
      <c r="A829" s="103"/>
      <c r="B829" s="103"/>
      <c r="C829" s="103"/>
      <c r="D829" s="103"/>
      <c r="E829" s="103"/>
      <c r="F829" s="103"/>
      <c r="G829" s="103"/>
      <c r="H829" s="103"/>
      <c r="I829" s="103"/>
      <c r="J829" s="103"/>
      <c r="K829" s="103"/>
      <c r="L829" s="103"/>
      <c r="M829" s="103"/>
      <c r="N829" s="103"/>
      <c r="O829" s="103"/>
      <c r="P829" s="103"/>
      <c r="Q829" s="103"/>
      <c r="R829" s="103"/>
      <c r="S829" s="103"/>
      <c r="T829" s="103"/>
      <c r="U829" s="103"/>
      <c r="V829" s="103"/>
      <c r="W829" s="103"/>
      <c r="X829" s="103"/>
      <c r="Y829" s="157"/>
      <c r="Z829" s="157"/>
    </row>
    <row r="830" spans="1:26">
      <c r="A830" s="103"/>
      <c r="B830" s="103"/>
      <c r="C830" s="103"/>
      <c r="D830" s="103"/>
      <c r="E830" s="103"/>
      <c r="F830" s="103"/>
      <c r="G830" s="103"/>
      <c r="H830" s="103"/>
      <c r="I830" s="103"/>
      <c r="J830" s="103"/>
      <c r="K830" s="103"/>
      <c r="L830" s="103"/>
      <c r="M830" s="103"/>
      <c r="N830" s="103"/>
      <c r="O830" s="103"/>
      <c r="P830" s="103"/>
      <c r="Q830" s="103"/>
      <c r="R830" s="103"/>
      <c r="S830" s="103"/>
      <c r="T830" s="103"/>
      <c r="U830" s="103"/>
      <c r="V830" s="103"/>
      <c r="W830" s="103"/>
      <c r="X830" s="103"/>
      <c r="Y830" s="157"/>
      <c r="Z830" s="157"/>
    </row>
    <row r="831" spans="1:26">
      <c r="A831" s="103"/>
      <c r="B831" s="103"/>
      <c r="C831" s="103"/>
      <c r="D831" s="103"/>
      <c r="E831" s="103"/>
      <c r="F831" s="103"/>
      <c r="G831" s="103"/>
      <c r="H831" s="103"/>
      <c r="I831" s="103"/>
      <c r="J831" s="103"/>
      <c r="K831" s="103"/>
      <c r="L831" s="103"/>
      <c r="M831" s="103"/>
      <c r="N831" s="103"/>
      <c r="O831" s="103"/>
      <c r="P831" s="103"/>
      <c r="Q831" s="103"/>
      <c r="R831" s="103"/>
      <c r="S831" s="103"/>
      <c r="T831" s="103"/>
      <c r="U831" s="103"/>
      <c r="V831" s="103"/>
      <c r="W831" s="103"/>
      <c r="X831" s="103"/>
      <c r="Y831" s="157"/>
      <c r="Z831" s="157"/>
    </row>
    <row r="832" spans="1:26">
      <c r="A832" s="103"/>
      <c r="B832" s="103"/>
      <c r="C832" s="103"/>
      <c r="D832" s="103"/>
      <c r="E832" s="103"/>
      <c r="F832" s="103"/>
      <c r="G832" s="103"/>
      <c r="H832" s="103"/>
      <c r="I832" s="103"/>
      <c r="J832" s="103"/>
      <c r="K832" s="103"/>
      <c r="L832" s="103"/>
      <c r="M832" s="103"/>
      <c r="N832" s="103"/>
      <c r="O832" s="103"/>
      <c r="P832" s="103"/>
      <c r="Q832" s="103"/>
      <c r="R832" s="103"/>
      <c r="S832" s="103"/>
      <c r="T832" s="103"/>
      <c r="U832" s="103"/>
      <c r="V832" s="103"/>
      <c r="W832" s="103"/>
      <c r="X832" s="103"/>
      <c r="Y832" s="157"/>
      <c r="Z832" s="157"/>
    </row>
    <row r="833" spans="1:26">
      <c r="A833" s="103"/>
      <c r="B833" s="103"/>
      <c r="C833" s="103"/>
      <c r="D833" s="103"/>
      <c r="E833" s="103"/>
      <c r="F833" s="103"/>
      <c r="G833" s="103"/>
      <c r="H833" s="103"/>
      <c r="I833" s="103"/>
      <c r="J833" s="103"/>
      <c r="K833" s="103"/>
      <c r="L833" s="103"/>
      <c r="M833" s="103"/>
      <c r="N833" s="103"/>
      <c r="O833" s="103"/>
      <c r="P833" s="103"/>
      <c r="Q833" s="103"/>
      <c r="R833" s="103"/>
      <c r="S833" s="103"/>
      <c r="T833" s="103"/>
      <c r="U833" s="103"/>
      <c r="V833" s="103"/>
      <c r="W833" s="103"/>
      <c r="X833" s="103"/>
      <c r="Y833" s="157"/>
      <c r="Z833" s="157"/>
    </row>
    <row r="834" spans="1:26">
      <c r="A834" s="103"/>
      <c r="B834" s="103"/>
      <c r="C834" s="103"/>
      <c r="D834" s="103"/>
      <c r="E834" s="103"/>
      <c r="F834" s="103"/>
      <c r="G834" s="103"/>
      <c r="H834" s="103"/>
      <c r="I834" s="103"/>
      <c r="J834" s="103"/>
      <c r="K834" s="103"/>
      <c r="L834" s="103"/>
      <c r="M834" s="103"/>
      <c r="N834" s="103"/>
      <c r="O834" s="103"/>
      <c r="P834" s="103"/>
      <c r="Q834" s="103"/>
      <c r="R834" s="103"/>
      <c r="S834" s="103"/>
      <c r="T834" s="103"/>
      <c r="U834" s="103"/>
      <c r="V834" s="103"/>
      <c r="W834" s="103"/>
      <c r="X834" s="103"/>
      <c r="Y834" s="157"/>
      <c r="Z834" s="157"/>
    </row>
    <row r="835" spans="1:26">
      <c r="A835" s="103"/>
      <c r="B835" s="103"/>
      <c r="C835" s="103"/>
      <c r="D835" s="103"/>
      <c r="E835" s="103"/>
      <c r="F835" s="103"/>
      <c r="G835" s="103"/>
      <c r="H835" s="103"/>
      <c r="I835" s="103"/>
      <c r="J835" s="103"/>
      <c r="K835" s="103"/>
      <c r="L835" s="103"/>
      <c r="M835" s="103"/>
      <c r="N835" s="103"/>
      <c r="O835" s="103"/>
      <c r="P835" s="103"/>
      <c r="Q835" s="103"/>
      <c r="R835" s="103"/>
      <c r="S835" s="103"/>
      <c r="T835" s="103"/>
      <c r="U835" s="103"/>
      <c r="V835" s="103"/>
      <c r="W835" s="103"/>
      <c r="X835" s="103"/>
      <c r="Y835" s="157"/>
      <c r="Z835" s="157"/>
    </row>
    <row r="836" spans="1:26">
      <c r="A836" s="103"/>
      <c r="B836" s="103"/>
      <c r="C836" s="103"/>
      <c r="D836" s="103"/>
      <c r="E836" s="103"/>
      <c r="F836" s="103"/>
      <c r="G836" s="103"/>
      <c r="H836" s="103"/>
      <c r="I836" s="103"/>
      <c r="J836" s="103"/>
      <c r="K836" s="103"/>
      <c r="L836" s="103"/>
      <c r="M836" s="103"/>
      <c r="N836" s="103"/>
      <c r="O836" s="103"/>
      <c r="P836" s="103"/>
      <c r="Q836" s="103"/>
      <c r="R836" s="103"/>
      <c r="S836" s="103"/>
      <c r="T836" s="103"/>
      <c r="U836" s="103"/>
      <c r="V836" s="103"/>
      <c r="W836" s="103"/>
      <c r="X836" s="103"/>
      <c r="Y836" s="157"/>
      <c r="Z836" s="157"/>
    </row>
    <row r="837" spans="1:26">
      <c r="A837" s="103"/>
      <c r="B837" s="103"/>
      <c r="C837" s="103"/>
      <c r="D837" s="103"/>
      <c r="E837" s="103"/>
      <c r="F837" s="103"/>
      <c r="G837" s="103"/>
      <c r="H837" s="103"/>
      <c r="I837" s="103"/>
      <c r="J837" s="103"/>
      <c r="K837" s="103"/>
      <c r="L837" s="103"/>
      <c r="M837" s="103"/>
      <c r="N837" s="103"/>
      <c r="O837" s="103"/>
      <c r="P837" s="103"/>
      <c r="Q837" s="103"/>
      <c r="R837" s="103"/>
      <c r="S837" s="103"/>
      <c r="T837" s="103"/>
      <c r="U837" s="103"/>
      <c r="V837" s="103"/>
      <c r="W837" s="103"/>
      <c r="X837" s="103"/>
      <c r="Y837" s="157"/>
      <c r="Z837" s="157"/>
    </row>
    <row r="838" spans="1:26">
      <c r="A838" s="103"/>
      <c r="B838" s="103"/>
      <c r="C838" s="103"/>
      <c r="D838" s="103"/>
      <c r="E838" s="103"/>
      <c r="F838" s="103"/>
      <c r="G838" s="103"/>
      <c r="H838" s="103"/>
      <c r="I838" s="103"/>
      <c r="J838" s="103"/>
      <c r="K838" s="103"/>
      <c r="L838" s="103"/>
      <c r="M838" s="103"/>
      <c r="N838" s="103"/>
      <c r="O838" s="103"/>
      <c r="P838" s="103"/>
      <c r="Q838" s="103"/>
      <c r="R838" s="103"/>
      <c r="S838" s="103"/>
      <c r="T838" s="103"/>
      <c r="U838" s="103"/>
      <c r="V838" s="103"/>
      <c r="W838" s="103"/>
      <c r="X838" s="103"/>
      <c r="Y838" s="157"/>
      <c r="Z838" s="157"/>
    </row>
    <row r="839" spans="1:26">
      <c r="A839" s="103"/>
      <c r="B839" s="103"/>
      <c r="C839" s="103"/>
      <c r="D839" s="103"/>
      <c r="E839" s="103"/>
      <c r="F839" s="103"/>
      <c r="G839" s="103"/>
      <c r="H839" s="103"/>
      <c r="I839" s="103"/>
      <c r="J839" s="103"/>
      <c r="K839" s="103"/>
      <c r="L839" s="103"/>
      <c r="M839" s="103"/>
      <c r="N839" s="103"/>
      <c r="O839" s="103"/>
      <c r="P839" s="103"/>
      <c r="Q839" s="103"/>
      <c r="R839" s="103"/>
      <c r="S839" s="103"/>
      <c r="T839" s="103"/>
      <c r="U839" s="103"/>
      <c r="V839" s="103"/>
      <c r="W839" s="103"/>
      <c r="X839" s="103"/>
      <c r="Y839" s="157"/>
      <c r="Z839" s="157"/>
    </row>
    <row r="840" spans="1:26">
      <c r="A840" s="103"/>
      <c r="B840" s="103"/>
      <c r="C840" s="103"/>
      <c r="D840" s="103"/>
      <c r="E840" s="103"/>
      <c r="F840" s="103"/>
      <c r="G840" s="103"/>
      <c r="H840" s="103"/>
      <c r="I840" s="103"/>
      <c r="J840" s="103"/>
      <c r="K840" s="103"/>
      <c r="L840" s="103"/>
      <c r="M840" s="103"/>
      <c r="N840" s="103"/>
      <c r="O840" s="103"/>
      <c r="P840" s="103"/>
      <c r="Q840" s="103"/>
      <c r="R840" s="103"/>
      <c r="S840" s="103"/>
      <c r="T840" s="103"/>
      <c r="U840" s="103"/>
      <c r="V840" s="103"/>
      <c r="W840" s="103"/>
      <c r="X840" s="103"/>
      <c r="Y840" s="157"/>
      <c r="Z840" s="157"/>
    </row>
    <row r="841" spans="1:26">
      <c r="A841" s="103"/>
      <c r="B841" s="103"/>
      <c r="C841" s="103"/>
      <c r="D841" s="103"/>
      <c r="E841" s="103"/>
      <c r="F841" s="103"/>
      <c r="G841" s="103"/>
      <c r="H841" s="103"/>
      <c r="I841" s="103"/>
      <c r="J841" s="103"/>
      <c r="K841" s="103"/>
      <c r="L841" s="103"/>
      <c r="M841" s="103"/>
      <c r="N841" s="103"/>
      <c r="O841" s="103"/>
      <c r="P841" s="103"/>
      <c r="Q841" s="103"/>
      <c r="R841" s="103"/>
      <c r="S841" s="103"/>
      <c r="T841" s="103"/>
      <c r="U841" s="103"/>
      <c r="V841" s="103"/>
      <c r="W841" s="103"/>
      <c r="X841" s="103"/>
      <c r="Y841" s="157"/>
      <c r="Z841" s="157"/>
    </row>
    <row r="842" spans="1:26">
      <c r="A842" s="103"/>
      <c r="B842" s="103"/>
      <c r="C842" s="103"/>
      <c r="D842" s="103"/>
      <c r="E842" s="103"/>
      <c r="F842" s="103"/>
      <c r="G842" s="103"/>
      <c r="H842" s="103"/>
      <c r="I842" s="103"/>
      <c r="J842" s="103"/>
      <c r="K842" s="103"/>
      <c r="L842" s="103"/>
      <c r="M842" s="103"/>
      <c r="N842" s="103"/>
      <c r="O842" s="103"/>
      <c r="P842" s="103"/>
      <c r="Q842" s="103"/>
      <c r="R842" s="103"/>
      <c r="S842" s="103"/>
      <c r="T842" s="103"/>
      <c r="U842" s="103"/>
      <c r="V842" s="103"/>
      <c r="W842" s="103"/>
      <c r="X842" s="103"/>
      <c r="Y842" s="157"/>
      <c r="Z842" s="157"/>
    </row>
    <row r="843" spans="1:26">
      <c r="A843" s="103"/>
      <c r="B843" s="103"/>
      <c r="C843" s="103"/>
      <c r="D843" s="103"/>
      <c r="E843" s="103"/>
      <c r="F843" s="103"/>
      <c r="G843" s="103"/>
      <c r="H843" s="103"/>
      <c r="I843" s="103"/>
      <c r="J843" s="103"/>
      <c r="K843" s="103"/>
      <c r="L843" s="103"/>
      <c r="M843" s="103"/>
      <c r="N843" s="103"/>
      <c r="O843" s="103"/>
      <c r="P843" s="103"/>
      <c r="Q843" s="103"/>
      <c r="R843" s="103"/>
      <c r="S843" s="103"/>
      <c r="T843" s="103"/>
      <c r="U843" s="103"/>
      <c r="V843" s="103"/>
      <c r="W843" s="103"/>
      <c r="X843" s="103"/>
      <c r="Y843" s="157"/>
      <c r="Z843" s="157"/>
    </row>
    <row r="844" spans="1:26">
      <c r="A844" s="103"/>
      <c r="B844" s="103"/>
      <c r="C844" s="103"/>
      <c r="D844" s="103"/>
      <c r="E844" s="103"/>
      <c r="F844" s="103"/>
      <c r="G844" s="103"/>
      <c r="H844" s="103"/>
      <c r="I844" s="103"/>
      <c r="J844" s="103"/>
      <c r="K844" s="103"/>
      <c r="L844" s="103"/>
      <c r="M844" s="103"/>
      <c r="N844" s="103"/>
      <c r="O844" s="103"/>
      <c r="P844" s="103"/>
      <c r="Q844" s="103"/>
      <c r="R844" s="103"/>
      <c r="S844" s="103"/>
      <c r="T844" s="103"/>
      <c r="U844" s="103"/>
      <c r="V844" s="103"/>
      <c r="W844" s="103"/>
      <c r="X844" s="103"/>
      <c r="Y844" s="157"/>
      <c r="Z844" s="157"/>
    </row>
    <row r="845" spans="1:26">
      <c r="A845" s="103"/>
      <c r="B845" s="103"/>
      <c r="C845" s="103"/>
      <c r="D845" s="103"/>
      <c r="E845" s="103"/>
      <c r="F845" s="103"/>
      <c r="G845" s="103"/>
      <c r="H845" s="103"/>
      <c r="I845" s="103"/>
      <c r="J845" s="103"/>
      <c r="K845" s="103"/>
      <c r="L845" s="103"/>
      <c r="M845" s="103"/>
      <c r="N845" s="103"/>
      <c r="O845" s="103"/>
      <c r="P845" s="103"/>
      <c r="Q845" s="103"/>
      <c r="R845" s="103"/>
      <c r="S845" s="103"/>
      <c r="T845" s="103"/>
      <c r="U845" s="103"/>
      <c r="V845" s="103"/>
      <c r="W845" s="103"/>
      <c r="X845" s="103"/>
      <c r="Y845" s="157"/>
      <c r="Z845" s="157"/>
    </row>
    <row r="846" spans="1:26">
      <c r="A846" s="103"/>
      <c r="B846" s="103"/>
      <c r="C846" s="103"/>
      <c r="D846" s="103"/>
      <c r="E846" s="103"/>
      <c r="F846" s="103"/>
      <c r="G846" s="103"/>
      <c r="H846" s="103"/>
      <c r="I846" s="103"/>
      <c r="J846" s="103"/>
      <c r="K846" s="103"/>
      <c r="L846" s="103"/>
      <c r="M846" s="103"/>
      <c r="N846" s="103"/>
      <c r="O846" s="103"/>
      <c r="P846" s="103"/>
      <c r="Q846" s="103"/>
      <c r="R846" s="103"/>
      <c r="S846" s="103"/>
      <c r="T846" s="103"/>
      <c r="U846" s="103"/>
      <c r="V846" s="103"/>
      <c r="W846" s="103"/>
      <c r="X846" s="103"/>
      <c r="Y846" s="157"/>
      <c r="Z846" s="157"/>
    </row>
    <row r="847" spans="1:26">
      <c r="A847" s="103"/>
      <c r="B847" s="103"/>
      <c r="C847" s="103"/>
      <c r="D847" s="103"/>
      <c r="E847" s="103"/>
      <c r="F847" s="103"/>
      <c r="G847" s="103"/>
      <c r="H847" s="103"/>
      <c r="I847" s="103"/>
      <c r="J847" s="103"/>
      <c r="K847" s="103"/>
      <c r="L847" s="103"/>
      <c r="M847" s="103"/>
      <c r="N847" s="103"/>
      <c r="O847" s="103"/>
      <c r="P847" s="103"/>
      <c r="Q847" s="103"/>
      <c r="R847" s="103"/>
      <c r="S847" s="103"/>
      <c r="T847" s="103"/>
      <c r="U847" s="103"/>
      <c r="V847" s="103"/>
      <c r="W847" s="103"/>
      <c r="X847" s="103"/>
      <c r="Y847" s="157"/>
      <c r="Z847" s="157"/>
    </row>
    <row r="848" spans="1:26">
      <c r="A848" s="103"/>
      <c r="B848" s="103"/>
      <c r="C848" s="103"/>
      <c r="D848" s="103"/>
      <c r="E848" s="103"/>
      <c r="F848" s="103"/>
      <c r="G848" s="103"/>
      <c r="H848" s="103"/>
      <c r="I848" s="103"/>
      <c r="J848" s="103"/>
      <c r="K848" s="103"/>
      <c r="L848" s="103"/>
      <c r="M848" s="103"/>
      <c r="N848" s="103"/>
      <c r="O848" s="103"/>
      <c r="P848" s="103"/>
      <c r="Q848" s="103"/>
      <c r="R848" s="103"/>
      <c r="S848" s="103"/>
      <c r="T848" s="103"/>
      <c r="U848" s="103"/>
      <c r="V848" s="103"/>
      <c r="W848" s="103"/>
      <c r="X848" s="103"/>
      <c r="Y848" s="157"/>
      <c r="Z848" s="157"/>
    </row>
    <row r="849" spans="1:26">
      <c r="A849" s="103"/>
      <c r="B849" s="103"/>
      <c r="C849" s="103"/>
      <c r="D849" s="103"/>
      <c r="E849" s="103"/>
      <c r="F849" s="103"/>
      <c r="G849" s="103"/>
      <c r="H849" s="103"/>
      <c r="I849" s="103"/>
      <c r="J849" s="103"/>
      <c r="K849" s="103"/>
      <c r="L849" s="103"/>
      <c r="M849" s="103"/>
      <c r="N849" s="103"/>
      <c r="O849" s="103"/>
      <c r="P849" s="103"/>
      <c r="Q849" s="103"/>
      <c r="R849" s="103"/>
      <c r="S849" s="103"/>
      <c r="T849" s="103"/>
      <c r="U849" s="103"/>
      <c r="V849" s="103"/>
      <c r="W849" s="103"/>
      <c r="X849" s="103"/>
      <c r="Y849" s="157"/>
      <c r="Z849" s="157"/>
    </row>
    <row r="850" spans="1:26">
      <c r="A850" s="103"/>
      <c r="B850" s="103"/>
      <c r="C850" s="103"/>
      <c r="D850" s="103"/>
      <c r="E850" s="103"/>
      <c r="F850" s="103"/>
      <c r="G850" s="103"/>
      <c r="H850" s="103"/>
      <c r="I850" s="103"/>
      <c r="J850" s="103"/>
      <c r="K850" s="103"/>
      <c r="L850" s="103"/>
      <c r="M850" s="103"/>
      <c r="N850" s="103"/>
      <c r="O850" s="103"/>
      <c r="P850" s="103"/>
      <c r="Q850" s="103"/>
      <c r="R850" s="103"/>
      <c r="S850" s="103"/>
      <c r="T850" s="103"/>
      <c r="U850" s="103"/>
      <c r="V850" s="103"/>
      <c r="W850" s="103"/>
      <c r="X850" s="103"/>
      <c r="Y850" s="157"/>
      <c r="Z850" s="157"/>
    </row>
    <row r="851" spans="1:26">
      <c r="A851" s="103"/>
      <c r="B851" s="103"/>
      <c r="C851" s="103"/>
      <c r="D851" s="103"/>
      <c r="E851" s="103"/>
      <c r="F851" s="103"/>
      <c r="G851" s="103"/>
      <c r="H851" s="103"/>
      <c r="I851" s="103"/>
      <c r="J851" s="103"/>
      <c r="K851" s="103"/>
      <c r="L851" s="103"/>
      <c r="M851" s="103"/>
      <c r="N851" s="103"/>
      <c r="O851" s="103"/>
      <c r="P851" s="103"/>
      <c r="Q851" s="103"/>
      <c r="R851" s="103"/>
      <c r="S851" s="103"/>
      <c r="T851" s="103"/>
      <c r="U851" s="103"/>
      <c r="V851" s="103"/>
      <c r="W851" s="103"/>
      <c r="X851" s="103"/>
      <c r="Y851" s="157"/>
      <c r="Z851" s="157"/>
    </row>
    <row r="852" spans="1:26">
      <c r="A852" s="103"/>
      <c r="B852" s="103"/>
      <c r="C852" s="103"/>
      <c r="D852" s="103"/>
      <c r="E852" s="103"/>
      <c r="F852" s="103"/>
      <c r="G852" s="103"/>
      <c r="H852" s="103"/>
      <c r="I852" s="103"/>
      <c r="J852" s="103"/>
      <c r="K852" s="103"/>
      <c r="L852" s="103"/>
      <c r="M852" s="103"/>
      <c r="N852" s="103"/>
      <c r="O852" s="103"/>
      <c r="P852" s="103"/>
      <c r="Q852" s="103"/>
      <c r="R852" s="103"/>
      <c r="S852" s="103"/>
      <c r="T852" s="103"/>
      <c r="U852" s="103"/>
      <c r="V852" s="103"/>
      <c r="W852" s="103"/>
      <c r="X852" s="103"/>
      <c r="Y852" s="157"/>
      <c r="Z852" s="157"/>
    </row>
    <row r="853" spans="1:26">
      <c r="A853" s="103"/>
      <c r="B853" s="103"/>
      <c r="C853" s="103"/>
      <c r="D853" s="103"/>
      <c r="E853" s="103"/>
      <c r="F853" s="103"/>
      <c r="G853" s="103"/>
      <c r="H853" s="103"/>
      <c r="I853" s="103"/>
      <c r="J853" s="103"/>
      <c r="K853" s="103"/>
      <c r="L853" s="103"/>
      <c r="M853" s="103"/>
      <c r="N853" s="103"/>
      <c r="O853" s="103"/>
      <c r="P853" s="103"/>
      <c r="Q853" s="103"/>
      <c r="R853" s="103"/>
      <c r="S853" s="103"/>
      <c r="T853" s="103"/>
      <c r="U853" s="103"/>
      <c r="V853" s="103"/>
      <c r="W853" s="103"/>
      <c r="X853" s="103"/>
      <c r="Y853" s="157"/>
      <c r="Z853" s="157"/>
    </row>
    <row r="854" spans="1:26">
      <c r="A854" s="103"/>
      <c r="B854" s="103"/>
      <c r="C854" s="103"/>
      <c r="D854" s="103"/>
      <c r="E854" s="103"/>
      <c r="F854" s="103"/>
      <c r="G854" s="103"/>
      <c r="H854" s="103"/>
      <c r="I854" s="103"/>
      <c r="J854" s="103"/>
      <c r="K854" s="103"/>
      <c r="L854" s="103"/>
      <c r="M854" s="103"/>
      <c r="N854" s="103"/>
      <c r="O854" s="103"/>
      <c r="P854" s="103"/>
      <c r="Q854" s="103"/>
      <c r="R854" s="103"/>
      <c r="S854" s="103"/>
      <c r="T854" s="103"/>
      <c r="U854" s="103"/>
      <c r="V854" s="103"/>
      <c r="W854" s="103"/>
      <c r="X854" s="103"/>
      <c r="Y854" s="157"/>
      <c r="Z854" s="157"/>
    </row>
    <row r="855" spans="1:26">
      <c r="A855" s="103"/>
      <c r="B855" s="103"/>
      <c r="C855" s="103"/>
      <c r="D855" s="103"/>
      <c r="E855" s="103"/>
      <c r="F855" s="103"/>
      <c r="G855" s="103"/>
      <c r="H855" s="103"/>
      <c r="I855" s="103"/>
      <c r="J855" s="103"/>
      <c r="K855" s="103"/>
      <c r="L855" s="103"/>
      <c r="M855" s="103"/>
      <c r="N855" s="103"/>
      <c r="O855" s="103"/>
      <c r="P855" s="103"/>
      <c r="Q855" s="103"/>
      <c r="R855" s="103"/>
      <c r="S855" s="103"/>
      <c r="T855" s="103"/>
      <c r="U855" s="103"/>
      <c r="V855" s="103"/>
      <c r="W855" s="103"/>
      <c r="X855" s="103"/>
      <c r="Y855" s="157"/>
      <c r="Z855" s="157"/>
    </row>
    <row r="856" spans="1:26">
      <c r="A856" s="103"/>
      <c r="B856" s="103"/>
      <c r="C856" s="103"/>
      <c r="D856" s="103"/>
      <c r="E856" s="103"/>
      <c r="F856" s="103"/>
      <c r="G856" s="103"/>
      <c r="H856" s="103"/>
      <c r="I856" s="103"/>
      <c r="J856" s="103"/>
      <c r="K856" s="103"/>
      <c r="L856" s="103"/>
      <c r="M856" s="103"/>
      <c r="N856" s="103"/>
      <c r="O856" s="103"/>
      <c r="P856" s="103"/>
      <c r="Q856" s="103"/>
      <c r="R856" s="103"/>
      <c r="S856" s="103"/>
      <c r="T856" s="103"/>
      <c r="U856" s="103"/>
      <c r="V856" s="103"/>
      <c r="W856" s="103"/>
      <c r="X856" s="103"/>
      <c r="Y856" s="157"/>
      <c r="Z856" s="157"/>
    </row>
    <row r="857" spans="1:26">
      <c r="A857" s="103"/>
      <c r="B857" s="103"/>
      <c r="C857" s="103"/>
      <c r="D857" s="103"/>
      <c r="E857" s="103"/>
      <c r="F857" s="103"/>
      <c r="G857" s="103"/>
      <c r="H857" s="103"/>
      <c r="I857" s="103"/>
      <c r="J857" s="103"/>
      <c r="K857" s="103"/>
      <c r="L857" s="103"/>
      <c r="M857" s="103"/>
      <c r="N857" s="103"/>
      <c r="O857" s="103"/>
      <c r="P857" s="103"/>
      <c r="Q857" s="103"/>
      <c r="R857" s="103"/>
      <c r="S857" s="103"/>
      <c r="T857" s="103"/>
      <c r="U857" s="103"/>
      <c r="V857" s="103"/>
      <c r="W857" s="103"/>
      <c r="X857" s="103"/>
      <c r="Y857" s="157"/>
      <c r="Z857" s="157"/>
    </row>
    <row r="858" spans="1:26">
      <c r="A858" s="103"/>
      <c r="B858" s="103"/>
      <c r="C858" s="103"/>
      <c r="D858" s="103"/>
      <c r="E858" s="103"/>
      <c r="F858" s="103"/>
      <c r="G858" s="103"/>
      <c r="H858" s="103"/>
      <c r="I858" s="103"/>
      <c r="J858" s="103"/>
      <c r="K858" s="103"/>
      <c r="L858" s="103"/>
      <c r="M858" s="103"/>
      <c r="N858" s="103"/>
      <c r="O858" s="103"/>
      <c r="P858" s="103"/>
      <c r="Q858" s="103"/>
      <c r="R858" s="103"/>
      <c r="S858" s="103"/>
      <c r="T858" s="103"/>
      <c r="U858" s="103"/>
      <c r="V858" s="103"/>
      <c r="W858" s="103"/>
      <c r="X858" s="103"/>
      <c r="Y858" s="157"/>
      <c r="Z858" s="157"/>
    </row>
    <row r="859" spans="1:26">
      <c r="A859" s="103"/>
      <c r="B859" s="103"/>
      <c r="C859" s="103"/>
      <c r="D859" s="103"/>
      <c r="E859" s="103"/>
      <c r="F859" s="103"/>
      <c r="G859" s="103"/>
      <c r="H859" s="103"/>
      <c r="I859" s="103"/>
      <c r="J859" s="103"/>
      <c r="K859" s="103"/>
      <c r="L859" s="103"/>
      <c r="M859" s="103"/>
      <c r="N859" s="103"/>
      <c r="O859" s="103"/>
      <c r="P859" s="103"/>
      <c r="Q859" s="103"/>
      <c r="R859" s="103"/>
      <c r="S859" s="103"/>
      <c r="T859" s="103"/>
      <c r="U859" s="103"/>
      <c r="V859" s="103"/>
      <c r="W859" s="103"/>
      <c r="X859" s="103"/>
      <c r="Y859" s="157"/>
      <c r="Z859" s="157"/>
    </row>
    <row r="860" spans="1:26">
      <c r="A860" s="103"/>
      <c r="B860" s="103"/>
      <c r="C860" s="103"/>
      <c r="D860" s="103"/>
      <c r="E860" s="103"/>
      <c r="F860" s="103"/>
      <c r="G860" s="103"/>
      <c r="H860" s="103"/>
      <c r="I860" s="103"/>
      <c r="J860" s="103"/>
      <c r="K860" s="103"/>
      <c r="L860" s="103"/>
      <c r="M860" s="103"/>
      <c r="N860" s="103"/>
      <c r="O860" s="103"/>
      <c r="P860" s="103"/>
      <c r="Q860" s="103"/>
      <c r="R860" s="103"/>
      <c r="S860" s="103"/>
      <c r="T860" s="103"/>
      <c r="U860" s="103"/>
      <c r="V860" s="103"/>
      <c r="W860" s="103"/>
      <c r="X860" s="103"/>
      <c r="Y860" s="157"/>
      <c r="Z860" s="157"/>
    </row>
    <row r="861" spans="1:26">
      <c r="A861" s="103"/>
      <c r="B861" s="103"/>
      <c r="C861" s="103"/>
      <c r="D861" s="103"/>
      <c r="E861" s="103"/>
      <c r="F861" s="103"/>
      <c r="G861" s="103"/>
      <c r="H861" s="103"/>
      <c r="I861" s="103"/>
      <c r="J861" s="103"/>
      <c r="K861" s="103"/>
      <c r="L861" s="103"/>
      <c r="M861" s="103"/>
      <c r="N861" s="103"/>
      <c r="O861" s="103"/>
      <c r="P861" s="103"/>
      <c r="Q861" s="103"/>
      <c r="R861" s="103"/>
      <c r="S861" s="103"/>
      <c r="T861" s="103"/>
      <c r="U861" s="103"/>
      <c r="V861" s="103"/>
      <c r="W861" s="103"/>
      <c r="X861" s="103"/>
      <c r="Y861" s="157"/>
      <c r="Z861" s="157"/>
    </row>
    <row r="862" spans="1:26">
      <c r="A862" s="103"/>
      <c r="B862" s="103"/>
      <c r="C862" s="103"/>
      <c r="D862" s="103"/>
      <c r="E862" s="103"/>
      <c r="F862" s="103"/>
      <c r="G862" s="103"/>
      <c r="H862" s="103"/>
      <c r="I862" s="103"/>
      <c r="J862" s="103"/>
      <c r="K862" s="103"/>
      <c r="L862" s="103"/>
      <c r="M862" s="103"/>
      <c r="N862" s="103"/>
      <c r="O862" s="103"/>
      <c r="P862" s="103"/>
      <c r="Q862" s="103"/>
      <c r="R862" s="103"/>
      <c r="S862" s="103"/>
      <c r="T862" s="103"/>
      <c r="U862" s="103"/>
      <c r="V862" s="103"/>
      <c r="W862" s="103"/>
      <c r="X862" s="103"/>
      <c r="Y862" s="157"/>
      <c r="Z862" s="157"/>
    </row>
    <row r="863" spans="1:26">
      <c r="A863" s="103"/>
      <c r="B863" s="103"/>
      <c r="C863" s="103"/>
      <c r="D863" s="103"/>
      <c r="E863" s="103"/>
      <c r="F863" s="103"/>
      <c r="G863" s="103"/>
      <c r="H863" s="103"/>
      <c r="I863" s="103"/>
      <c r="J863" s="103"/>
      <c r="K863" s="103"/>
      <c r="L863" s="103"/>
      <c r="M863" s="103"/>
      <c r="N863" s="103"/>
      <c r="O863" s="103"/>
      <c r="P863" s="103"/>
      <c r="Q863" s="103"/>
      <c r="R863" s="103"/>
      <c r="S863" s="103"/>
      <c r="T863" s="103"/>
      <c r="U863" s="103"/>
      <c r="V863" s="103"/>
      <c r="W863" s="103"/>
      <c r="X863" s="103"/>
      <c r="Y863" s="157"/>
      <c r="Z863" s="157"/>
    </row>
    <row r="864" spans="1:26">
      <c r="A864" s="103"/>
      <c r="B864" s="103"/>
      <c r="C864" s="103"/>
      <c r="D864" s="103"/>
      <c r="E864" s="103"/>
      <c r="F864" s="103"/>
      <c r="G864" s="103"/>
      <c r="H864" s="103"/>
      <c r="I864" s="103"/>
      <c r="J864" s="103"/>
      <c r="K864" s="103"/>
      <c r="L864" s="103"/>
      <c r="M864" s="103"/>
      <c r="N864" s="103"/>
      <c r="O864" s="103"/>
      <c r="P864" s="103"/>
      <c r="Q864" s="103"/>
      <c r="R864" s="103"/>
      <c r="S864" s="103"/>
      <c r="T864" s="103"/>
      <c r="U864" s="103"/>
      <c r="V864" s="103"/>
      <c r="W864" s="103"/>
      <c r="X864" s="103"/>
      <c r="Y864" s="157"/>
      <c r="Z864" s="157"/>
    </row>
    <row r="865" spans="1:26">
      <c r="A865" s="103"/>
      <c r="B865" s="103"/>
      <c r="C865" s="103"/>
      <c r="D865" s="103"/>
      <c r="E865" s="103"/>
      <c r="F865" s="103"/>
      <c r="G865" s="103"/>
      <c r="H865" s="103"/>
      <c r="I865" s="103"/>
      <c r="J865" s="103"/>
      <c r="K865" s="103"/>
      <c r="L865" s="103"/>
      <c r="M865" s="103"/>
      <c r="N865" s="103"/>
      <c r="O865" s="103"/>
      <c r="P865" s="103"/>
      <c r="Q865" s="103"/>
      <c r="R865" s="103"/>
      <c r="S865" s="103"/>
      <c r="T865" s="103"/>
      <c r="U865" s="103"/>
      <c r="V865" s="103"/>
      <c r="W865" s="103"/>
      <c r="X865" s="103"/>
      <c r="Y865" s="157"/>
      <c r="Z865" s="157"/>
    </row>
    <row r="866" spans="1:26">
      <c r="A866" s="103"/>
      <c r="B866" s="103"/>
      <c r="C866" s="103"/>
      <c r="D866" s="103"/>
      <c r="E866" s="103"/>
      <c r="F866" s="103"/>
      <c r="G866" s="103"/>
      <c r="H866" s="103"/>
      <c r="I866" s="103"/>
      <c r="J866" s="103"/>
      <c r="K866" s="103"/>
      <c r="L866" s="103"/>
      <c r="M866" s="103"/>
      <c r="N866" s="103"/>
      <c r="O866" s="103"/>
      <c r="P866" s="103"/>
      <c r="Q866" s="103"/>
      <c r="R866" s="103"/>
      <c r="S866" s="103"/>
      <c r="T866" s="103"/>
      <c r="U866" s="103"/>
      <c r="V866" s="103"/>
      <c r="W866" s="103"/>
      <c r="X866" s="103"/>
      <c r="Y866" s="157"/>
      <c r="Z866" s="157"/>
    </row>
    <row r="867" spans="1:26">
      <c r="A867" s="103"/>
      <c r="B867" s="103"/>
      <c r="C867" s="103"/>
      <c r="D867" s="103"/>
      <c r="E867" s="103"/>
      <c r="F867" s="103"/>
      <c r="G867" s="103"/>
      <c r="H867" s="103"/>
      <c r="I867" s="103"/>
      <c r="J867" s="103"/>
      <c r="K867" s="103"/>
      <c r="L867" s="103"/>
      <c r="M867" s="103"/>
      <c r="N867" s="103"/>
      <c r="O867" s="103"/>
      <c r="P867" s="103"/>
      <c r="Q867" s="103"/>
      <c r="R867" s="103"/>
      <c r="S867" s="103"/>
      <c r="T867" s="103"/>
      <c r="U867" s="103"/>
      <c r="V867" s="103"/>
      <c r="W867" s="103"/>
      <c r="X867" s="103"/>
      <c r="Y867" s="157"/>
      <c r="Z867" s="157"/>
    </row>
    <row r="868" spans="1:26">
      <c r="A868" s="103"/>
      <c r="B868" s="103"/>
      <c r="C868" s="103"/>
      <c r="D868" s="103"/>
      <c r="E868" s="103"/>
      <c r="F868" s="103"/>
      <c r="G868" s="103"/>
      <c r="H868" s="103"/>
      <c r="I868" s="103"/>
      <c r="J868" s="103"/>
      <c r="K868" s="103"/>
      <c r="L868" s="103"/>
      <c r="M868" s="103"/>
      <c r="N868" s="103"/>
      <c r="O868" s="103"/>
      <c r="P868" s="103"/>
      <c r="Q868" s="103"/>
      <c r="R868" s="103"/>
      <c r="S868" s="103"/>
      <c r="T868" s="103"/>
      <c r="U868" s="103"/>
      <c r="V868" s="103"/>
      <c r="W868" s="103"/>
      <c r="X868" s="103"/>
      <c r="Y868" s="157"/>
      <c r="Z868" s="157"/>
    </row>
    <row r="869" spans="1:26">
      <c r="A869" s="103"/>
      <c r="B869" s="103"/>
      <c r="C869" s="103"/>
      <c r="D869" s="103"/>
      <c r="E869" s="103"/>
      <c r="F869" s="103"/>
      <c r="G869" s="103"/>
      <c r="H869" s="103"/>
      <c r="I869" s="103"/>
      <c r="J869" s="103"/>
      <c r="K869" s="103"/>
      <c r="L869" s="103"/>
      <c r="M869" s="103"/>
      <c r="N869" s="103"/>
      <c r="O869" s="103"/>
      <c r="P869" s="103"/>
      <c r="Q869" s="103"/>
      <c r="R869" s="103"/>
      <c r="S869" s="103"/>
      <c r="T869" s="103"/>
      <c r="U869" s="103"/>
      <c r="V869" s="103"/>
      <c r="W869" s="103"/>
      <c r="X869" s="103"/>
      <c r="Y869" s="157"/>
      <c r="Z869" s="157"/>
    </row>
    <row r="870" spans="1:26">
      <c r="A870" s="103"/>
      <c r="B870" s="103"/>
      <c r="C870" s="103"/>
      <c r="D870" s="103"/>
      <c r="E870" s="103"/>
      <c r="F870" s="103"/>
      <c r="G870" s="103"/>
      <c r="H870" s="103"/>
      <c r="I870" s="103"/>
      <c r="J870" s="103"/>
      <c r="K870" s="103"/>
      <c r="L870" s="103"/>
      <c r="M870" s="103"/>
      <c r="N870" s="103"/>
      <c r="O870" s="103"/>
      <c r="P870" s="103"/>
      <c r="Q870" s="103"/>
      <c r="R870" s="103"/>
      <c r="S870" s="103"/>
      <c r="T870" s="103"/>
      <c r="U870" s="103"/>
      <c r="V870" s="103"/>
      <c r="W870" s="103"/>
      <c r="X870" s="103"/>
      <c r="Y870" s="157"/>
      <c r="Z870" s="157"/>
    </row>
    <row r="871" spans="1:26">
      <c r="A871" s="103"/>
      <c r="B871" s="103"/>
      <c r="C871" s="103"/>
      <c r="D871" s="103"/>
      <c r="E871" s="103"/>
      <c r="F871" s="103"/>
      <c r="G871" s="103"/>
      <c r="H871" s="103"/>
      <c r="I871" s="103"/>
      <c r="J871" s="103"/>
      <c r="K871" s="103"/>
      <c r="L871" s="103"/>
      <c r="M871" s="103"/>
      <c r="N871" s="103"/>
      <c r="O871" s="103"/>
      <c r="P871" s="103"/>
      <c r="Q871" s="103"/>
      <c r="R871" s="103"/>
      <c r="S871" s="103"/>
      <c r="T871" s="103"/>
      <c r="U871" s="103"/>
      <c r="V871" s="103"/>
      <c r="W871" s="103"/>
      <c r="X871" s="103"/>
      <c r="Y871" s="157"/>
      <c r="Z871" s="157"/>
    </row>
    <row r="872" spans="1:26">
      <c r="A872" s="103"/>
      <c r="B872" s="103"/>
      <c r="C872" s="103"/>
      <c r="D872" s="103"/>
      <c r="E872" s="103"/>
      <c r="F872" s="103"/>
      <c r="G872" s="103"/>
      <c r="H872" s="103"/>
      <c r="I872" s="103"/>
      <c r="J872" s="103"/>
      <c r="K872" s="103"/>
      <c r="L872" s="103"/>
      <c r="M872" s="103"/>
      <c r="N872" s="103"/>
      <c r="O872" s="103"/>
      <c r="P872" s="103"/>
      <c r="Q872" s="103"/>
      <c r="R872" s="103"/>
      <c r="S872" s="103"/>
      <c r="T872" s="103"/>
      <c r="U872" s="103"/>
      <c r="V872" s="103"/>
      <c r="W872" s="103"/>
      <c r="X872" s="103"/>
      <c r="Y872" s="157"/>
      <c r="Z872" s="157"/>
    </row>
    <row r="873" spans="1:26">
      <c r="A873" s="103"/>
      <c r="B873" s="103"/>
      <c r="C873" s="103"/>
      <c r="D873" s="103"/>
      <c r="E873" s="103"/>
      <c r="F873" s="103"/>
      <c r="G873" s="103"/>
      <c r="H873" s="103"/>
      <c r="I873" s="103"/>
      <c r="J873" s="103"/>
      <c r="K873" s="103"/>
      <c r="L873" s="103"/>
      <c r="M873" s="103"/>
      <c r="N873" s="103"/>
      <c r="O873" s="103"/>
      <c r="P873" s="103"/>
      <c r="Q873" s="103"/>
      <c r="R873" s="103"/>
      <c r="S873" s="103"/>
      <c r="T873" s="103"/>
      <c r="U873" s="103"/>
      <c r="V873" s="103"/>
      <c r="W873" s="103"/>
      <c r="X873" s="103"/>
      <c r="Y873" s="157"/>
      <c r="Z873" s="157"/>
    </row>
    <row r="874" spans="1:26">
      <c r="A874" s="103"/>
      <c r="B874" s="103"/>
      <c r="C874" s="103"/>
      <c r="D874" s="103"/>
      <c r="E874" s="103"/>
      <c r="F874" s="103"/>
      <c r="G874" s="103"/>
      <c r="H874" s="103"/>
      <c r="I874" s="103"/>
      <c r="J874" s="103"/>
      <c r="K874" s="103"/>
      <c r="L874" s="103"/>
      <c r="M874" s="103"/>
      <c r="N874" s="103"/>
      <c r="O874" s="103"/>
      <c r="P874" s="103"/>
      <c r="Q874" s="103"/>
      <c r="R874" s="103"/>
      <c r="S874" s="103"/>
      <c r="T874" s="103"/>
      <c r="U874" s="103"/>
      <c r="V874" s="103"/>
      <c r="W874" s="103"/>
      <c r="X874" s="103"/>
      <c r="Y874" s="157"/>
      <c r="Z874" s="157"/>
    </row>
    <row r="875" spans="1:26">
      <c r="A875" s="103"/>
      <c r="B875" s="103"/>
      <c r="C875" s="103"/>
      <c r="D875" s="103"/>
      <c r="E875" s="103"/>
      <c r="F875" s="103"/>
      <c r="G875" s="103"/>
      <c r="H875" s="103"/>
      <c r="I875" s="103"/>
      <c r="J875" s="103"/>
      <c r="K875" s="103"/>
      <c r="L875" s="103"/>
      <c r="M875" s="103"/>
      <c r="N875" s="103"/>
      <c r="O875" s="103"/>
      <c r="P875" s="103"/>
      <c r="Q875" s="103"/>
      <c r="R875" s="103"/>
      <c r="S875" s="103"/>
      <c r="T875" s="103"/>
      <c r="U875" s="103"/>
      <c r="V875" s="103"/>
      <c r="W875" s="103"/>
      <c r="X875" s="103"/>
      <c r="Y875" s="157"/>
      <c r="Z875" s="157"/>
    </row>
    <row r="876" spans="1:26">
      <c r="A876" s="103"/>
      <c r="B876" s="103"/>
      <c r="C876" s="103"/>
      <c r="D876" s="103"/>
      <c r="E876" s="103"/>
      <c r="F876" s="103"/>
      <c r="G876" s="103"/>
      <c r="H876" s="103"/>
      <c r="I876" s="103"/>
      <c r="J876" s="103"/>
      <c r="K876" s="103"/>
      <c r="L876" s="103"/>
      <c r="M876" s="103"/>
      <c r="N876" s="103"/>
      <c r="O876" s="103"/>
      <c r="P876" s="103"/>
      <c r="Q876" s="103"/>
      <c r="R876" s="103"/>
      <c r="S876" s="103"/>
      <c r="T876" s="103"/>
      <c r="U876" s="103"/>
      <c r="V876" s="103"/>
      <c r="W876" s="103"/>
      <c r="X876" s="103"/>
      <c r="Y876" s="157"/>
      <c r="Z876" s="157"/>
    </row>
    <row r="877" spans="1:26">
      <c r="A877" s="103"/>
      <c r="B877" s="103"/>
      <c r="C877" s="103"/>
      <c r="D877" s="103"/>
      <c r="E877" s="103"/>
      <c r="F877" s="103"/>
      <c r="G877" s="103"/>
      <c r="H877" s="103"/>
      <c r="I877" s="103"/>
      <c r="J877" s="103"/>
      <c r="K877" s="103"/>
      <c r="L877" s="103"/>
      <c r="M877" s="103"/>
      <c r="N877" s="103"/>
      <c r="O877" s="103"/>
      <c r="P877" s="103"/>
      <c r="Q877" s="103"/>
      <c r="R877" s="103"/>
      <c r="S877" s="103"/>
      <c r="T877" s="103"/>
      <c r="U877" s="103"/>
      <c r="V877" s="103"/>
      <c r="W877" s="103"/>
      <c r="X877" s="103"/>
      <c r="Y877" s="157"/>
      <c r="Z877" s="157"/>
    </row>
    <row r="878" spans="1:26">
      <c r="A878" s="103"/>
      <c r="B878" s="103"/>
      <c r="C878" s="103"/>
      <c r="D878" s="103"/>
      <c r="E878" s="103"/>
      <c r="F878" s="103"/>
      <c r="G878" s="103"/>
      <c r="H878" s="103"/>
      <c r="I878" s="103"/>
      <c r="J878" s="103"/>
      <c r="K878" s="103"/>
      <c r="L878" s="103"/>
      <c r="M878" s="103"/>
      <c r="N878" s="103"/>
      <c r="O878" s="103"/>
      <c r="P878" s="103"/>
      <c r="Q878" s="103"/>
      <c r="R878" s="103"/>
      <c r="S878" s="103"/>
      <c r="T878" s="103"/>
      <c r="U878" s="103"/>
      <c r="V878" s="103"/>
      <c r="W878" s="103"/>
      <c r="X878" s="103"/>
      <c r="Y878" s="157"/>
      <c r="Z878" s="157"/>
    </row>
    <row r="879" spans="1:26">
      <c r="A879" s="103"/>
      <c r="B879" s="103"/>
      <c r="C879" s="103"/>
      <c r="D879" s="103"/>
      <c r="E879" s="103"/>
      <c r="F879" s="103"/>
      <c r="G879" s="103"/>
      <c r="H879" s="103"/>
      <c r="I879" s="103"/>
      <c r="J879" s="103"/>
      <c r="K879" s="103"/>
      <c r="L879" s="103"/>
      <c r="M879" s="103"/>
      <c r="N879" s="103"/>
      <c r="O879" s="103"/>
      <c r="P879" s="103"/>
      <c r="Q879" s="103"/>
      <c r="R879" s="103"/>
      <c r="S879" s="103"/>
      <c r="T879" s="103"/>
      <c r="U879" s="103"/>
      <c r="V879" s="103"/>
      <c r="W879" s="103"/>
      <c r="X879" s="103"/>
      <c r="Y879" s="157"/>
      <c r="Z879" s="157"/>
    </row>
    <row r="880" spans="1:26">
      <c r="A880" s="103"/>
      <c r="B880" s="103"/>
      <c r="C880" s="103"/>
      <c r="D880" s="103"/>
      <c r="E880" s="103"/>
      <c r="F880" s="103"/>
      <c r="G880" s="103"/>
      <c r="H880" s="103"/>
      <c r="I880" s="103"/>
      <c r="J880" s="103"/>
      <c r="K880" s="103"/>
      <c r="L880" s="103"/>
      <c r="M880" s="103"/>
      <c r="N880" s="103"/>
      <c r="O880" s="103"/>
      <c r="P880" s="103"/>
      <c r="Q880" s="103"/>
      <c r="R880" s="103"/>
      <c r="S880" s="103"/>
      <c r="T880" s="103"/>
      <c r="U880" s="103"/>
      <c r="V880" s="103"/>
      <c r="W880" s="103"/>
      <c r="X880" s="103"/>
      <c r="Y880" s="157"/>
      <c r="Z880" s="157"/>
    </row>
    <row r="881" spans="1:26">
      <c r="A881" s="103"/>
      <c r="B881" s="103"/>
      <c r="C881" s="103"/>
      <c r="D881" s="103"/>
      <c r="E881" s="103"/>
      <c r="F881" s="103"/>
      <c r="G881" s="103"/>
      <c r="H881" s="103"/>
      <c r="I881" s="103"/>
      <c r="J881" s="103"/>
      <c r="K881" s="103"/>
      <c r="L881" s="103"/>
      <c r="M881" s="103"/>
      <c r="N881" s="103"/>
      <c r="O881" s="103"/>
      <c r="P881" s="103"/>
      <c r="Q881" s="103"/>
      <c r="R881" s="103"/>
      <c r="S881" s="103"/>
      <c r="T881" s="103"/>
      <c r="U881" s="103"/>
      <c r="V881" s="103"/>
      <c r="W881" s="103"/>
      <c r="X881" s="103"/>
      <c r="Y881" s="157"/>
      <c r="Z881" s="157"/>
    </row>
    <row r="882" spans="1:26">
      <c r="A882" s="103"/>
      <c r="B882" s="103"/>
      <c r="C882" s="103"/>
      <c r="D882" s="103"/>
      <c r="E882" s="103"/>
      <c r="F882" s="103"/>
      <c r="G882" s="103"/>
      <c r="H882" s="103"/>
      <c r="I882" s="103"/>
      <c r="J882" s="103"/>
      <c r="K882" s="103"/>
      <c r="L882" s="103"/>
      <c r="M882" s="103"/>
      <c r="N882" s="103"/>
      <c r="O882" s="103"/>
      <c r="P882" s="103"/>
      <c r="Q882" s="103"/>
      <c r="R882" s="103"/>
      <c r="S882" s="103"/>
      <c r="T882" s="103"/>
      <c r="U882" s="103"/>
      <c r="V882" s="103"/>
      <c r="W882" s="103"/>
      <c r="X882" s="103"/>
      <c r="Y882" s="157"/>
      <c r="Z882" s="157"/>
    </row>
    <row r="883" spans="1:26">
      <c r="A883" s="103"/>
      <c r="B883" s="103"/>
      <c r="C883" s="103"/>
      <c r="D883" s="103"/>
      <c r="E883" s="103"/>
      <c r="F883" s="103"/>
      <c r="G883" s="103"/>
      <c r="H883" s="103"/>
      <c r="I883" s="103"/>
      <c r="J883" s="103"/>
      <c r="K883" s="103"/>
      <c r="L883" s="103"/>
      <c r="M883" s="103"/>
      <c r="N883" s="103"/>
      <c r="O883" s="103"/>
      <c r="P883" s="103"/>
      <c r="Q883" s="103"/>
      <c r="R883" s="103"/>
      <c r="S883" s="103"/>
      <c r="T883" s="103"/>
      <c r="U883" s="103"/>
      <c r="V883" s="103"/>
      <c r="W883" s="103"/>
      <c r="X883" s="103"/>
      <c r="Y883" s="157"/>
      <c r="Z883" s="157"/>
    </row>
    <row r="884" spans="1:26">
      <c r="A884" s="103"/>
      <c r="B884" s="103"/>
      <c r="C884" s="103"/>
      <c r="D884" s="103"/>
      <c r="E884" s="103"/>
      <c r="F884" s="103"/>
      <c r="G884" s="103"/>
      <c r="H884" s="103"/>
      <c r="I884" s="103"/>
      <c r="J884" s="103"/>
      <c r="K884" s="103"/>
      <c r="L884" s="103"/>
      <c r="M884" s="103"/>
      <c r="N884" s="103"/>
      <c r="O884" s="103"/>
      <c r="P884" s="103"/>
      <c r="Q884" s="103"/>
      <c r="R884" s="103"/>
      <c r="S884" s="103"/>
      <c r="T884" s="103"/>
      <c r="U884" s="103"/>
      <c r="V884" s="103"/>
      <c r="W884" s="103"/>
      <c r="X884" s="103"/>
      <c r="Y884" s="157"/>
      <c r="Z884" s="157"/>
    </row>
    <row r="885" spans="1:26">
      <c r="A885" s="103"/>
      <c r="B885" s="103"/>
      <c r="C885" s="103"/>
      <c r="D885" s="103"/>
      <c r="E885" s="103"/>
      <c r="F885" s="103"/>
      <c r="G885" s="103"/>
      <c r="H885" s="103"/>
      <c r="I885" s="103"/>
      <c r="J885" s="103"/>
      <c r="K885" s="103"/>
      <c r="L885" s="103"/>
      <c r="M885" s="103"/>
      <c r="N885" s="103"/>
      <c r="O885" s="103"/>
      <c r="P885" s="103"/>
      <c r="Q885" s="103"/>
      <c r="R885" s="103"/>
      <c r="S885" s="103"/>
      <c r="T885" s="103"/>
      <c r="U885" s="103"/>
      <c r="V885" s="103"/>
      <c r="W885" s="103"/>
      <c r="X885" s="103"/>
      <c r="Y885" s="157"/>
      <c r="Z885" s="157"/>
    </row>
    <row r="886" spans="1:26">
      <c r="A886" s="103"/>
      <c r="B886" s="103"/>
      <c r="C886" s="103"/>
      <c r="D886" s="103"/>
      <c r="E886" s="103"/>
      <c r="F886" s="103"/>
      <c r="G886" s="103"/>
      <c r="H886" s="103"/>
      <c r="I886" s="103"/>
      <c r="J886" s="103"/>
      <c r="K886" s="103"/>
      <c r="L886" s="103"/>
      <c r="M886" s="103"/>
      <c r="N886" s="103"/>
      <c r="O886" s="103"/>
      <c r="P886" s="103"/>
      <c r="Q886" s="103"/>
      <c r="R886" s="103"/>
      <c r="S886" s="103"/>
      <c r="T886" s="103"/>
      <c r="U886" s="103"/>
      <c r="V886" s="103"/>
      <c r="W886" s="103"/>
      <c r="X886" s="103"/>
      <c r="Y886" s="157"/>
      <c r="Z886" s="157"/>
    </row>
    <row r="887" spans="1:26">
      <c r="A887" s="103"/>
      <c r="B887" s="103"/>
      <c r="C887" s="103"/>
      <c r="D887" s="103"/>
      <c r="E887" s="103"/>
      <c r="F887" s="103"/>
      <c r="G887" s="103"/>
      <c r="H887" s="103"/>
      <c r="I887" s="103"/>
      <c r="J887" s="103"/>
      <c r="K887" s="103"/>
      <c r="L887" s="103"/>
      <c r="M887" s="103"/>
      <c r="N887" s="103"/>
      <c r="O887" s="103"/>
      <c r="P887" s="103"/>
      <c r="Q887" s="103"/>
      <c r="R887" s="103"/>
      <c r="S887" s="103"/>
      <c r="T887" s="103"/>
      <c r="U887" s="103"/>
      <c r="V887" s="103"/>
      <c r="W887" s="103"/>
      <c r="X887" s="103"/>
      <c r="Y887" s="157"/>
      <c r="Z887" s="157"/>
    </row>
    <row r="888" spans="1:26">
      <c r="A888" s="103"/>
      <c r="B888" s="103"/>
      <c r="C888" s="103"/>
      <c r="D888" s="103"/>
      <c r="E888" s="103"/>
      <c r="F888" s="103"/>
      <c r="G888" s="103"/>
      <c r="H888" s="103"/>
      <c r="I888" s="103"/>
      <c r="J888" s="103"/>
      <c r="K888" s="103"/>
      <c r="L888" s="103"/>
      <c r="M888" s="103"/>
      <c r="N888" s="103"/>
      <c r="O888" s="103"/>
      <c r="P888" s="103"/>
      <c r="Q888" s="103"/>
      <c r="R888" s="103"/>
      <c r="S888" s="103"/>
      <c r="T888" s="103"/>
      <c r="U888" s="103"/>
      <c r="V888" s="103"/>
      <c r="W888" s="103"/>
      <c r="X888" s="103"/>
      <c r="Y888" s="157"/>
      <c r="Z888" s="157"/>
    </row>
    <row r="889" spans="1:26">
      <c r="A889" s="103"/>
      <c r="B889" s="103"/>
      <c r="C889" s="103"/>
      <c r="D889" s="103"/>
      <c r="E889" s="103"/>
      <c r="F889" s="103"/>
      <c r="G889" s="103"/>
      <c r="H889" s="103"/>
      <c r="I889" s="103"/>
      <c r="J889" s="103"/>
      <c r="K889" s="103"/>
      <c r="L889" s="103"/>
      <c r="M889" s="103"/>
      <c r="N889" s="103"/>
      <c r="O889" s="103"/>
      <c r="P889" s="103"/>
      <c r="Q889" s="103"/>
      <c r="R889" s="103"/>
      <c r="S889" s="103"/>
      <c r="T889" s="103"/>
      <c r="U889" s="103"/>
      <c r="V889" s="103"/>
      <c r="W889" s="103"/>
      <c r="X889" s="103"/>
      <c r="Y889" s="157"/>
      <c r="Z889" s="157"/>
    </row>
    <row r="890" spans="1:26">
      <c r="A890" s="103"/>
      <c r="B890" s="103"/>
      <c r="C890" s="103"/>
      <c r="D890" s="103"/>
      <c r="E890" s="103"/>
      <c r="F890" s="103"/>
      <c r="G890" s="103"/>
      <c r="H890" s="103"/>
      <c r="I890" s="103"/>
      <c r="J890" s="103"/>
      <c r="K890" s="103"/>
      <c r="L890" s="103"/>
      <c r="M890" s="103"/>
      <c r="N890" s="103"/>
      <c r="O890" s="103"/>
      <c r="P890" s="103"/>
      <c r="Q890" s="103"/>
      <c r="R890" s="103"/>
      <c r="S890" s="103"/>
      <c r="T890" s="103"/>
      <c r="U890" s="103"/>
      <c r="V890" s="103"/>
      <c r="W890" s="103"/>
      <c r="X890" s="103"/>
      <c r="Y890" s="157"/>
      <c r="Z890" s="157"/>
    </row>
    <row r="891" spans="1:26">
      <c r="A891" s="103"/>
      <c r="B891" s="103"/>
      <c r="C891" s="103"/>
      <c r="D891" s="103"/>
      <c r="E891" s="103"/>
      <c r="F891" s="103"/>
      <c r="G891" s="103"/>
      <c r="H891" s="103"/>
      <c r="I891" s="103"/>
      <c r="J891" s="103"/>
      <c r="K891" s="103"/>
      <c r="L891" s="103"/>
      <c r="M891" s="103"/>
      <c r="N891" s="103"/>
      <c r="O891" s="103"/>
      <c r="P891" s="103"/>
      <c r="Q891" s="103"/>
      <c r="R891" s="103"/>
      <c r="S891" s="103"/>
      <c r="T891" s="103"/>
      <c r="U891" s="103"/>
      <c r="V891" s="103"/>
      <c r="W891" s="103"/>
      <c r="X891" s="103"/>
      <c r="Y891" s="157"/>
      <c r="Z891" s="157"/>
    </row>
    <row r="892" spans="1:26">
      <c r="A892" s="103"/>
      <c r="B892" s="103"/>
      <c r="C892" s="103"/>
      <c r="D892" s="103"/>
      <c r="E892" s="103"/>
      <c r="F892" s="103"/>
      <c r="G892" s="103"/>
      <c r="H892" s="103"/>
      <c r="I892" s="103"/>
      <c r="J892" s="103"/>
      <c r="K892" s="103"/>
      <c r="L892" s="103"/>
      <c r="M892" s="103"/>
      <c r="N892" s="103"/>
      <c r="O892" s="103"/>
      <c r="P892" s="103"/>
      <c r="Q892" s="103"/>
      <c r="R892" s="103"/>
      <c r="S892" s="103"/>
      <c r="T892" s="103"/>
      <c r="U892" s="103"/>
      <c r="V892" s="103"/>
      <c r="W892" s="103"/>
      <c r="X892" s="103"/>
      <c r="Y892" s="157"/>
      <c r="Z892" s="157"/>
    </row>
    <row r="893" spans="1:26">
      <c r="A893" s="103"/>
      <c r="B893" s="103"/>
      <c r="C893" s="103"/>
      <c r="D893" s="103"/>
      <c r="E893" s="103"/>
      <c r="F893" s="103"/>
      <c r="G893" s="103"/>
      <c r="H893" s="103"/>
      <c r="I893" s="103"/>
      <c r="J893" s="103"/>
      <c r="K893" s="103"/>
      <c r="L893" s="103"/>
      <c r="M893" s="103"/>
      <c r="N893" s="103"/>
      <c r="O893" s="103"/>
      <c r="P893" s="103"/>
      <c r="Q893" s="103"/>
      <c r="R893" s="103"/>
      <c r="S893" s="103"/>
      <c r="T893" s="103"/>
      <c r="U893" s="103"/>
      <c r="V893" s="103"/>
      <c r="W893" s="103"/>
      <c r="X893" s="103"/>
      <c r="Y893" s="157"/>
      <c r="Z893" s="157"/>
    </row>
    <row r="894" spans="1:26">
      <c r="A894" s="103"/>
      <c r="B894" s="103"/>
      <c r="C894" s="103"/>
      <c r="D894" s="103"/>
      <c r="E894" s="103"/>
      <c r="F894" s="103"/>
      <c r="G894" s="103"/>
      <c r="H894" s="103"/>
      <c r="I894" s="103"/>
      <c r="J894" s="103"/>
      <c r="K894" s="103"/>
      <c r="L894" s="103"/>
      <c r="M894" s="103"/>
      <c r="N894" s="103"/>
      <c r="O894" s="103"/>
      <c r="P894" s="103"/>
      <c r="Q894" s="103"/>
      <c r="R894" s="103"/>
      <c r="S894" s="103"/>
      <c r="T894" s="103"/>
      <c r="U894" s="103"/>
      <c r="V894" s="103"/>
      <c r="W894" s="103"/>
      <c r="X894" s="103"/>
      <c r="Y894" s="157"/>
      <c r="Z894" s="157"/>
    </row>
    <row r="895" spans="1:26">
      <c r="A895" s="103"/>
      <c r="B895" s="103"/>
      <c r="C895" s="103"/>
      <c r="D895" s="103"/>
      <c r="E895" s="103"/>
      <c r="F895" s="103"/>
      <c r="G895" s="103"/>
      <c r="H895" s="103"/>
      <c r="I895" s="103"/>
      <c r="J895" s="103"/>
      <c r="K895" s="103"/>
      <c r="L895" s="103"/>
      <c r="M895" s="103"/>
      <c r="N895" s="103"/>
      <c r="O895" s="103"/>
      <c r="P895" s="103"/>
      <c r="Q895" s="103"/>
      <c r="R895" s="103"/>
      <c r="S895" s="103"/>
      <c r="T895" s="103"/>
      <c r="U895" s="103"/>
      <c r="V895" s="103"/>
      <c r="W895" s="103"/>
      <c r="X895" s="103"/>
      <c r="Y895" s="157"/>
      <c r="Z895" s="157"/>
    </row>
    <row r="896" spans="1:26">
      <c r="A896" s="103"/>
      <c r="B896" s="103"/>
      <c r="C896" s="103"/>
      <c r="D896" s="103"/>
      <c r="E896" s="103"/>
      <c r="F896" s="103"/>
      <c r="G896" s="103"/>
      <c r="H896" s="103"/>
      <c r="I896" s="103"/>
      <c r="J896" s="103"/>
      <c r="K896" s="103"/>
      <c r="L896" s="103"/>
      <c r="M896" s="103"/>
      <c r="N896" s="103"/>
      <c r="O896" s="103"/>
      <c r="P896" s="103"/>
      <c r="Q896" s="103"/>
      <c r="R896" s="103"/>
      <c r="S896" s="103"/>
      <c r="T896" s="103"/>
      <c r="U896" s="103"/>
      <c r="V896" s="103"/>
      <c r="W896" s="103"/>
      <c r="X896" s="103"/>
      <c r="Y896" s="157"/>
      <c r="Z896" s="157"/>
    </row>
    <row r="897" spans="1:26">
      <c r="A897" s="103"/>
      <c r="B897" s="103"/>
      <c r="C897" s="103"/>
      <c r="D897" s="103"/>
      <c r="E897" s="103"/>
      <c r="F897" s="103"/>
      <c r="G897" s="103"/>
      <c r="H897" s="103"/>
      <c r="I897" s="103"/>
      <c r="J897" s="103"/>
      <c r="K897" s="103"/>
      <c r="L897" s="103"/>
      <c r="M897" s="103"/>
      <c r="N897" s="103"/>
      <c r="O897" s="103"/>
      <c r="P897" s="103"/>
      <c r="Q897" s="103"/>
      <c r="R897" s="103"/>
      <c r="S897" s="103"/>
      <c r="T897" s="103"/>
      <c r="U897" s="103"/>
      <c r="V897" s="103"/>
      <c r="W897" s="103"/>
      <c r="X897" s="103"/>
      <c r="Y897" s="157"/>
      <c r="Z897" s="157"/>
    </row>
    <row r="898" spans="1:26">
      <c r="A898" s="103"/>
      <c r="B898" s="103"/>
      <c r="C898" s="103"/>
      <c r="D898" s="103"/>
      <c r="E898" s="103"/>
      <c r="F898" s="103"/>
      <c r="G898" s="103"/>
      <c r="H898" s="103"/>
      <c r="I898" s="103"/>
      <c r="J898" s="103"/>
      <c r="K898" s="103"/>
      <c r="L898" s="103"/>
      <c r="M898" s="103"/>
      <c r="N898" s="103"/>
      <c r="O898" s="103"/>
      <c r="P898" s="103"/>
      <c r="Q898" s="103"/>
      <c r="R898" s="103"/>
      <c r="S898" s="103"/>
      <c r="T898" s="103"/>
      <c r="U898" s="103"/>
      <c r="V898" s="103"/>
      <c r="W898" s="103"/>
      <c r="X898" s="103"/>
      <c r="Y898" s="157"/>
      <c r="Z898" s="157"/>
    </row>
    <row r="899" spans="1:26">
      <c r="A899" s="103"/>
      <c r="B899" s="103"/>
      <c r="C899" s="103"/>
      <c r="D899" s="103"/>
      <c r="E899" s="103"/>
      <c r="F899" s="103"/>
      <c r="G899" s="103"/>
      <c r="H899" s="103"/>
      <c r="I899" s="103"/>
      <c r="J899" s="103"/>
      <c r="K899" s="103"/>
      <c r="L899" s="103"/>
      <c r="M899" s="103"/>
      <c r="N899" s="103"/>
      <c r="O899" s="103"/>
      <c r="P899" s="103"/>
      <c r="Q899" s="103"/>
      <c r="R899" s="103"/>
      <c r="S899" s="103"/>
      <c r="T899" s="103"/>
      <c r="U899" s="103"/>
      <c r="V899" s="103"/>
      <c r="W899" s="103"/>
      <c r="X899" s="103"/>
      <c r="Y899" s="157"/>
      <c r="Z899" s="157"/>
    </row>
    <row r="900" spans="1:26">
      <c r="A900" s="103"/>
      <c r="B900" s="103"/>
      <c r="C900" s="103"/>
      <c r="D900" s="103"/>
      <c r="E900" s="103"/>
      <c r="F900" s="103"/>
      <c r="G900" s="103"/>
      <c r="H900" s="103"/>
      <c r="I900" s="103"/>
      <c r="J900" s="103"/>
      <c r="K900" s="103"/>
      <c r="L900" s="103"/>
      <c r="M900" s="103"/>
      <c r="N900" s="103"/>
      <c r="O900" s="103"/>
      <c r="P900" s="103"/>
      <c r="Q900" s="103"/>
      <c r="R900" s="103"/>
      <c r="S900" s="103"/>
      <c r="T900" s="103"/>
      <c r="U900" s="103"/>
      <c r="V900" s="103"/>
      <c r="W900" s="103"/>
      <c r="X900" s="103"/>
      <c r="Y900" s="157"/>
      <c r="Z900" s="157"/>
    </row>
    <row r="901" spans="1:26">
      <c r="A901" s="103"/>
      <c r="B901" s="103"/>
      <c r="C901" s="103"/>
      <c r="D901" s="103"/>
      <c r="E901" s="103"/>
      <c r="F901" s="103"/>
      <c r="G901" s="103"/>
      <c r="H901" s="103"/>
      <c r="I901" s="103"/>
      <c r="J901" s="103"/>
      <c r="K901" s="103"/>
      <c r="L901" s="103"/>
      <c r="M901" s="103"/>
      <c r="N901" s="103"/>
      <c r="O901" s="103"/>
      <c r="P901" s="103"/>
      <c r="Q901" s="103"/>
      <c r="R901" s="103"/>
      <c r="S901" s="103"/>
      <c r="T901" s="103"/>
      <c r="U901" s="103"/>
      <c r="V901" s="103"/>
      <c r="W901" s="103"/>
      <c r="X901" s="103"/>
      <c r="Y901" s="157"/>
      <c r="Z901" s="157"/>
    </row>
    <row r="902" spans="1:26">
      <c r="A902" s="103"/>
      <c r="B902" s="103"/>
      <c r="C902" s="103"/>
      <c r="D902" s="103"/>
      <c r="E902" s="103"/>
      <c r="F902" s="103"/>
      <c r="G902" s="103"/>
      <c r="H902" s="103"/>
      <c r="I902" s="103"/>
      <c r="J902" s="103"/>
      <c r="K902" s="103"/>
      <c r="L902" s="103"/>
      <c r="M902" s="103"/>
      <c r="N902" s="103"/>
      <c r="O902" s="103"/>
      <c r="P902" s="103"/>
      <c r="Q902" s="103"/>
      <c r="R902" s="103"/>
      <c r="S902" s="103"/>
      <c r="T902" s="103"/>
      <c r="U902" s="103"/>
      <c r="V902" s="103"/>
      <c r="W902" s="103"/>
      <c r="X902" s="103"/>
      <c r="Y902" s="157"/>
      <c r="Z902" s="157"/>
    </row>
    <row r="903" spans="1:26">
      <c r="A903" s="103"/>
      <c r="B903" s="103"/>
      <c r="C903" s="103"/>
      <c r="D903" s="103"/>
      <c r="E903" s="103"/>
      <c r="F903" s="103"/>
      <c r="G903" s="103"/>
      <c r="H903" s="103"/>
      <c r="I903" s="103"/>
      <c r="J903" s="103"/>
      <c r="K903" s="103"/>
      <c r="L903" s="103"/>
      <c r="M903" s="103"/>
      <c r="N903" s="103"/>
      <c r="O903" s="103"/>
      <c r="P903" s="103"/>
      <c r="Q903" s="103"/>
      <c r="R903" s="103"/>
      <c r="S903" s="103"/>
      <c r="T903" s="103"/>
      <c r="U903" s="103"/>
      <c r="V903" s="103"/>
      <c r="W903" s="103"/>
      <c r="X903" s="103"/>
      <c r="Y903" s="157"/>
      <c r="Z903" s="157"/>
    </row>
    <row r="904" spans="1:26">
      <c r="A904" s="103"/>
      <c r="B904" s="103"/>
      <c r="C904" s="103"/>
      <c r="D904" s="103"/>
      <c r="E904" s="103"/>
      <c r="F904" s="103"/>
      <c r="G904" s="103"/>
      <c r="H904" s="103"/>
      <c r="I904" s="103"/>
      <c r="J904" s="103"/>
      <c r="K904" s="103"/>
      <c r="L904" s="103"/>
      <c r="M904" s="103"/>
      <c r="N904" s="103"/>
      <c r="O904" s="103"/>
      <c r="P904" s="103"/>
      <c r="Q904" s="103"/>
      <c r="R904" s="103"/>
      <c r="S904" s="103"/>
      <c r="T904" s="103"/>
      <c r="U904" s="103"/>
      <c r="V904" s="103"/>
      <c r="W904" s="103"/>
      <c r="X904" s="103"/>
      <c r="Y904" s="157"/>
      <c r="Z904" s="157"/>
    </row>
    <row r="905" spans="1:26">
      <c r="A905" s="103"/>
      <c r="B905" s="103"/>
      <c r="C905" s="103"/>
      <c r="D905" s="103"/>
      <c r="E905" s="103"/>
      <c r="F905" s="103"/>
      <c r="G905" s="103"/>
      <c r="H905" s="103"/>
      <c r="I905" s="103"/>
      <c r="J905" s="103"/>
      <c r="K905" s="103"/>
      <c r="L905" s="103"/>
      <c r="M905" s="103"/>
      <c r="N905" s="103"/>
      <c r="O905" s="103"/>
      <c r="P905" s="103"/>
      <c r="Q905" s="103"/>
      <c r="R905" s="103"/>
      <c r="S905" s="103"/>
      <c r="T905" s="103"/>
      <c r="U905" s="103"/>
      <c r="V905" s="103"/>
      <c r="W905" s="103"/>
      <c r="X905" s="103"/>
      <c r="Y905" s="157"/>
      <c r="Z905" s="157"/>
    </row>
    <row r="906" spans="1:26">
      <c r="A906" s="103"/>
      <c r="B906" s="103"/>
      <c r="C906" s="103"/>
      <c r="D906" s="103"/>
      <c r="E906" s="103"/>
      <c r="F906" s="103"/>
      <c r="G906" s="103"/>
      <c r="H906" s="103"/>
      <c r="I906" s="103"/>
      <c r="J906" s="103"/>
      <c r="K906" s="103"/>
      <c r="L906" s="103"/>
      <c r="M906" s="103"/>
      <c r="N906" s="103"/>
      <c r="O906" s="103"/>
      <c r="P906" s="103"/>
      <c r="Q906" s="103"/>
      <c r="R906" s="103"/>
      <c r="S906" s="103"/>
      <c r="T906" s="103"/>
      <c r="U906" s="103"/>
      <c r="V906" s="103"/>
      <c r="W906" s="103"/>
      <c r="X906" s="103"/>
      <c r="Y906" s="157"/>
      <c r="Z906" s="157"/>
    </row>
    <row r="907" spans="1:26">
      <c r="A907" s="103"/>
      <c r="B907" s="103"/>
      <c r="C907" s="103"/>
      <c r="D907" s="103"/>
      <c r="E907" s="103"/>
      <c r="F907" s="103"/>
      <c r="G907" s="103"/>
      <c r="H907" s="103"/>
      <c r="I907" s="103"/>
      <c r="J907" s="103"/>
      <c r="K907" s="103"/>
      <c r="L907" s="103"/>
      <c r="M907" s="103"/>
      <c r="N907" s="103"/>
      <c r="O907" s="103"/>
      <c r="P907" s="103"/>
      <c r="Q907" s="103"/>
      <c r="R907" s="103"/>
      <c r="S907" s="103"/>
      <c r="T907" s="103"/>
      <c r="U907" s="103"/>
      <c r="V907" s="103"/>
      <c r="W907" s="103"/>
      <c r="X907" s="103"/>
      <c r="Y907" s="157"/>
      <c r="Z907" s="157"/>
    </row>
    <row r="908" spans="1:26">
      <c r="A908" s="103"/>
      <c r="B908" s="103"/>
      <c r="C908" s="103"/>
      <c r="D908" s="103"/>
      <c r="E908" s="103"/>
      <c r="F908" s="103"/>
      <c r="G908" s="103"/>
      <c r="H908" s="103"/>
      <c r="I908" s="103"/>
      <c r="J908" s="103"/>
      <c r="K908" s="103"/>
      <c r="L908" s="103"/>
      <c r="M908" s="103"/>
      <c r="N908" s="103"/>
      <c r="O908" s="103"/>
      <c r="P908" s="103"/>
      <c r="Q908" s="103"/>
      <c r="R908" s="103"/>
      <c r="S908" s="103"/>
      <c r="T908" s="103"/>
      <c r="U908" s="103"/>
      <c r="V908" s="103"/>
      <c r="W908" s="103"/>
      <c r="X908" s="103"/>
      <c r="Y908" s="157"/>
      <c r="Z908" s="157"/>
    </row>
    <row r="909" spans="1:26">
      <c r="A909" s="103"/>
      <c r="B909" s="103"/>
      <c r="C909" s="103"/>
      <c r="D909" s="103"/>
      <c r="E909" s="103"/>
      <c r="F909" s="103"/>
      <c r="G909" s="103"/>
      <c r="H909" s="103"/>
      <c r="I909" s="103"/>
      <c r="J909" s="103"/>
      <c r="K909" s="103"/>
      <c r="L909" s="103"/>
      <c r="M909" s="103"/>
      <c r="N909" s="103"/>
      <c r="O909" s="103"/>
      <c r="P909" s="103"/>
      <c r="Q909" s="103"/>
      <c r="R909" s="103"/>
      <c r="S909" s="103"/>
      <c r="T909" s="103"/>
      <c r="U909" s="103"/>
      <c r="V909" s="103"/>
      <c r="W909" s="103"/>
      <c r="X909" s="103"/>
      <c r="Y909" s="157"/>
      <c r="Z909" s="157"/>
    </row>
    <row r="910" spans="1:26">
      <c r="A910" s="103"/>
      <c r="B910" s="103"/>
      <c r="C910" s="103"/>
      <c r="D910" s="103"/>
      <c r="E910" s="103"/>
      <c r="F910" s="103"/>
      <c r="G910" s="103"/>
      <c r="H910" s="103"/>
      <c r="I910" s="103"/>
      <c r="J910" s="103"/>
      <c r="K910" s="103"/>
      <c r="L910" s="103"/>
      <c r="M910" s="103"/>
      <c r="N910" s="103"/>
      <c r="O910" s="103"/>
      <c r="P910" s="103"/>
      <c r="Q910" s="103"/>
      <c r="R910" s="103"/>
      <c r="S910" s="103"/>
      <c r="T910" s="103"/>
      <c r="U910" s="103"/>
      <c r="V910" s="103"/>
      <c r="W910" s="103"/>
      <c r="X910" s="103"/>
      <c r="Y910" s="157"/>
      <c r="Z910" s="157"/>
    </row>
    <row r="911" spans="1:26">
      <c r="A911" s="103"/>
      <c r="B911" s="103"/>
      <c r="C911" s="103"/>
      <c r="D911" s="103"/>
      <c r="E911" s="103"/>
      <c r="F911" s="103"/>
      <c r="G911" s="103"/>
      <c r="H911" s="103"/>
      <c r="I911" s="103"/>
      <c r="J911" s="103"/>
      <c r="K911" s="103"/>
      <c r="L911" s="103"/>
      <c r="M911" s="103"/>
      <c r="N911" s="103"/>
      <c r="O911" s="103"/>
      <c r="P911" s="103"/>
      <c r="Q911" s="103"/>
      <c r="R911" s="103"/>
      <c r="S911" s="103"/>
      <c r="T911" s="103"/>
      <c r="U911" s="103"/>
      <c r="V911" s="103"/>
      <c r="W911" s="103"/>
      <c r="X911" s="103"/>
      <c r="Y911" s="157"/>
      <c r="Z911" s="157"/>
    </row>
    <row r="912" spans="1:26">
      <c r="A912" s="103"/>
      <c r="B912" s="103"/>
      <c r="C912" s="103"/>
      <c r="D912" s="103"/>
      <c r="E912" s="103"/>
      <c r="F912" s="103"/>
      <c r="G912" s="103"/>
      <c r="H912" s="103"/>
      <c r="I912" s="103"/>
      <c r="J912" s="103"/>
      <c r="K912" s="103"/>
      <c r="L912" s="103"/>
      <c r="M912" s="103"/>
      <c r="N912" s="103"/>
      <c r="O912" s="103"/>
      <c r="P912" s="103"/>
      <c r="Q912" s="103"/>
      <c r="R912" s="103"/>
      <c r="S912" s="103"/>
      <c r="T912" s="103"/>
      <c r="U912" s="103"/>
      <c r="V912" s="103"/>
      <c r="W912" s="103"/>
      <c r="X912" s="103"/>
      <c r="Y912" s="157"/>
      <c r="Z912" s="157"/>
    </row>
    <row r="913" spans="1:26">
      <c r="A913" s="103"/>
      <c r="B913" s="103"/>
      <c r="C913" s="103"/>
      <c r="D913" s="103"/>
      <c r="E913" s="103"/>
      <c r="F913" s="103"/>
      <c r="G913" s="103"/>
      <c r="H913" s="103"/>
      <c r="I913" s="103"/>
      <c r="J913" s="103"/>
      <c r="K913" s="103"/>
      <c r="L913" s="103"/>
      <c r="M913" s="103"/>
      <c r="N913" s="103"/>
      <c r="O913" s="103"/>
      <c r="P913" s="103"/>
      <c r="Q913" s="103"/>
      <c r="R913" s="103"/>
      <c r="S913" s="103"/>
      <c r="T913" s="103"/>
      <c r="U913" s="103"/>
      <c r="V913" s="103"/>
      <c r="W913" s="103"/>
      <c r="X913" s="103"/>
      <c r="Y913" s="157"/>
      <c r="Z913" s="157"/>
    </row>
    <row r="914" spans="1:26">
      <c r="A914" s="103"/>
      <c r="B914" s="103"/>
      <c r="C914" s="103"/>
      <c r="D914" s="103"/>
      <c r="E914" s="103"/>
      <c r="F914" s="103"/>
      <c r="G914" s="103"/>
      <c r="H914" s="103"/>
      <c r="I914" s="103"/>
      <c r="J914" s="103"/>
      <c r="K914" s="103"/>
      <c r="L914" s="103"/>
      <c r="M914" s="103"/>
      <c r="N914" s="103"/>
      <c r="O914" s="103"/>
      <c r="P914" s="103"/>
      <c r="Q914" s="103"/>
      <c r="R914" s="103"/>
      <c r="S914" s="103"/>
      <c r="T914" s="103"/>
      <c r="U914" s="103"/>
      <c r="V914" s="103"/>
      <c r="W914" s="103"/>
      <c r="X914" s="103"/>
      <c r="Y914" s="157"/>
      <c r="Z914" s="157"/>
    </row>
    <row r="915" spans="1:26">
      <c r="A915" s="103"/>
      <c r="B915" s="103"/>
      <c r="C915" s="103"/>
      <c r="D915" s="103"/>
      <c r="E915" s="103"/>
      <c r="F915" s="103"/>
      <c r="G915" s="103"/>
      <c r="H915" s="103"/>
      <c r="I915" s="103"/>
      <c r="J915" s="103"/>
      <c r="K915" s="103"/>
      <c r="L915" s="103"/>
      <c r="M915" s="103"/>
      <c r="N915" s="103"/>
      <c r="O915" s="103"/>
      <c r="P915" s="103"/>
      <c r="Q915" s="103"/>
      <c r="R915" s="103"/>
      <c r="S915" s="103"/>
      <c r="T915" s="103"/>
      <c r="U915" s="103"/>
      <c r="V915" s="103"/>
      <c r="W915" s="103"/>
      <c r="X915" s="103"/>
      <c r="Y915" s="157"/>
      <c r="Z915" s="157"/>
    </row>
    <row r="916" spans="1:26">
      <c r="A916" s="103"/>
      <c r="B916" s="103"/>
      <c r="C916" s="103"/>
      <c r="D916" s="103"/>
      <c r="E916" s="103"/>
      <c r="F916" s="103"/>
      <c r="G916" s="103"/>
      <c r="H916" s="103"/>
      <c r="I916" s="103"/>
      <c r="J916" s="103"/>
      <c r="K916" s="103"/>
      <c r="L916" s="103"/>
      <c r="M916" s="103"/>
      <c r="N916" s="103"/>
      <c r="O916" s="103"/>
      <c r="P916" s="103"/>
      <c r="Q916" s="103"/>
      <c r="R916" s="103"/>
      <c r="S916" s="103"/>
      <c r="T916" s="103"/>
      <c r="U916" s="103"/>
      <c r="V916" s="103"/>
      <c r="W916" s="103"/>
      <c r="X916" s="103"/>
      <c r="Y916" s="157"/>
      <c r="Z916" s="157"/>
    </row>
    <row r="917" spans="1:26">
      <c r="A917" s="103"/>
      <c r="B917" s="103"/>
      <c r="C917" s="103"/>
      <c r="D917" s="103"/>
      <c r="E917" s="103"/>
      <c r="F917" s="103"/>
      <c r="G917" s="103"/>
      <c r="H917" s="103"/>
      <c r="I917" s="103"/>
      <c r="J917" s="103"/>
      <c r="K917" s="103"/>
      <c r="L917" s="103"/>
      <c r="M917" s="103"/>
      <c r="N917" s="103"/>
      <c r="O917" s="103"/>
      <c r="P917" s="103"/>
      <c r="Q917" s="103"/>
      <c r="R917" s="103"/>
      <c r="S917" s="103"/>
      <c r="T917" s="103"/>
      <c r="U917" s="103"/>
      <c r="V917" s="103"/>
      <c r="W917" s="103"/>
      <c r="X917" s="103"/>
      <c r="Y917" s="157"/>
      <c r="Z917" s="157"/>
    </row>
    <row r="918" spans="1:26">
      <c r="A918" s="103"/>
      <c r="B918" s="103"/>
      <c r="C918" s="103"/>
      <c r="D918" s="103"/>
      <c r="E918" s="103"/>
      <c r="F918" s="103"/>
      <c r="G918" s="103"/>
      <c r="H918" s="103"/>
      <c r="I918" s="103"/>
      <c r="J918" s="103"/>
      <c r="K918" s="103"/>
      <c r="L918" s="103"/>
      <c r="M918" s="103"/>
      <c r="N918" s="103"/>
      <c r="O918" s="103"/>
      <c r="P918" s="103"/>
      <c r="Q918" s="103"/>
      <c r="R918" s="103"/>
      <c r="S918" s="103"/>
      <c r="T918" s="103"/>
      <c r="U918" s="103"/>
      <c r="V918" s="103"/>
      <c r="W918" s="103"/>
      <c r="X918" s="103"/>
      <c r="Y918" s="157"/>
      <c r="Z918" s="157"/>
    </row>
    <row r="919" spans="1:26">
      <c r="A919" s="103"/>
      <c r="B919" s="103"/>
      <c r="C919" s="103"/>
      <c r="D919" s="103"/>
      <c r="E919" s="103"/>
      <c r="F919" s="103"/>
      <c r="G919" s="103"/>
      <c r="H919" s="103"/>
      <c r="I919" s="103"/>
      <c r="J919" s="103"/>
      <c r="K919" s="103"/>
      <c r="L919" s="103"/>
      <c r="M919" s="103"/>
      <c r="N919" s="103"/>
      <c r="O919" s="103"/>
      <c r="P919" s="103"/>
      <c r="Q919" s="103"/>
      <c r="R919" s="103"/>
      <c r="S919" s="103"/>
      <c r="T919" s="103"/>
      <c r="U919" s="103"/>
      <c r="V919" s="103"/>
      <c r="W919" s="103"/>
      <c r="X919" s="103"/>
      <c r="Y919" s="157"/>
      <c r="Z919" s="157"/>
    </row>
    <row r="920" spans="1:26">
      <c r="A920" s="103"/>
      <c r="B920" s="103"/>
      <c r="C920" s="103"/>
      <c r="D920" s="103"/>
      <c r="E920" s="103"/>
      <c r="F920" s="103"/>
      <c r="G920" s="103"/>
      <c r="H920" s="103"/>
      <c r="I920" s="103"/>
      <c r="J920" s="103"/>
      <c r="K920" s="103"/>
      <c r="L920" s="103"/>
      <c r="M920" s="103"/>
      <c r="N920" s="103"/>
      <c r="O920" s="103"/>
      <c r="P920" s="103"/>
      <c r="Q920" s="103"/>
      <c r="R920" s="103"/>
      <c r="S920" s="103"/>
      <c r="T920" s="103"/>
      <c r="U920" s="103"/>
      <c r="V920" s="103"/>
      <c r="W920" s="103"/>
      <c r="X920" s="103"/>
      <c r="Y920" s="157"/>
      <c r="Z920" s="157"/>
    </row>
    <row r="921" spans="1:26">
      <c r="A921" s="103"/>
      <c r="B921" s="103"/>
      <c r="C921" s="103"/>
      <c r="D921" s="103"/>
      <c r="E921" s="103"/>
      <c r="F921" s="103"/>
      <c r="G921" s="103"/>
      <c r="H921" s="103"/>
      <c r="I921" s="103"/>
      <c r="J921" s="103"/>
      <c r="K921" s="103"/>
      <c r="L921" s="103"/>
      <c r="M921" s="103"/>
      <c r="N921" s="103"/>
      <c r="O921" s="103"/>
      <c r="P921" s="103"/>
      <c r="Q921" s="103"/>
      <c r="R921" s="103"/>
      <c r="S921" s="103"/>
      <c r="T921" s="103"/>
      <c r="U921" s="103"/>
      <c r="V921" s="103"/>
      <c r="W921" s="103"/>
      <c r="X921" s="103"/>
      <c r="Y921" s="157"/>
      <c r="Z921" s="157"/>
    </row>
    <row r="922" spans="1:26">
      <c r="A922" s="103"/>
      <c r="B922" s="103"/>
      <c r="C922" s="103"/>
      <c r="D922" s="103"/>
      <c r="E922" s="103"/>
      <c r="F922" s="103"/>
      <c r="G922" s="103"/>
      <c r="H922" s="103"/>
      <c r="I922" s="103"/>
      <c r="J922" s="103"/>
      <c r="K922" s="103"/>
      <c r="L922" s="103"/>
      <c r="M922" s="103"/>
      <c r="N922" s="103"/>
      <c r="O922" s="103"/>
      <c r="P922" s="103"/>
      <c r="Q922" s="103"/>
      <c r="R922" s="103"/>
      <c r="S922" s="103"/>
      <c r="T922" s="103"/>
      <c r="U922" s="103"/>
      <c r="V922" s="103"/>
      <c r="W922" s="103"/>
      <c r="X922" s="103"/>
      <c r="Y922" s="157"/>
      <c r="Z922" s="157"/>
    </row>
    <row r="923" spans="1:26">
      <c r="A923" s="103"/>
      <c r="B923" s="103"/>
      <c r="C923" s="103"/>
      <c r="D923" s="103"/>
      <c r="E923" s="103"/>
      <c r="F923" s="103"/>
      <c r="G923" s="103"/>
      <c r="H923" s="103"/>
      <c r="I923" s="103"/>
      <c r="J923" s="103"/>
      <c r="K923" s="103"/>
      <c r="L923" s="103"/>
      <c r="M923" s="103"/>
      <c r="N923" s="103"/>
      <c r="O923" s="103"/>
      <c r="P923" s="103"/>
      <c r="Q923" s="103"/>
      <c r="R923" s="103"/>
      <c r="S923" s="103"/>
      <c r="T923" s="103"/>
      <c r="U923" s="103"/>
      <c r="V923" s="103"/>
      <c r="W923" s="103"/>
      <c r="X923" s="103"/>
      <c r="Y923" s="157"/>
      <c r="Z923" s="157"/>
    </row>
    <row r="924" spans="1:26">
      <c r="A924" s="103"/>
      <c r="B924" s="103"/>
      <c r="C924" s="103"/>
      <c r="D924" s="103"/>
      <c r="E924" s="103"/>
      <c r="F924" s="103"/>
      <c r="G924" s="103"/>
      <c r="H924" s="103"/>
      <c r="I924" s="103"/>
      <c r="J924" s="103"/>
      <c r="K924" s="103"/>
      <c r="L924" s="103"/>
      <c r="M924" s="103"/>
      <c r="N924" s="103"/>
      <c r="O924" s="103"/>
      <c r="P924" s="103"/>
      <c r="Q924" s="103"/>
      <c r="R924" s="103"/>
      <c r="S924" s="103"/>
      <c r="T924" s="103"/>
      <c r="U924" s="103"/>
      <c r="V924" s="103"/>
      <c r="W924" s="103"/>
      <c r="X924" s="103"/>
      <c r="Y924" s="157"/>
      <c r="Z924" s="157"/>
    </row>
    <row r="925" spans="1:26">
      <c r="A925" s="103"/>
      <c r="B925" s="103"/>
      <c r="C925" s="103"/>
      <c r="D925" s="103"/>
      <c r="E925" s="103"/>
      <c r="F925" s="103"/>
      <c r="G925" s="103"/>
      <c r="H925" s="103"/>
      <c r="I925" s="103"/>
      <c r="J925" s="103"/>
      <c r="K925" s="103"/>
      <c r="L925" s="103"/>
      <c r="M925" s="103"/>
      <c r="N925" s="103"/>
      <c r="O925" s="103"/>
      <c r="P925" s="103"/>
      <c r="Q925" s="103"/>
      <c r="R925" s="103"/>
      <c r="S925" s="103"/>
      <c r="T925" s="103"/>
      <c r="U925" s="103"/>
      <c r="V925" s="103"/>
      <c r="W925" s="103"/>
      <c r="X925" s="103"/>
      <c r="Y925" s="157"/>
      <c r="Z925" s="157"/>
    </row>
    <row r="926" spans="1:26">
      <c r="A926" s="103"/>
      <c r="B926" s="103"/>
      <c r="C926" s="103"/>
      <c r="D926" s="103"/>
      <c r="E926" s="103"/>
      <c r="F926" s="103"/>
      <c r="G926" s="103"/>
      <c r="H926" s="103"/>
      <c r="I926" s="103"/>
      <c r="J926" s="103"/>
      <c r="K926" s="103"/>
      <c r="L926" s="103"/>
      <c r="M926" s="103"/>
      <c r="N926" s="103"/>
      <c r="O926" s="103"/>
      <c r="P926" s="103"/>
      <c r="Q926" s="103"/>
      <c r="R926" s="103"/>
      <c r="S926" s="103"/>
      <c r="T926" s="103"/>
      <c r="U926" s="103"/>
      <c r="V926" s="103"/>
      <c r="W926" s="103"/>
      <c r="X926" s="103"/>
      <c r="Y926" s="157"/>
      <c r="Z926" s="157"/>
    </row>
    <row r="927" spans="1:26">
      <c r="A927" s="103"/>
      <c r="B927" s="103"/>
      <c r="C927" s="103"/>
      <c r="D927" s="103"/>
      <c r="E927" s="103"/>
      <c r="F927" s="103"/>
      <c r="G927" s="103"/>
      <c r="H927" s="103"/>
      <c r="I927" s="103"/>
      <c r="J927" s="103"/>
      <c r="K927" s="103"/>
      <c r="L927" s="103"/>
      <c r="M927" s="103"/>
      <c r="N927" s="103"/>
      <c r="O927" s="103"/>
      <c r="P927" s="103"/>
      <c r="Q927" s="103"/>
      <c r="R927" s="103"/>
      <c r="S927" s="103"/>
      <c r="T927" s="103"/>
      <c r="U927" s="103"/>
      <c r="V927" s="103"/>
      <c r="W927" s="103"/>
      <c r="X927" s="103"/>
      <c r="Y927" s="157"/>
      <c r="Z927" s="157"/>
    </row>
    <row r="928" spans="1:26">
      <c r="A928" s="103"/>
      <c r="B928" s="103"/>
      <c r="C928" s="103"/>
      <c r="D928" s="103"/>
      <c r="E928" s="103"/>
      <c r="F928" s="103"/>
      <c r="G928" s="103"/>
      <c r="H928" s="103"/>
      <c r="I928" s="103"/>
      <c r="J928" s="103"/>
      <c r="K928" s="103"/>
      <c r="L928" s="103"/>
      <c r="M928" s="103"/>
      <c r="N928" s="103"/>
      <c r="O928" s="103"/>
      <c r="P928" s="103"/>
      <c r="Q928" s="103"/>
      <c r="R928" s="103"/>
      <c r="S928" s="103"/>
      <c r="T928" s="103"/>
      <c r="U928" s="103"/>
      <c r="V928" s="103"/>
      <c r="W928" s="103"/>
      <c r="X928" s="103"/>
      <c r="Y928" s="157"/>
      <c r="Z928" s="157"/>
    </row>
    <row r="929" spans="1:26">
      <c r="A929" s="103"/>
      <c r="B929" s="103"/>
      <c r="C929" s="103"/>
      <c r="D929" s="103"/>
      <c r="E929" s="103"/>
      <c r="F929" s="103"/>
      <c r="G929" s="103"/>
      <c r="H929" s="103"/>
      <c r="I929" s="103"/>
      <c r="J929" s="103"/>
      <c r="K929" s="103"/>
      <c r="L929" s="103"/>
      <c r="M929" s="103"/>
      <c r="N929" s="103"/>
      <c r="O929" s="103"/>
      <c r="P929" s="103"/>
      <c r="Q929" s="103"/>
      <c r="R929" s="103"/>
      <c r="S929" s="103"/>
      <c r="T929" s="103"/>
      <c r="U929" s="103"/>
      <c r="V929" s="103"/>
      <c r="W929" s="103"/>
      <c r="X929" s="103"/>
      <c r="Y929" s="157"/>
      <c r="Z929" s="157"/>
    </row>
    <row r="930" spans="1:26">
      <c r="A930" s="103"/>
      <c r="B930" s="103"/>
      <c r="C930" s="103"/>
      <c r="D930" s="103"/>
      <c r="E930" s="103"/>
      <c r="F930" s="103"/>
      <c r="G930" s="103"/>
      <c r="H930" s="103"/>
      <c r="I930" s="103"/>
      <c r="J930" s="103"/>
      <c r="K930" s="103"/>
      <c r="L930" s="103"/>
      <c r="M930" s="103"/>
      <c r="N930" s="103"/>
      <c r="O930" s="103"/>
      <c r="P930" s="103"/>
      <c r="Q930" s="103"/>
      <c r="R930" s="103"/>
      <c r="S930" s="103"/>
      <c r="T930" s="103"/>
      <c r="U930" s="103"/>
      <c r="V930" s="103"/>
      <c r="W930" s="103"/>
      <c r="X930" s="103"/>
      <c r="Y930" s="157"/>
      <c r="Z930" s="157"/>
    </row>
    <row r="931" spans="1:26">
      <c r="A931" s="103"/>
      <c r="B931" s="103"/>
      <c r="C931" s="103"/>
      <c r="D931" s="103"/>
      <c r="E931" s="103"/>
      <c r="F931" s="103"/>
      <c r="G931" s="103"/>
      <c r="H931" s="103"/>
      <c r="I931" s="103"/>
      <c r="J931" s="103"/>
      <c r="K931" s="103"/>
      <c r="L931" s="103"/>
      <c r="M931" s="103"/>
      <c r="N931" s="103"/>
      <c r="O931" s="103"/>
      <c r="P931" s="103"/>
      <c r="Q931" s="103"/>
      <c r="R931" s="103"/>
      <c r="S931" s="103"/>
      <c r="T931" s="103"/>
      <c r="U931" s="103"/>
      <c r="V931" s="103"/>
      <c r="W931" s="103"/>
      <c r="X931" s="103"/>
      <c r="Y931" s="157"/>
      <c r="Z931" s="157"/>
    </row>
    <row r="932" spans="1:26">
      <c r="A932" s="103"/>
      <c r="B932" s="103"/>
      <c r="C932" s="103"/>
      <c r="D932" s="103"/>
      <c r="E932" s="103"/>
      <c r="F932" s="103"/>
      <c r="G932" s="103"/>
      <c r="H932" s="103"/>
      <c r="I932" s="103"/>
      <c r="J932" s="103"/>
      <c r="K932" s="103"/>
      <c r="L932" s="103"/>
      <c r="M932" s="103"/>
      <c r="N932" s="103"/>
      <c r="O932" s="103"/>
      <c r="P932" s="103"/>
      <c r="Q932" s="103"/>
      <c r="R932" s="103"/>
      <c r="S932" s="103"/>
      <c r="T932" s="103"/>
      <c r="U932" s="103"/>
      <c r="V932" s="103"/>
      <c r="W932" s="103"/>
      <c r="X932" s="103"/>
      <c r="Y932" s="157"/>
      <c r="Z932" s="157"/>
    </row>
    <row r="933" spans="1:26">
      <c r="A933" s="103"/>
      <c r="B933" s="103"/>
      <c r="C933" s="103"/>
      <c r="D933" s="103"/>
      <c r="E933" s="103"/>
      <c r="F933" s="103"/>
      <c r="G933" s="103"/>
      <c r="H933" s="103"/>
      <c r="I933" s="103"/>
      <c r="J933" s="103"/>
      <c r="K933" s="103"/>
      <c r="L933" s="103"/>
      <c r="M933" s="103"/>
      <c r="N933" s="103"/>
      <c r="O933" s="103"/>
      <c r="P933" s="103"/>
      <c r="Q933" s="103"/>
      <c r="R933" s="103"/>
      <c r="S933" s="103"/>
      <c r="T933" s="103"/>
      <c r="U933" s="103"/>
      <c r="V933" s="103"/>
      <c r="W933" s="103"/>
      <c r="X933" s="103"/>
      <c r="Y933" s="157"/>
      <c r="Z933" s="157"/>
    </row>
    <row r="934" spans="1:26">
      <c r="A934" s="103"/>
      <c r="B934" s="103"/>
      <c r="C934" s="103"/>
      <c r="D934" s="103"/>
      <c r="E934" s="103"/>
      <c r="F934" s="103"/>
      <c r="G934" s="103"/>
      <c r="H934" s="103"/>
      <c r="I934" s="103"/>
      <c r="J934" s="103"/>
      <c r="K934" s="103"/>
      <c r="L934" s="103"/>
      <c r="M934" s="103"/>
      <c r="N934" s="103"/>
      <c r="O934" s="103"/>
      <c r="P934" s="103"/>
      <c r="Q934" s="103"/>
      <c r="R934" s="103"/>
      <c r="S934" s="103"/>
      <c r="T934" s="103"/>
      <c r="U934" s="103"/>
      <c r="V934" s="103"/>
      <c r="W934" s="103"/>
      <c r="X934" s="103"/>
      <c r="Y934" s="157"/>
      <c r="Z934" s="157"/>
    </row>
    <row r="935" spans="1:26">
      <c r="A935" s="103"/>
      <c r="B935" s="103"/>
      <c r="C935" s="103"/>
      <c r="D935" s="103"/>
      <c r="E935" s="103"/>
      <c r="F935" s="103"/>
      <c r="G935" s="103"/>
      <c r="H935" s="103"/>
      <c r="I935" s="103"/>
      <c r="J935" s="103"/>
      <c r="K935" s="103"/>
      <c r="L935" s="103"/>
      <c r="M935" s="103"/>
      <c r="N935" s="103"/>
      <c r="O935" s="103"/>
      <c r="P935" s="103"/>
      <c r="Q935" s="103"/>
      <c r="R935" s="103"/>
      <c r="S935" s="103"/>
      <c r="T935" s="103"/>
      <c r="U935" s="103"/>
      <c r="V935" s="103"/>
      <c r="W935" s="103"/>
      <c r="X935" s="103"/>
      <c r="Y935" s="157"/>
      <c r="Z935" s="157"/>
    </row>
    <row r="936" spans="1:26">
      <c r="A936" s="103"/>
      <c r="B936" s="103"/>
      <c r="C936" s="103"/>
      <c r="D936" s="103"/>
      <c r="E936" s="103"/>
      <c r="F936" s="103"/>
      <c r="G936" s="103"/>
      <c r="H936" s="103"/>
      <c r="I936" s="103"/>
      <c r="J936" s="103"/>
      <c r="K936" s="103"/>
      <c r="L936" s="103"/>
      <c r="M936" s="103"/>
      <c r="N936" s="103"/>
      <c r="O936" s="103"/>
      <c r="P936" s="103"/>
      <c r="Q936" s="103"/>
      <c r="R936" s="103"/>
      <c r="S936" s="103"/>
      <c r="T936" s="103"/>
      <c r="U936" s="103"/>
      <c r="V936" s="103"/>
      <c r="W936" s="103"/>
      <c r="X936" s="103"/>
      <c r="Y936" s="157"/>
      <c r="Z936" s="157"/>
    </row>
    <row r="937" spans="1:26">
      <c r="A937" s="103"/>
      <c r="B937" s="103"/>
      <c r="C937" s="103"/>
      <c r="D937" s="103"/>
      <c r="E937" s="103"/>
      <c r="F937" s="103"/>
      <c r="G937" s="103"/>
      <c r="H937" s="103"/>
      <c r="I937" s="103"/>
      <c r="J937" s="103"/>
      <c r="K937" s="103"/>
      <c r="L937" s="103"/>
      <c r="M937" s="103"/>
      <c r="N937" s="103"/>
      <c r="O937" s="103"/>
      <c r="P937" s="103"/>
      <c r="Q937" s="103"/>
      <c r="R937" s="103"/>
      <c r="S937" s="103"/>
      <c r="T937" s="103"/>
      <c r="U937" s="103"/>
      <c r="V937" s="103"/>
      <c r="W937" s="103"/>
      <c r="X937" s="103"/>
      <c r="Y937" s="157"/>
      <c r="Z937" s="157"/>
    </row>
    <row r="938" spans="1:26">
      <c r="A938" s="103"/>
      <c r="B938" s="103"/>
      <c r="C938" s="103"/>
      <c r="D938" s="103"/>
      <c r="E938" s="103"/>
      <c r="F938" s="103"/>
      <c r="G938" s="103"/>
      <c r="H938" s="103"/>
      <c r="I938" s="103"/>
      <c r="J938" s="103"/>
      <c r="K938" s="103"/>
      <c r="L938" s="103"/>
      <c r="M938" s="103"/>
      <c r="N938" s="103"/>
      <c r="O938" s="103"/>
      <c r="P938" s="103"/>
      <c r="Q938" s="103"/>
      <c r="R938" s="103"/>
      <c r="S938" s="103"/>
      <c r="T938" s="103"/>
      <c r="U938" s="103"/>
      <c r="V938" s="103"/>
      <c r="W938" s="103"/>
      <c r="X938" s="103"/>
      <c r="Y938" s="157"/>
      <c r="Z938" s="157"/>
    </row>
    <row r="939" spans="1:26">
      <c r="A939" s="103"/>
      <c r="B939" s="103"/>
      <c r="C939" s="103"/>
      <c r="D939" s="103"/>
      <c r="E939" s="103"/>
      <c r="F939" s="103"/>
      <c r="G939" s="103"/>
      <c r="H939" s="103"/>
      <c r="I939" s="103"/>
      <c r="J939" s="103"/>
      <c r="K939" s="103"/>
      <c r="L939" s="103"/>
      <c r="M939" s="103"/>
      <c r="N939" s="103"/>
      <c r="O939" s="103"/>
      <c r="P939" s="103"/>
      <c r="Q939" s="103"/>
      <c r="R939" s="103"/>
      <c r="S939" s="103"/>
      <c r="T939" s="103"/>
      <c r="U939" s="103"/>
      <c r="V939" s="103"/>
      <c r="W939" s="103"/>
      <c r="X939" s="103"/>
      <c r="Y939" s="157"/>
      <c r="Z939" s="157"/>
    </row>
    <row r="940" spans="1:26">
      <c r="A940" s="103"/>
      <c r="B940" s="103"/>
      <c r="C940" s="103"/>
      <c r="D940" s="103"/>
      <c r="E940" s="103"/>
      <c r="F940" s="103"/>
      <c r="G940" s="103"/>
      <c r="H940" s="103"/>
      <c r="I940" s="103"/>
      <c r="J940" s="103"/>
      <c r="K940" s="103"/>
      <c r="L940" s="103"/>
      <c r="M940" s="103"/>
      <c r="N940" s="103"/>
      <c r="O940" s="103"/>
      <c r="P940" s="103"/>
      <c r="Q940" s="103"/>
      <c r="R940" s="103"/>
      <c r="S940" s="103"/>
      <c r="T940" s="103"/>
      <c r="U940" s="103"/>
      <c r="V940" s="103"/>
      <c r="W940" s="103"/>
      <c r="X940" s="103"/>
      <c r="Y940" s="157"/>
      <c r="Z940" s="157"/>
    </row>
    <row r="941" spans="1:26">
      <c r="A941" s="103"/>
      <c r="B941" s="103"/>
      <c r="C941" s="103"/>
      <c r="D941" s="103"/>
      <c r="E941" s="103"/>
      <c r="F941" s="103"/>
      <c r="G941" s="103"/>
      <c r="H941" s="103"/>
      <c r="I941" s="103"/>
      <c r="J941" s="103"/>
      <c r="K941" s="103"/>
      <c r="L941" s="103"/>
      <c r="M941" s="103"/>
      <c r="N941" s="103"/>
      <c r="O941" s="103"/>
      <c r="P941" s="103"/>
      <c r="Q941" s="103"/>
      <c r="R941" s="103"/>
      <c r="S941" s="103"/>
      <c r="T941" s="103"/>
      <c r="U941" s="103"/>
      <c r="V941" s="103"/>
      <c r="W941" s="103"/>
      <c r="X941" s="103"/>
      <c r="Y941" s="157"/>
      <c r="Z941" s="157"/>
    </row>
    <row r="942" spans="1:26">
      <c r="A942" s="103"/>
      <c r="B942" s="103"/>
      <c r="C942" s="103"/>
      <c r="D942" s="103"/>
      <c r="E942" s="103"/>
      <c r="F942" s="103"/>
      <c r="G942" s="103"/>
      <c r="H942" s="103"/>
      <c r="I942" s="103"/>
      <c r="J942" s="103"/>
      <c r="K942" s="103"/>
      <c r="L942" s="103"/>
      <c r="M942" s="103"/>
      <c r="N942" s="103"/>
      <c r="O942" s="103"/>
      <c r="P942" s="103"/>
      <c r="Q942" s="103"/>
      <c r="R942" s="103"/>
      <c r="S942" s="103"/>
      <c r="T942" s="103"/>
      <c r="U942" s="103"/>
      <c r="V942" s="103"/>
      <c r="W942" s="103"/>
      <c r="X942" s="103"/>
      <c r="Y942" s="157"/>
      <c r="Z942" s="157"/>
    </row>
    <row r="943" spans="1:26">
      <c r="A943" s="103"/>
      <c r="B943" s="103"/>
      <c r="C943" s="103"/>
      <c r="D943" s="103"/>
      <c r="E943" s="103"/>
      <c r="F943" s="103"/>
      <c r="G943" s="103"/>
      <c r="H943" s="103"/>
      <c r="I943" s="103"/>
      <c r="J943" s="103"/>
      <c r="K943" s="103"/>
      <c r="L943" s="103"/>
      <c r="M943" s="103"/>
      <c r="N943" s="103"/>
      <c r="O943" s="103"/>
      <c r="P943" s="103"/>
      <c r="Q943" s="103"/>
      <c r="R943" s="103"/>
      <c r="S943" s="103"/>
      <c r="T943" s="103"/>
      <c r="U943" s="103"/>
      <c r="V943" s="103"/>
      <c r="W943" s="103"/>
      <c r="X943" s="103"/>
      <c r="Y943" s="157"/>
      <c r="Z943" s="157"/>
    </row>
    <row r="944" spans="1:26">
      <c r="A944" s="103"/>
      <c r="B944" s="103"/>
      <c r="C944" s="103"/>
      <c r="D944" s="103"/>
      <c r="E944" s="103"/>
      <c r="F944" s="103"/>
      <c r="G944" s="103"/>
      <c r="H944" s="103"/>
      <c r="I944" s="103"/>
      <c r="J944" s="103"/>
      <c r="K944" s="103"/>
      <c r="L944" s="103"/>
      <c r="M944" s="103"/>
      <c r="N944" s="103"/>
      <c r="O944" s="103"/>
      <c r="P944" s="103"/>
      <c r="Q944" s="103"/>
      <c r="R944" s="103"/>
      <c r="S944" s="103"/>
      <c r="T944" s="103"/>
      <c r="U944" s="103"/>
      <c r="V944" s="103"/>
      <c r="W944" s="103"/>
      <c r="X944" s="103"/>
      <c r="Y944" s="157"/>
      <c r="Z944" s="157"/>
    </row>
    <row r="945" spans="1:26">
      <c r="A945" s="103"/>
      <c r="B945" s="103"/>
      <c r="C945" s="103"/>
      <c r="D945" s="103"/>
      <c r="E945" s="103"/>
      <c r="F945" s="103"/>
      <c r="G945" s="103"/>
      <c r="H945" s="103"/>
      <c r="I945" s="103"/>
      <c r="J945" s="103"/>
      <c r="K945" s="103"/>
      <c r="L945" s="103"/>
      <c r="M945" s="103"/>
      <c r="N945" s="103"/>
      <c r="O945" s="103"/>
      <c r="P945" s="103"/>
      <c r="Q945" s="103"/>
      <c r="R945" s="103"/>
      <c r="S945" s="103"/>
      <c r="T945" s="103"/>
      <c r="U945" s="103"/>
      <c r="V945" s="103"/>
      <c r="W945" s="103"/>
      <c r="X945" s="103"/>
      <c r="Y945" s="157"/>
      <c r="Z945" s="157"/>
    </row>
    <row r="946" spans="1:26">
      <c r="A946" s="103"/>
      <c r="B946" s="103"/>
      <c r="C946" s="103"/>
      <c r="D946" s="103"/>
      <c r="E946" s="103"/>
      <c r="F946" s="103"/>
      <c r="G946" s="103"/>
      <c r="H946" s="103"/>
      <c r="I946" s="103"/>
      <c r="J946" s="103"/>
      <c r="K946" s="103"/>
      <c r="L946" s="103"/>
      <c r="M946" s="103"/>
      <c r="N946" s="103"/>
      <c r="O946" s="103"/>
      <c r="P946" s="103"/>
      <c r="Q946" s="103"/>
      <c r="R946" s="103"/>
      <c r="S946" s="103"/>
      <c r="T946" s="103"/>
      <c r="U946" s="103"/>
      <c r="V946" s="103"/>
      <c r="W946" s="103"/>
      <c r="X946" s="103"/>
      <c r="Y946" s="157"/>
      <c r="Z946" s="157"/>
    </row>
    <row r="947" spans="1:26">
      <c r="A947" s="103"/>
      <c r="B947" s="103"/>
      <c r="C947" s="103"/>
      <c r="D947" s="103"/>
      <c r="E947" s="103"/>
      <c r="F947" s="103"/>
      <c r="G947" s="103"/>
      <c r="H947" s="103"/>
      <c r="I947" s="103"/>
      <c r="J947" s="103"/>
      <c r="K947" s="103"/>
      <c r="L947" s="103"/>
      <c r="M947" s="103"/>
      <c r="N947" s="103"/>
      <c r="O947" s="103"/>
      <c r="P947" s="103"/>
      <c r="Q947" s="103"/>
      <c r="R947" s="103"/>
      <c r="S947" s="103"/>
      <c r="T947" s="103"/>
      <c r="U947" s="103"/>
      <c r="V947" s="103"/>
      <c r="W947" s="103"/>
      <c r="X947" s="103"/>
      <c r="Y947" s="157"/>
      <c r="Z947" s="157"/>
    </row>
    <row r="948" spans="1:26">
      <c r="A948" s="103"/>
      <c r="B948" s="103"/>
      <c r="C948" s="103"/>
      <c r="D948" s="103"/>
      <c r="E948" s="103"/>
      <c r="F948" s="103"/>
      <c r="G948" s="103"/>
      <c r="H948" s="103"/>
      <c r="I948" s="103"/>
      <c r="J948" s="103"/>
      <c r="K948" s="103"/>
      <c r="L948" s="103"/>
      <c r="M948" s="103"/>
      <c r="N948" s="103"/>
      <c r="O948" s="103"/>
      <c r="P948" s="103"/>
      <c r="Q948" s="103"/>
      <c r="R948" s="103"/>
      <c r="S948" s="103"/>
      <c r="T948" s="103"/>
      <c r="U948" s="103"/>
      <c r="V948" s="103"/>
      <c r="W948" s="103"/>
      <c r="X948" s="103"/>
      <c r="Y948" s="157"/>
      <c r="Z948" s="157"/>
    </row>
    <row r="949" spans="1:26">
      <c r="A949" s="103"/>
      <c r="B949" s="103"/>
      <c r="C949" s="103"/>
      <c r="D949" s="103"/>
      <c r="E949" s="103"/>
      <c r="F949" s="103"/>
      <c r="G949" s="103"/>
      <c r="H949" s="103"/>
      <c r="I949" s="103"/>
      <c r="J949" s="103"/>
      <c r="K949" s="103"/>
      <c r="L949" s="103"/>
      <c r="M949" s="103"/>
      <c r="N949" s="103"/>
      <c r="O949" s="103"/>
      <c r="P949" s="103"/>
      <c r="Q949" s="103"/>
      <c r="R949" s="103"/>
      <c r="S949" s="103"/>
      <c r="T949" s="103"/>
      <c r="U949" s="103"/>
      <c r="V949" s="103"/>
      <c r="W949" s="103"/>
      <c r="X949" s="103"/>
      <c r="Y949" s="157"/>
      <c r="Z949" s="157"/>
    </row>
    <row r="950" spans="1:26">
      <c r="A950" s="103"/>
      <c r="B950" s="103"/>
      <c r="C950" s="103"/>
      <c r="D950" s="103"/>
      <c r="E950" s="103"/>
      <c r="F950" s="103"/>
      <c r="G950" s="103"/>
      <c r="H950" s="103"/>
      <c r="I950" s="103"/>
      <c r="J950" s="103"/>
      <c r="K950" s="103"/>
      <c r="L950" s="103"/>
      <c r="M950" s="103"/>
      <c r="N950" s="103"/>
      <c r="O950" s="103"/>
      <c r="P950" s="103"/>
      <c r="Q950" s="103"/>
      <c r="R950" s="103"/>
      <c r="S950" s="103"/>
      <c r="T950" s="103"/>
      <c r="U950" s="103"/>
      <c r="V950" s="103"/>
      <c r="W950" s="103"/>
      <c r="X950" s="103"/>
      <c r="Y950" s="157"/>
      <c r="Z950" s="157"/>
    </row>
    <row r="951" spans="1:26">
      <c r="A951" s="103"/>
      <c r="B951" s="103"/>
      <c r="C951" s="103"/>
      <c r="D951" s="103"/>
      <c r="E951" s="103"/>
      <c r="F951" s="103"/>
      <c r="G951" s="103"/>
      <c r="H951" s="103"/>
      <c r="I951" s="103"/>
      <c r="J951" s="103"/>
      <c r="K951" s="103"/>
      <c r="L951" s="103"/>
      <c r="M951" s="103"/>
      <c r="N951" s="103"/>
      <c r="O951" s="103"/>
      <c r="P951" s="103"/>
      <c r="Q951" s="103"/>
      <c r="R951" s="103"/>
      <c r="S951" s="103"/>
      <c r="T951" s="103"/>
      <c r="U951" s="103"/>
      <c r="V951" s="103"/>
      <c r="W951" s="103"/>
      <c r="X951" s="103"/>
      <c r="Y951" s="157"/>
      <c r="Z951" s="157"/>
    </row>
    <row r="952" spans="1:26">
      <c r="A952" s="103"/>
      <c r="B952" s="103"/>
      <c r="C952" s="103"/>
      <c r="D952" s="103"/>
      <c r="E952" s="103"/>
      <c r="F952" s="103"/>
      <c r="G952" s="103"/>
      <c r="H952" s="103"/>
      <c r="I952" s="103"/>
      <c r="J952" s="103"/>
      <c r="K952" s="103"/>
      <c r="L952" s="103"/>
      <c r="M952" s="103"/>
      <c r="N952" s="103"/>
      <c r="O952" s="103"/>
      <c r="P952" s="103"/>
      <c r="Q952" s="103"/>
      <c r="R952" s="103"/>
      <c r="S952" s="103"/>
      <c r="T952" s="103"/>
      <c r="U952" s="103"/>
      <c r="V952" s="103"/>
      <c r="W952" s="103"/>
      <c r="X952" s="103"/>
      <c r="Y952" s="157"/>
      <c r="Z952" s="157"/>
    </row>
    <row r="953" spans="1:26">
      <c r="A953" s="103"/>
      <c r="B953" s="103"/>
      <c r="C953" s="103"/>
      <c r="D953" s="103"/>
      <c r="E953" s="103"/>
      <c r="F953" s="103"/>
      <c r="G953" s="103"/>
      <c r="H953" s="103"/>
      <c r="I953" s="103"/>
      <c r="J953" s="103"/>
      <c r="K953" s="103"/>
      <c r="L953" s="103"/>
      <c r="M953" s="103"/>
      <c r="N953" s="103"/>
      <c r="O953" s="103"/>
      <c r="P953" s="103"/>
      <c r="Q953" s="103"/>
      <c r="R953" s="103"/>
      <c r="S953" s="103"/>
      <c r="T953" s="103"/>
      <c r="U953" s="103"/>
      <c r="V953" s="103"/>
      <c r="W953" s="103"/>
      <c r="X953" s="103"/>
      <c r="Y953" s="157"/>
      <c r="Z953" s="157"/>
    </row>
    <row r="954" spans="1:26">
      <c r="A954" s="103"/>
      <c r="B954" s="103"/>
      <c r="C954" s="103"/>
      <c r="D954" s="103"/>
      <c r="E954" s="103"/>
      <c r="F954" s="103"/>
      <c r="G954" s="103"/>
      <c r="H954" s="103"/>
      <c r="I954" s="103"/>
      <c r="J954" s="103"/>
      <c r="K954" s="103"/>
      <c r="L954" s="103"/>
      <c r="M954" s="103"/>
      <c r="N954" s="103"/>
      <c r="O954" s="103"/>
      <c r="P954" s="103"/>
      <c r="Q954" s="103"/>
      <c r="R954" s="103"/>
      <c r="S954" s="103"/>
      <c r="T954" s="103"/>
      <c r="U954" s="103"/>
      <c r="V954" s="103"/>
      <c r="W954" s="103"/>
      <c r="X954" s="103"/>
      <c r="Y954" s="157"/>
      <c r="Z954" s="157"/>
    </row>
    <row r="955" spans="1:26">
      <c r="A955" s="103"/>
      <c r="B955" s="103"/>
      <c r="C955" s="103"/>
      <c r="D955" s="103"/>
      <c r="E955" s="103"/>
      <c r="F955" s="103"/>
      <c r="G955" s="103"/>
      <c r="H955" s="103"/>
      <c r="I955" s="103"/>
      <c r="J955" s="103"/>
      <c r="K955" s="103"/>
      <c r="L955" s="103"/>
      <c r="M955" s="103"/>
      <c r="N955" s="103"/>
      <c r="O955" s="103"/>
      <c r="P955" s="103"/>
      <c r="Q955" s="103"/>
      <c r="R955" s="103"/>
      <c r="S955" s="103"/>
      <c r="T955" s="103"/>
      <c r="U955" s="103"/>
      <c r="V955" s="103"/>
      <c r="W955" s="103"/>
      <c r="X955" s="103"/>
      <c r="Y955" s="157"/>
      <c r="Z955" s="157"/>
    </row>
    <row r="956" spans="1:26">
      <c r="A956" s="103"/>
      <c r="B956" s="103"/>
      <c r="C956" s="103"/>
      <c r="D956" s="103"/>
      <c r="E956" s="103"/>
      <c r="F956" s="103"/>
      <c r="G956" s="103"/>
      <c r="H956" s="103"/>
      <c r="I956" s="103"/>
      <c r="J956" s="103"/>
      <c r="K956" s="103"/>
      <c r="L956" s="103"/>
      <c r="M956" s="103"/>
      <c r="N956" s="103"/>
      <c r="O956" s="103"/>
      <c r="P956" s="103"/>
      <c r="Q956" s="103"/>
      <c r="R956" s="103"/>
      <c r="S956" s="103"/>
      <c r="T956" s="103"/>
      <c r="U956" s="103"/>
      <c r="V956" s="103"/>
      <c r="W956" s="103"/>
      <c r="X956" s="103"/>
      <c r="Y956" s="157"/>
      <c r="Z956" s="157"/>
    </row>
    <row r="957" spans="1:26">
      <c r="A957" s="103"/>
      <c r="B957" s="103"/>
      <c r="C957" s="103"/>
      <c r="D957" s="103"/>
      <c r="E957" s="103"/>
      <c r="F957" s="103"/>
      <c r="G957" s="103"/>
      <c r="H957" s="103"/>
      <c r="I957" s="103"/>
      <c r="J957" s="103"/>
      <c r="K957" s="103"/>
      <c r="L957" s="103"/>
      <c r="M957" s="103"/>
      <c r="N957" s="103"/>
      <c r="O957" s="103"/>
      <c r="P957" s="103"/>
      <c r="Q957" s="103"/>
      <c r="R957" s="103"/>
      <c r="S957" s="103"/>
      <c r="T957" s="103"/>
      <c r="U957" s="103"/>
      <c r="V957" s="103"/>
      <c r="W957" s="103"/>
      <c r="X957" s="103"/>
      <c r="Y957" s="157"/>
      <c r="Z957" s="157"/>
    </row>
    <row r="958" spans="1:26">
      <c r="A958" s="103"/>
      <c r="B958" s="103"/>
      <c r="C958" s="103"/>
      <c r="D958" s="103"/>
      <c r="E958" s="103"/>
      <c r="F958" s="103"/>
      <c r="G958" s="103"/>
      <c r="H958" s="103"/>
      <c r="I958" s="103"/>
      <c r="J958" s="103"/>
      <c r="K958" s="103"/>
      <c r="L958" s="103"/>
      <c r="M958" s="103"/>
      <c r="N958" s="103"/>
      <c r="O958" s="103"/>
      <c r="P958" s="103"/>
      <c r="Q958" s="103"/>
      <c r="R958" s="103"/>
      <c r="S958" s="103"/>
      <c r="T958" s="103"/>
      <c r="U958" s="103"/>
      <c r="V958" s="103"/>
      <c r="W958" s="103"/>
      <c r="X958" s="103"/>
      <c r="Y958" s="157"/>
      <c r="Z958" s="157"/>
    </row>
    <row r="959" spans="1:26">
      <c r="A959" s="103"/>
      <c r="B959" s="103"/>
      <c r="C959" s="103"/>
      <c r="D959" s="103"/>
      <c r="E959" s="103"/>
      <c r="F959" s="103"/>
      <c r="G959" s="103"/>
      <c r="H959" s="103"/>
      <c r="I959" s="103"/>
      <c r="J959" s="103"/>
      <c r="K959" s="103"/>
      <c r="L959" s="103"/>
      <c r="M959" s="103"/>
      <c r="N959" s="103"/>
      <c r="O959" s="103"/>
      <c r="P959" s="103"/>
      <c r="Q959" s="103"/>
      <c r="R959" s="103"/>
      <c r="S959" s="103"/>
      <c r="T959" s="103"/>
      <c r="U959" s="103"/>
      <c r="V959" s="103"/>
      <c r="W959" s="103"/>
      <c r="X959" s="103"/>
      <c r="Y959" s="157"/>
      <c r="Z959" s="157"/>
    </row>
    <row r="960" spans="1:26">
      <c r="A960" s="103"/>
      <c r="B960" s="103"/>
      <c r="C960" s="103"/>
      <c r="D960" s="103"/>
      <c r="E960" s="103"/>
      <c r="F960" s="103"/>
      <c r="G960" s="103"/>
      <c r="H960" s="103"/>
      <c r="I960" s="103"/>
      <c r="J960" s="103"/>
      <c r="K960" s="103"/>
      <c r="L960" s="103"/>
      <c r="M960" s="103"/>
      <c r="N960" s="103"/>
      <c r="O960" s="103"/>
      <c r="P960" s="103"/>
      <c r="Q960" s="103"/>
      <c r="R960" s="103"/>
      <c r="S960" s="103"/>
      <c r="T960" s="103"/>
      <c r="U960" s="103"/>
      <c r="V960" s="103"/>
      <c r="W960" s="103"/>
      <c r="X960" s="103"/>
      <c r="Y960" s="157"/>
      <c r="Z960" s="157"/>
    </row>
    <row r="961" spans="1:26">
      <c r="A961" s="103"/>
      <c r="B961" s="103"/>
      <c r="C961" s="103"/>
      <c r="D961" s="103"/>
      <c r="E961" s="103"/>
      <c r="F961" s="103"/>
      <c r="G961" s="103"/>
      <c r="H961" s="103"/>
      <c r="I961" s="103"/>
      <c r="J961" s="103"/>
      <c r="K961" s="103"/>
      <c r="L961" s="103"/>
      <c r="M961" s="103"/>
      <c r="N961" s="103"/>
      <c r="O961" s="103"/>
      <c r="P961" s="103"/>
      <c r="Q961" s="103"/>
      <c r="R961" s="103"/>
      <c r="S961" s="103"/>
      <c r="T961" s="103"/>
      <c r="U961" s="103"/>
      <c r="V961" s="103"/>
      <c r="W961" s="103"/>
      <c r="X961" s="103"/>
      <c r="Y961" s="157"/>
      <c r="Z961" s="157"/>
    </row>
    <row r="962" spans="1:26">
      <c r="A962" s="103"/>
      <c r="B962" s="103"/>
      <c r="C962" s="103"/>
      <c r="D962" s="103"/>
      <c r="E962" s="103"/>
      <c r="F962" s="103"/>
      <c r="G962" s="103"/>
      <c r="H962" s="103"/>
      <c r="I962" s="103"/>
      <c r="J962" s="103"/>
      <c r="K962" s="103"/>
      <c r="L962" s="103"/>
      <c r="M962" s="103"/>
      <c r="N962" s="103"/>
      <c r="O962" s="103"/>
      <c r="P962" s="103"/>
      <c r="Q962" s="103"/>
      <c r="R962" s="103"/>
      <c r="S962" s="103"/>
      <c r="T962" s="103"/>
      <c r="U962" s="103"/>
      <c r="V962" s="103"/>
      <c r="W962" s="103"/>
      <c r="X962" s="103"/>
      <c r="Y962" s="157"/>
      <c r="Z962" s="157"/>
    </row>
    <row r="963" spans="1:26">
      <c r="A963" s="103"/>
      <c r="B963" s="103"/>
      <c r="C963" s="103"/>
      <c r="D963" s="103"/>
      <c r="E963" s="103"/>
      <c r="F963" s="103"/>
      <c r="G963" s="103"/>
      <c r="H963" s="103"/>
      <c r="I963" s="103"/>
      <c r="J963" s="103"/>
      <c r="K963" s="103"/>
      <c r="L963" s="103"/>
      <c r="M963" s="103"/>
      <c r="N963" s="103"/>
      <c r="O963" s="103"/>
      <c r="P963" s="103"/>
      <c r="Q963" s="103"/>
      <c r="R963" s="103"/>
      <c r="S963" s="103"/>
      <c r="T963" s="103"/>
      <c r="U963" s="103"/>
      <c r="V963" s="103"/>
      <c r="W963" s="103"/>
      <c r="X963" s="103"/>
      <c r="Y963" s="157"/>
      <c r="Z963" s="157"/>
    </row>
    <row r="964" spans="1:26">
      <c r="A964" s="103"/>
      <c r="B964" s="103"/>
      <c r="C964" s="103"/>
      <c r="D964" s="103"/>
      <c r="E964" s="103"/>
      <c r="F964" s="103"/>
      <c r="G964" s="103"/>
      <c r="H964" s="103"/>
      <c r="I964" s="103"/>
      <c r="J964" s="103"/>
      <c r="K964" s="103"/>
      <c r="L964" s="103"/>
      <c r="M964" s="103"/>
      <c r="N964" s="103"/>
      <c r="O964" s="103"/>
      <c r="P964" s="103"/>
      <c r="Q964" s="103"/>
      <c r="R964" s="103"/>
      <c r="S964" s="103"/>
      <c r="T964" s="103"/>
      <c r="U964" s="103"/>
      <c r="V964" s="103"/>
      <c r="W964" s="103"/>
      <c r="X964" s="103"/>
      <c r="Y964" s="157"/>
      <c r="Z964" s="157"/>
    </row>
    <row r="965" spans="1:26">
      <c r="A965" s="103"/>
      <c r="B965" s="103"/>
      <c r="C965" s="103"/>
      <c r="D965" s="103"/>
      <c r="E965" s="103"/>
      <c r="F965" s="103"/>
      <c r="G965" s="103"/>
      <c r="H965" s="103"/>
      <c r="I965" s="103"/>
      <c r="J965" s="103"/>
      <c r="K965" s="103"/>
      <c r="L965" s="103"/>
      <c r="M965" s="103"/>
      <c r="N965" s="103"/>
      <c r="O965" s="103"/>
      <c r="P965" s="103"/>
      <c r="Q965" s="103"/>
      <c r="R965" s="103"/>
      <c r="S965" s="103"/>
      <c r="T965" s="103"/>
      <c r="U965" s="103"/>
      <c r="V965" s="103"/>
      <c r="W965" s="103"/>
      <c r="X965" s="103"/>
      <c r="Y965" s="157"/>
      <c r="Z965" s="157"/>
    </row>
    <row r="966" spans="1:26">
      <c r="A966" s="103"/>
      <c r="B966" s="103"/>
      <c r="C966" s="103"/>
      <c r="D966" s="103"/>
      <c r="E966" s="103"/>
      <c r="F966" s="103"/>
      <c r="G966" s="103"/>
      <c r="H966" s="103"/>
      <c r="I966" s="103"/>
      <c r="J966" s="103"/>
      <c r="K966" s="103"/>
      <c r="L966" s="103"/>
      <c r="M966" s="103"/>
      <c r="N966" s="103"/>
      <c r="O966" s="103"/>
      <c r="P966" s="103"/>
      <c r="Q966" s="103"/>
      <c r="R966" s="103"/>
      <c r="S966" s="103"/>
      <c r="T966" s="103"/>
      <c r="U966" s="103"/>
      <c r="V966" s="103"/>
      <c r="W966" s="103"/>
      <c r="X966" s="103"/>
      <c r="Y966" s="157"/>
      <c r="Z966" s="157"/>
    </row>
    <row r="967" spans="1:26">
      <c r="A967" s="103"/>
      <c r="B967" s="103"/>
      <c r="C967" s="103"/>
      <c r="D967" s="103"/>
      <c r="E967" s="103"/>
      <c r="F967" s="103"/>
      <c r="G967" s="103"/>
      <c r="H967" s="103"/>
      <c r="I967" s="103"/>
      <c r="J967" s="103"/>
      <c r="K967" s="103"/>
      <c r="L967" s="103"/>
      <c r="M967" s="103"/>
      <c r="N967" s="103"/>
      <c r="O967" s="103"/>
      <c r="P967" s="103"/>
      <c r="Q967" s="103"/>
      <c r="R967" s="103"/>
      <c r="S967" s="103"/>
      <c r="T967" s="103"/>
      <c r="U967" s="103"/>
      <c r="V967" s="103"/>
      <c r="W967" s="103"/>
      <c r="X967" s="103"/>
      <c r="Y967" s="157"/>
      <c r="Z967" s="157"/>
    </row>
    <row r="968" spans="1:26">
      <c r="A968" s="103"/>
      <c r="B968" s="103"/>
      <c r="C968" s="103"/>
      <c r="D968" s="103"/>
      <c r="E968" s="103"/>
      <c r="F968" s="103"/>
      <c r="G968" s="103"/>
      <c r="H968" s="103"/>
      <c r="I968" s="103"/>
      <c r="J968" s="103"/>
      <c r="K968" s="103"/>
      <c r="L968" s="103"/>
      <c r="M968" s="103"/>
      <c r="N968" s="103"/>
      <c r="O968" s="103"/>
      <c r="P968" s="103"/>
      <c r="Q968" s="103"/>
      <c r="R968" s="103"/>
      <c r="S968" s="103"/>
      <c r="T968" s="103"/>
      <c r="U968" s="103"/>
      <c r="V968" s="103"/>
      <c r="W968" s="103"/>
      <c r="X968" s="103"/>
      <c r="Y968" s="157"/>
      <c r="Z968" s="157"/>
    </row>
    <row r="969" spans="1:26">
      <c r="A969" s="103"/>
      <c r="B969" s="103"/>
      <c r="C969" s="103"/>
      <c r="D969" s="103"/>
      <c r="E969" s="103"/>
      <c r="F969" s="103"/>
      <c r="G969" s="103"/>
      <c r="H969" s="103"/>
      <c r="I969" s="103"/>
      <c r="J969" s="103"/>
      <c r="K969" s="103"/>
      <c r="L969" s="103"/>
      <c r="M969" s="103"/>
      <c r="N969" s="103"/>
      <c r="O969" s="103"/>
      <c r="P969" s="103"/>
      <c r="Q969" s="103"/>
      <c r="R969" s="103"/>
      <c r="S969" s="103"/>
      <c r="T969" s="103"/>
      <c r="U969" s="103"/>
      <c r="V969" s="103"/>
      <c r="W969" s="103"/>
      <c r="X969" s="103"/>
      <c r="Y969" s="157"/>
      <c r="Z969" s="157"/>
    </row>
    <row r="970" spans="1:26">
      <c r="A970" s="103"/>
      <c r="B970" s="103"/>
      <c r="C970" s="103"/>
      <c r="D970" s="103"/>
      <c r="E970" s="103"/>
      <c r="F970" s="103"/>
      <c r="G970" s="103"/>
      <c r="H970" s="103"/>
      <c r="I970" s="103"/>
      <c r="J970" s="103"/>
      <c r="K970" s="103"/>
      <c r="L970" s="103"/>
      <c r="M970" s="103"/>
      <c r="N970" s="103"/>
      <c r="O970" s="103"/>
      <c r="P970" s="103"/>
      <c r="Q970" s="103"/>
      <c r="R970" s="103"/>
      <c r="S970" s="103"/>
      <c r="T970" s="103"/>
      <c r="U970" s="103"/>
      <c r="V970" s="103"/>
      <c r="W970" s="103"/>
      <c r="X970" s="103"/>
      <c r="Y970" s="157"/>
      <c r="Z970" s="157"/>
    </row>
    <row r="971" spans="1:26">
      <c r="A971" s="103"/>
      <c r="B971" s="103"/>
      <c r="C971" s="103"/>
      <c r="D971" s="103"/>
      <c r="E971" s="103"/>
      <c r="F971" s="103"/>
      <c r="G971" s="103"/>
      <c r="H971" s="103"/>
      <c r="I971" s="103"/>
      <c r="J971" s="103"/>
      <c r="K971" s="103"/>
      <c r="L971" s="103"/>
      <c r="M971" s="103"/>
      <c r="N971" s="103"/>
      <c r="O971" s="103"/>
      <c r="P971" s="103"/>
      <c r="Q971" s="103"/>
      <c r="R971" s="103"/>
      <c r="S971" s="103"/>
      <c r="T971" s="103"/>
      <c r="U971" s="103"/>
      <c r="V971" s="103"/>
      <c r="W971" s="103"/>
      <c r="X971" s="103"/>
      <c r="Y971" s="157"/>
      <c r="Z971" s="157"/>
    </row>
    <row r="972" spans="1:26">
      <c r="A972" s="103"/>
      <c r="B972" s="103"/>
      <c r="C972" s="103"/>
      <c r="D972" s="103"/>
      <c r="E972" s="103"/>
      <c r="F972" s="103"/>
      <c r="G972" s="103"/>
      <c r="H972" s="103"/>
      <c r="I972" s="103"/>
      <c r="J972" s="103"/>
      <c r="K972" s="103"/>
      <c r="L972" s="103"/>
      <c r="M972" s="103"/>
      <c r="N972" s="103"/>
      <c r="O972" s="103"/>
      <c r="P972" s="103"/>
      <c r="Q972" s="103"/>
      <c r="R972" s="103"/>
      <c r="S972" s="103"/>
      <c r="T972" s="103"/>
      <c r="U972" s="103"/>
      <c r="V972" s="103"/>
      <c r="W972" s="103"/>
      <c r="X972" s="103"/>
      <c r="Y972" s="157"/>
      <c r="Z972" s="157"/>
    </row>
    <row r="973" spans="1:26">
      <c r="A973" s="103"/>
      <c r="B973" s="103"/>
      <c r="C973" s="103"/>
      <c r="D973" s="103"/>
      <c r="E973" s="103"/>
      <c r="F973" s="103"/>
      <c r="G973" s="103"/>
      <c r="H973" s="103"/>
      <c r="I973" s="103"/>
      <c r="J973" s="103"/>
      <c r="K973" s="103"/>
      <c r="L973" s="103"/>
      <c r="M973" s="103"/>
      <c r="N973" s="103"/>
      <c r="O973" s="103"/>
      <c r="P973" s="103"/>
      <c r="Q973" s="103"/>
      <c r="R973" s="103"/>
      <c r="S973" s="103"/>
      <c r="T973" s="103"/>
      <c r="U973" s="103"/>
      <c r="V973" s="103"/>
      <c r="W973" s="103"/>
      <c r="X973" s="103"/>
      <c r="Y973" s="157"/>
      <c r="Z973" s="157"/>
    </row>
    <row r="974" spans="1:26">
      <c r="A974" s="103"/>
      <c r="B974" s="103"/>
      <c r="C974" s="103"/>
      <c r="D974" s="103"/>
      <c r="E974" s="103"/>
      <c r="F974" s="103"/>
      <c r="G974" s="103"/>
      <c r="H974" s="103"/>
      <c r="I974" s="103"/>
      <c r="J974" s="103"/>
      <c r="K974" s="103"/>
      <c r="L974" s="103"/>
      <c r="M974" s="103"/>
      <c r="N974" s="103"/>
      <c r="O974" s="103"/>
      <c r="P974" s="103"/>
      <c r="Q974" s="103"/>
      <c r="R974" s="103"/>
      <c r="S974" s="103"/>
      <c r="T974" s="103"/>
      <c r="U974" s="103"/>
      <c r="V974" s="103"/>
      <c r="W974" s="103"/>
      <c r="X974" s="103"/>
      <c r="Y974" s="157"/>
      <c r="Z974" s="157"/>
    </row>
    <row r="975" spans="1:26">
      <c r="A975" s="103"/>
      <c r="B975" s="103"/>
      <c r="C975" s="103"/>
      <c r="D975" s="103"/>
      <c r="E975" s="103"/>
      <c r="F975" s="103"/>
      <c r="G975" s="103"/>
      <c r="H975" s="103"/>
      <c r="I975" s="103"/>
      <c r="J975" s="103"/>
      <c r="K975" s="103"/>
      <c r="L975" s="103"/>
      <c r="M975" s="103"/>
      <c r="N975" s="103"/>
      <c r="O975" s="103"/>
      <c r="P975" s="103"/>
      <c r="Q975" s="103"/>
      <c r="R975" s="103"/>
      <c r="S975" s="103"/>
      <c r="T975" s="103"/>
      <c r="U975" s="103"/>
      <c r="V975" s="103"/>
      <c r="W975" s="103"/>
      <c r="X975" s="103"/>
      <c r="Y975" s="157"/>
      <c r="Z975" s="157"/>
    </row>
    <row r="976" spans="1:26">
      <c r="A976" s="103"/>
      <c r="B976" s="103"/>
      <c r="C976" s="103"/>
      <c r="D976" s="103"/>
      <c r="E976" s="103"/>
      <c r="F976" s="103"/>
      <c r="G976" s="103"/>
      <c r="H976" s="103"/>
      <c r="I976" s="103"/>
      <c r="J976" s="103"/>
      <c r="K976" s="103"/>
      <c r="L976" s="103"/>
      <c r="M976" s="103"/>
      <c r="N976" s="103"/>
      <c r="O976" s="103"/>
      <c r="P976" s="103"/>
      <c r="Q976" s="103"/>
      <c r="R976" s="103"/>
      <c r="S976" s="103"/>
      <c r="T976" s="103"/>
      <c r="U976" s="103"/>
      <c r="V976" s="103"/>
      <c r="W976" s="103"/>
      <c r="X976" s="103"/>
      <c r="Y976" s="157"/>
      <c r="Z976" s="157"/>
    </row>
    <row r="977" spans="1:26">
      <c r="A977" s="103"/>
      <c r="B977" s="103"/>
      <c r="C977" s="103"/>
      <c r="D977" s="103"/>
      <c r="E977" s="103"/>
      <c r="F977" s="103"/>
      <c r="G977" s="103"/>
      <c r="H977" s="103"/>
      <c r="I977" s="103"/>
      <c r="J977" s="103"/>
      <c r="K977" s="103"/>
      <c r="L977" s="103"/>
      <c r="M977" s="103"/>
      <c r="N977" s="103"/>
      <c r="O977" s="103"/>
      <c r="P977" s="103"/>
      <c r="Q977" s="103"/>
      <c r="R977" s="103"/>
      <c r="S977" s="103"/>
      <c r="T977" s="103"/>
      <c r="U977" s="103"/>
      <c r="V977" s="103"/>
      <c r="W977" s="103"/>
      <c r="X977" s="103"/>
      <c r="Y977" s="157"/>
      <c r="Z977" s="157"/>
    </row>
    <row r="978" spans="1:26">
      <c r="A978" s="103"/>
      <c r="B978" s="103"/>
      <c r="C978" s="103"/>
      <c r="D978" s="103"/>
      <c r="E978" s="103"/>
      <c r="F978" s="103"/>
      <c r="G978" s="103"/>
      <c r="H978" s="103"/>
      <c r="I978" s="103"/>
      <c r="J978" s="103"/>
      <c r="K978" s="103"/>
      <c r="L978" s="103"/>
      <c r="M978" s="103"/>
      <c r="N978" s="103"/>
      <c r="O978" s="103"/>
      <c r="P978" s="103"/>
      <c r="Q978" s="103"/>
      <c r="R978" s="103"/>
      <c r="S978" s="103"/>
      <c r="T978" s="103"/>
      <c r="U978" s="103"/>
      <c r="V978" s="103"/>
      <c r="W978" s="103"/>
      <c r="X978" s="103"/>
      <c r="Y978" s="157"/>
      <c r="Z978" s="157"/>
    </row>
    <row r="979" spans="1:26">
      <c r="A979" s="103"/>
      <c r="B979" s="103"/>
      <c r="C979" s="103"/>
      <c r="D979" s="103"/>
      <c r="E979" s="103"/>
      <c r="F979" s="103"/>
      <c r="G979" s="103"/>
      <c r="H979" s="103"/>
      <c r="I979" s="103"/>
      <c r="J979" s="103"/>
      <c r="K979" s="103"/>
      <c r="L979" s="103"/>
      <c r="M979" s="103"/>
      <c r="N979" s="103"/>
      <c r="O979" s="103"/>
      <c r="P979" s="103"/>
      <c r="Q979" s="103"/>
      <c r="R979" s="103"/>
      <c r="S979" s="103"/>
      <c r="T979" s="103"/>
      <c r="U979" s="103"/>
      <c r="V979" s="103"/>
      <c r="W979" s="103"/>
      <c r="X979" s="103"/>
      <c r="Y979" s="157"/>
      <c r="Z979" s="157"/>
    </row>
    <row r="980" spans="1:26">
      <c r="A980" s="103"/>
      <c r="B980" s="103"/>
      <c r="C980" s="103"/>
      <c r="D980" s="103"/>
      <c r="E980" s="103"/>
      <c r="F980" s="103"/>
      <c r="G980" s="103"/>
      <c r="H980" s="103"/>
      <c r="I980" s="103"/>
      <c r="J980" s="103"/>
      <c r="K980" s="103"/>
      <c r="L980" s="103"/>
      <c r="M980" s="103"/>
      <c r="N980" s="103"/>
      <c r="O980" s="103"/>
      <c r="P980" s="103"/>
      <c r="Q980" s="103"/>
      <c r="R980" s="103"/>
      <c r="S980" s="103"/>
      <c r="T980" s="103"/>
      <c r="U980" s="103"/>
      <c r="V980" s="103"/>
      <c r="W980" s="103"/>
      <c r="X980" s="103"/>
      <c r="Y980" s="157"/>
      <c r="Z980" s="157"/>
    </row>
    <row r="981" spans="1:26">
      <c r="A981" s="103"/>
      <c r="B981" s="103"/>
      <c r="C981" s="103"/>
      <c r="D981" s="103"/>
      <c r="E981" s="103"/>
      <c r="F981" s="103"/>
      <c r="G981" s="103"/>
      <c r="H981" s="103"/>
      <c r="I981" s="103"/>
      <c r="J981" s="103"/>
      <c r="K981" s="103"/>
      <c r="L981" s="103"/>
      <c r="M981" s="103"/>
      <c r="N981" s="103"/>
      <c r="O981" s="103"/>
      <c r="P981" s="103"/>
      <c r="Q981" s="103"/>
      <c r="R981" s="103"/>
      <c r="S981" s="103"/>
      <c r="T981" s="103"/>
      <c r="U981" s="103"/>
      <c r="V981" s="103"/>
      <c r="W981" s="103"/>
      <c r="X981" s="103"/>
      <c r="Y981" s="157"/>
      <c r="Z981" s="157"/>
    </row>
    <row r="982" spans="1:26">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spans="1:26">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spans="1:26">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spans="1:26">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spans="1:2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spans="1:26">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spans="1:26">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spans="1:26">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spans="1:26">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spans="1:26">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spans="1:26">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spans="1:26">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spans="1:26">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row r="995" spans="1:26">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row>
    <row r="996" spans="1:26">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row>
    <row r="997" spans="1:26">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row>
    <row r="998" spans="1:26">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row>
    <row r="999" spans="1:26">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row>
    <row r="1000" spans="1:26">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83"/>
  <sheetViews>
    <sheetView workbookViewId="0"/>
  </sheetViews>
  <sheetFormatPr defaultColWidth="12.5703125" defaultRowHeight="15.75" customHeight="1"/>
  <cols>
    <col min="1" max="1" width="28.42578125" customWidth="1"/>
    <col min="2" max="2" width="97.5703125" customWidth="1"/>
    <col min="3" max="3" width="26.85546875" customWidth="1"/>
    <col min="4" max="26" width="28.42578125" customWidth="1"/>
  </cols>
  <sheetData>
    <row r="1" spans="1:26" ht="15.75" customHeight="1">
      <c r="A1" s="292" t="s">
        <v>2554</v>
      </c>
      <c r="B1" s="293"/>
      <c r="C1" s="213" t="s">
        <v>2555</v>
      </c>
      <c r="D1" s="214">
        <v>43826</v>
      </c>
      <c r="E1" s="8"/>
      <c r="F1" s="8"/>
      <c r="G1" s="8"/>
      <c r="H1" s="8"/>
      <c r="I1" s="8"/>
      <c r="J1" s="8"/>
      <c r="K1" s="8"/>
      <c r="L1" s="8"/>
      <c r="M1" s="8"/>
      <c r="N1" s="8"/>
      <c r="O1" s="8"/>
      <c r="P1" s="8"/>
      <c r="Q1" s="8"/>
      <c r="R1" s="8"/>
      <c r="S1" s="8"/>
      <c r="T1" s="8"/>
      <c r="U1" s="8"/>
      <c r="V1" s="8"/>
      <c r="W1" s="8"/>
      <c r="X1" s="8"/>
      <c r="Y1" s="8"/>
      <c r="Z1" s="8"/>
    </row>
    <row r="2" spans="1:26" ht="15.75" customHeight="1">
      <c r="A2" s="294"/>
      <c r="B2" s="295"/>
      <c r="C2" s="215" t="s">
        <v>2556</v>
      </c>
      <c r="D2" s="216">
        <v>44926</v>
      </c>
      <c r="E2" s="8"/>
      <c r="F2" s="8"/>
      <c r="G2" s="8"/>
      <c r="H2" s="8"/>
      <c r="I2" s="8"/>
      <c r="J2" s="8"/>
      <c r="K2" s="8"/>
      <c r="L2" s="8"/>
      <c r="M2" s="8"/>
      <c r="N2" s="8"/>
      <c r="O2" s="8"/>
      <c r="P2" s="8"/>
      <c r="Q2" s="8"/>
      <c r="R2" s="8"/>
      <c r="S2" s="8"/>
      <c r="T2" s="8"/>
      <c r="U2" s="8"/>
      <c r="V2" s="8"/>
      <c r="W2" s="8"/>
      <c r="X2" s="8"/>
      <c r="Y2" s="8"/>
      <c r="Z2" s="8"/>
    </row>
    <row r="3" spans="1:26" ht="15.75" customHeight="1">
      <c r="A3" s="294"/>
      <c r="B3" s="295"/>
      <c r="C3" s="215" t="s">
        <v>2557</v>
      </c>
      <c r="D3" s="217">
        <v>45107</v>
      </c>
      <c r="E3" s="8"/>
      <c r="F3" s="8"/>
      <c r="G3" s="8"/>
      <c r="H3" s="8"/>
      <c r="I3" s="8"/>
      <c r="J3" s="8"/>
      <c r="K3" s="8"/>
      <c r="L3" s="8"/>
      <c r="M3" s="8"/>
      <c r="N3" s="8"/>
      <c r="O3" s="8"/>
      <c r="P3" s="8"/>
      <c r="Q3" s="8"/>
      <c r="R3" s="8"/>
      <c r="S3" s="8"/>
      <c r="T3" s="8"/>
      <c r="U3" s="8"/>
      <c r="V3" s="8"/>
      <c r="W3" s="8"/>
      <c r="X3" s="8"/>
      <c r="Y3" s="8"/>
      <c r="Z3" s="8"/>
    </row>
    <row r="4" spans="1:26" ht="15.75" customHeight="1">
      <c r="A4" s="294"/>
      <c r="B4" s="295"/>
      <c r="C4" s="215" t="s">
        <v>2558</v>
      </c>
      <c r="D4" s="215" t="s">
        <v>2559</v>
      </c>
      <c r="E4" s="8"/>
      <c r="F4" s="8"/>
      <c r="G4" s="8"/>
      <c r="H4" s="8"/>
      <c r="I4" s="8"/>
      <c r="J4" s="8"/>
      <c r="K4" s="8"/>
      <c r="L4" s="8"/>
      <c r="M4" s="8"/>
      <c r="N4" s="8"/>
      <c r="O4" s="8"/>
      <c r="P4" s="8"/>
      <c r="Q4" s="8"/>
      <c r="R4" s="8"/>
      <c r="S4" s="8"/>
      <c r="T4" s="8"/>
      <c r="U4" s="8"/>
      <c r="V4" s="8"/>
      <c r="W4" s="8"/>
      <c r="X4" s="8"/>
      <c r="Y4" s="8"/>
      <c r="Z4" s="8"/>
    </row>
    <row r="5" spans="1:26" ht="15.75" customHeight="1">
      <c r="A5" s="294"/>
      <c r="B5" s="295"/>
      <c r="C5" s="215" t="s">
        <v>2560</v>
      </c>
      <c r="D5" s="215" t="s">
        <v>2561</v>
      </c>
      <c r="E5" s="8"/>
      <c r="F5" s="8"/>
      <c r="G5" s="8"/>
      <c r="H5" s="8"/>
      <c r="I5" s="8"/>
      <c r="J5" s="8"/>
      <c r="K5" s="8"/>
      <c r="L5" s="8"/>
      <c r="M5" s="8"/>
      <c r="N5" s="8"/>
      <c r="O5" s="8"/>
      <c r="P5" s="8"/>
      <c r="Q5" s="8"/>
      <c r="R5" s="8"/>
      <c r="S5" s="8"/>
      <c r="T5" s="8"/>
      <c r="U5" s="8"/>
      <c r="V5" s="8"/>
      <c r="W5" s="8"/>
      <c r="X5" s="8"/>
      <c r="Y5" s="8"/>
      <c r="Z5" s="8"/>
    </row>
    <row r="6" spans="1:26" ht="15.75" customHeight="1">
      <c r="A6" s="296"/>
      <c r="B6" s="291"/>
      <c r="C6" s="215" t="s">
        <v>2562</v>
      </c>
      <c r="D6" s="215" t="s">
        <v>2563</v>
      </c>
      <c r="E6" s="218"/>
      <c r="F6" s="8"/>
      <c r="G6" s="8"/>
      <c r="H6" s="8"/>
      <c r="I6" s="8"/>
      <c r="J6" s="8"/>
      <c r="K6" s="8"/>
      <c r="L6" s="8"/>
      <c r="M6" s="8"/>
      <c r="N6" s="8"/>
      <c r="O6" s="8"/>
      <c r="P6" s="8"/>
      <c r="Q6" s="8"/>
      <c r="R6" s="8"/>
      <c r="S6" s="8"/>
      <c r="T6" s="8"/>
      <c r="U6" s="8"/>
      <c r="V6" s="8"/>
      <c r="W6" s="8"/>
      <c r="X6" s="8"/>
      <c r="Y6" s="8"/>
      <c r="Z6" s="8"/>
    </row>
    <row r="7" spans="1:26" ht="15.75" customHeight="1">
      <c r="A7" s="219" t="s">
        <v>2564</v>
      </c>
      <c r="B7" s="220" t="s">
        <v>2565</v>
      </c>
      <c r="C7" s="220" t="s">
        <v>2566</v>
      </c>
      <c r="D7" s="220" t="s">
        <v>2560</v>
      </c>
      <c r="E7" s="220" t="s">
        <v>15</v>
      </c>
      <c r="F7" s="297" t="s">
        <v>2567</v>
      </c>
      <c r="G7" s="8"/>
      <c r="H7" s="8"/>
      <c r="I7" s="8"/>
      <c r="J7" s="8"/>
      <c r="K7" s="8"/>
      <c r="L7" s="8"/>
      <c r="M7" s="8"/>
      <c r="N7" s="8"/>
      <c r="O7" s="8"/>
      <c r="P7" s="8"/>
      <c r="Q7" s="8"/>
      <c r="R7" s="8"/>
      <c r="S7" s="8"/>
      <c r="T7" s="8"/>
      <c r="U7" s="8"/>
      <c r="V7" s="8"/>
      <c r="W7" s="8"/>
      <c r="X7" s="8"/>
      <c r="Y7" s="8"/>
      <c r="Z7" s="8"/>
    </row>
    <row r="8" spans="1:26" ht="15.75" customHeight="1">
      <c r="A8" s="221" t="s">
        <v>2568</v>
      </c>
      <c r="B8" s="222" t="s">
        <v>2569</v>
      </c>
      <c r="C8" s="223" t="s">
        <v>2570</v>
      </c>
      <c r="D8" s="11"/>
      <c r="E8" s="224" t="s">
        <v>2571</v>
      </c>
      <c r="F8" s="298"/>
      <c r="G8" s="8"/>
      <c r="H8" s="8"/>
      <c r="I8" s="8"/>
      <c r="J8" s="8"/>
      <c r="K8" s="8"/>
      <c r="L8" s="8"/>
      <c r="M8" s="8"/>
      <c r="N8" s="8"/>
      <c r="O8" s="8"/>
      <c r="P8" s="8"/>
      <c r="Q8" s="8"/>
      <c r="R8" s="8"/>
      <c r="S8" s="8"/>
      <c r="T8" s="8"/>
      <c r="U8" s="8"/>
      <c r="V8" s="8"/>
      <c r="W8" s="8"/>
      <c r="X8" s="8"/>
      <c r="Y8" s="8"/>
      <c r="Z8" s="8"/>
    </row>
    <row r="9" spans="1:26" ht="15.75" customHeight="1">
      <c r="A9" s="221" t="s">
        <v>2572</v>
      </c>
      <c r="B9" s="222" t="s">
        <v>2573</v>
      </c>
      <c r="C9" s="223" t="s">
        <v>2574</v>
      </c>
      <c r="D9" s="223" t="s">
        <v>2575</v>
      </c>
      <c r="E9" s="224" t="s">
        <v>2576</v>
      </c>
      <c r="F9" s="298"/>
      <c r="G9" s="8"/>
      <c r="H9" s="8"/>
      <c r="I9" s="8"/>
      <c r="J9" s="8"/>
      <c r="K9" s="8"/>
      <c r="L9" s="8"/>
      <c r="M9" s="8"/>
      <c r="N9" s="8"/>
      <c r="O9" s="8"/>
      <c r="P9" s="8"/>
      <c r="Q9" s="8"/>
      <c r="R9" s="8"/>
      <c r="S9" s="8"/>
      <c r="T9" s="8"/>
      <c r="U9" s="8"/>
      <c r="V9" s="8"/>
      <c r="W9" s="8"/>
      <c r="X9" s="8"/>
      <c r="Y9" s="8"/>
      <c r="Z9" s="8"/>
    </row>
    <row r="10" spans="1:26" ht="15.75" customHeight="1">
      <c r="A10" s="221" t="s">
        <v>2577</v>
      </c>
      <c r="B10" s="222" t="s">
        <v>2578</v>
      </c>
      <c r="C10" s="11"/>
      <c r="D10" s="11"/>
      <c r="E10" s="222" t="s">
        <v>2579</v>
      </c>
      <c r="F10" s="298"/>
      <c r="G10" s="8"/>
      <c r="H10" s="8"/>
      <c r="I10" s="8"/>
      <c r="J10" s="8"/>
      <c r="K10" s="8"/>
      <c r="L10" s="8"/>
      <c r="M10" s="8"/>
      <c r="N10" s="8"/>
      <c r="O10" s="8"/>
      <c r="P10" s="8"/>
      <c r="Q10" s="8"/>
      <c r="R10" s="8"/>
      <c r="S10" s="8"/>
      <c r="T10" s="8"/>
      <c r="U10" s="8"/>
      <c r="V10" s="8"/>
      <c r="W10" s="8"/>
      <c r="X10" s="8"/>
      <c r="Y10" s="8"/>
      <c r="Z10" s="8"/>
    </row>
    <row r="11" spans="1:26" ht="15.75" customHeight="1">
      <c r="A11" s="221" t="s">
        <v>2580</v>
      </c>
      <c r="B11" s="225" t="s">
        <v>2581</v>
      </c>
      <c r="C11" s="226" t="s">
        <v>2582</v>
      </c>
      <c r="D11" s="11"/>
      <c r="E11" s="11"/>
      <c r="F11" s="298"/>
      <c r="G11" s="8"/>
      <c r="H11" s="8"/>
      <c r="I11" s="8"/>
      <c r="J11" s="8"/>
      <c r="K11" s="8"/>
      <c r="L11" s="8"/>
      <c r="M11" s="8"/>
      <c r="N11" s="8"/>
      <c r="O11" s="8"/>
      <c r="P11" s="8"/>
      <c r="Q11" s="8"/>
      <c r="R11" s="8"/>
      <c r="S11" s="8"/>
      <c r="T11" s="8"/>
      <c r="U11" s="8"/>
      <c r="V11" s="8"/>
      <c r="W11" s="8"/>
      <c r="X11" s="8"/>
      <c r="Y11" s="8"/>
      <c r="Z11" s="8"/>
    </row>
    <row r="12" spans="1:26" ht="15.75" customHeight="1">
      <c r="A12" s="221" t="s">
        <v>1606</v>
      </c>
      <c r="B12" s="222" t="s">
        <v>2583</v>
      </c>
      <c r="C12" s="223" t="s">
        <v>2584</v>
      </c>
      <c r="D12" s="223" t="s">
        <v>2108</v>
      </c>
      <c r="E12" s="224" t="s">
        <v>2585</v>
      </c>
      <c r="F12" s="298"/>
      <c r="G12" s="8"/>
      <c r="H12" s="8"/>
      <c r="I12" s="8"/>
      <c r="J12" s="8"/>
      <c r="K12" s="8"/>
      <c r="L12" s="8"/>
      <c r="M12" s="8"/>
      <c r="N12" s="8"/>
      <c r="O12" s="8"/>
      <c r="P12" s="8"/>
      <c r="Q12" s="8"/>
      <c r="R12" s="8"/>
      <c r="S12" s="8"/>
      <c r="T12" s="8"/>
      <c r="U12" s="8"/>
      <c r="V12" s="8"/>
      <c r="W12" s="8"/>
      <c r="X12" s="8"/>
      <c r="Y12" s="8"/>
      <c r="Z12" s="8"/>
    </row>
    <row r="13" spans="1:26" ht="15.75" customHeight="1">
      <c r="A13" s="221" t="s">
        <v>1613</v>
      </c>
      <c r="B13" s="222" t="s">
        <v>2586</v>
      </c>
      <c r="C13" s="223" t="s">
        <v>1615</v>
      </c>
      <c r="D13" s="223" t="s">
        <v>1615</v>
      </c>
      <c r="E13" s="224" t="s">
        <v>2587</v>
      </c>
      <c r="F13" s="298"/>
      <c r="G13" s="8"/>
      <c r="H13" s="8"/>
      <c r="I13" s="8"/>
      <c r="J13" s="8"/>
      <c r="K13" s="8"/>
      <c r="L13" s="8"/>
      <c r="M13" s="8"/>
      <c r="N13" s="8"/>
      <c r="O13" s="8"/>
      <c r="P13" s="8"/>
      <c r="Q13" s="8"/>
      <c r="R13" s="8"/>
      <c r="S13" s="8"/>
      <c r="T13" s="8"/>
      <c r="U13" s="8"/>
      <c r="V13" s="8"/>
      <c r="W13" s="8"/>
      <c r="X13" s="8"/>
      <c r="Y13" s="8"/>
      <c r="Z13" s="8"/>
    </row>
    <row r="14" spans="1:26">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c r="A18" s="218"/>
      <c r="B18" s="218"/>
      <c r="C18" s="218"/>
      <c r="D18" s="218"/>
      <c r="E18" s="8"/>
      <c r="F18" s="8"/>
      <c r="G18" s="8"/>
      <c r="H18" s="8"/>
      <c r="I18" s="8"/>
      <c r="J18" s="8"/>
      <c r="K18" s="8"/>
      <c r="L18" s="8"/>
      <c r="M18" s="8"/>
      <c r="N18" s="8"/>
      <c r="O18" s="8"/>
      <c r="P18" s="8"/>
      <c r="Q18" s="8"/>
      <c r="R18" s="8"/>
      <c r="S18" s="8"/>
      <c r="T18" s="8"/>
      <c r="U18" s="8"/>
      <c r="V18" s="8"/>
      <c r="W18" s="8"/>
      <c r="X18" s="8"/>
      <c r="Y18" s="8"/>
      <c r="Z18" s="8"/>
    </row>
    <row r="19" spans="1:26" ht="15.75" customHeight="1">
      <c r="A19" s="299" t="s">
        <v>2588</v>
      </c>
      <c r="B19" s="295"/>
      <c r="C19" s="215" t="s">
        <v>2555</v>
      </c>
      <c r="D19" s="216">
        <v>44194</v>
      </c>
      <c r="E19" s="8"/>
      <c r="F19" s="8"/>
      <c r="G19" s="8"/>
      <c r="H19" s="8"/>
      <c r="I19" s="8"/>
      <c r="J19" s="8"/>
      <c r="K19" s="8"/>
      <c r="L19" s="8"/>
      <c r="M19" s="8"/>
      <c r="N19" s="8"/>
      <c r="O19" s="8"/>
      <c r="P19" s="8"/>
      <c r="Q19" s="8"/>
      <c r="R19" s="8"/>
      <c r="S19" s="8"/>
      <c r="T19" s="8"/>
      <c r="U19" s="8"/>
      <c r="V19" s="8"/>
      <c r="W19" s="8"/>
      <c r="X19" s="8"/>
      <c r="Y19" s="8"/>
      <c r="Z19" s="8"/>
    </row>
    <row r="20" spans="1:26" ht="15.75" customHeight="1">
      <c r="A20" s="294"/>
      <c r="B20" s="295"/>
      <c r="C20" s="215" t="s">
        <v>2556</v>
      </c>
      <c r="D20" s="217">
        <v>44834</v>
      </c>
      <c r="E20" s="8"/>
      <c r="F20" s="8"/>
      <c r="G20" s="8"/>
      <c r="H20" s="8"/>
      <c r="I20" s="8"/>
      <c r="J20" s="8"/>
      <c r="K20" s="8"/>
      <c r="L20" s="8"/>
      <c r="M20" s="8"/>
      <c r="N20" s="8"/>
      <c r="O20" s="8"/>
      <c r="P20" s="8"/>
      <c r="Q20" s="8"/>
      <c r="R20" s="8"/>
      <c r="S20" s="8"/>
      <c r="T20" s="8"/>
      <c r="U20" s="8"/>
      <c r="V20" s="8"/>
      <c r="W20" s="8"/>
      <c r="X20" s="8"/>
      <c r="Y20" s="8"/>
      <c r="Z20" s="8"/>
    </row>
    <row r="21" spans="1:26" ht="15.75" customHeight="1">
      <c r="A21" s="294"/>
      <c r="B21" s="295"/>
      <c r="C21" s="215" t="s">
        <v>2557</v>
      </c>
      <c r="D21" s="217">
        <v>45565</v>
      </c>
      <c r="E21" s="8"/>
      <c r="F21" s="8"/>
      <c r="G21" s="8"/>
      <c r="H21" s="8"/>
      <c r="I21" s="8"/>
      <c r="J21" s="8"/>
      <c r="K21" s="8"/>
      <c r="L21" s="8"/>
      <c r="M21" s="8"/>
      <c r="N21" s="8"/>
      <c r="O21" s="8"/>
      <c r="P21" s="8"/>
      <c r="Q21" s="8"/>
      <c r="R21" s="8"/>
      <c r="S21" s="8"/>
      <c r="T21" s="8"/>
      <c r="U21" s="8"/>
      <c r="V21" s="8"/>
      <c r="W21" s="8"/>
      <c r="X21" s="8"/>
      <c r="Y21" s="8"/>
      <c r="Z21" s="8"/>
    </row>
    <row r="22" spans="1:26" ht="15.75" customHeight="1">
      <c r="A22" s="294"/>
      <c r="B22" s="295"/>
      <c r="C22" s="215" t="s">
        <v>2558</v>
      </c>
      <c r="D22" s="215" t="s">
        <v>2589</v>
      </c>
      <c r="E22" s="8"/>
      <c r="F22" s="8"/>
      <c r="G22" s="8"/>
      <c r="H22" s="8"/>
      <c r="I22" s="8"/>
      <c r="J22" s="8"/>
      <c r="K22" s="8"/>
      <c r="L22" s="8"/>
      <c r="M22" s="8"/>
      <c r="N22" s="8"/>
      <c r="O22" s="8"/>
      <c r="P22" s="8"/>
      <c r="Q22" s="8"/>
      <c r="R22" s="8"/>
      <c r="S22" s="8"/>
      <c r="T22" s="8"/>
      <c r="U22" s="8"/>
      <c r="V22" s="8"/>
      <c r="W22" s="8"/>
      <c r="X22" s="8"/>
      <c r="Y22" s="8"/>
      <c r="Z22" s="8"/>
    </row>
    <row r="23" spans="1:26" ht="15.75" customHeight="1">
      <c r="A23" s="294"/>
      <c r="B23" s="295"/>
      <c r="C23" s="215" t="s">
        <v>2560</v>
      </c>
      <c r="D23" s="215" t="s">
        <v>2590</v>
      </c>
      <c r="E23" s="227"/>
      <c r="F23" s="227"/>
      <c r="G23" s="8"/>
      <c r="H23" s="8"/>
      <c r="I23" s="8"/>
      <c r="J23" s="8"/>
      <c r="K23" s="8"/>
      <c r="L23" s="8"/>
      <c r="M23" s="8"/>
      <c r="N23" s="8"/>
      <c r="O23" s="8"/>
      <c r="P23" s="8"/>
      <c r="Q23" s="8"/>
      <c r="R23" s="8"/>
      <c r="S23" s="8"/>
      <c r="T23" s="8"/>
      <c r="U23" s="8"/>
      <c r="V23" s="8"/>
      <c r="W23" s="8"/>
      <c r="X23" s="8"/>
      <c r="Y23" s="8"/>
      <c r="Z23" s="8"/>
    </row>
    <row r="24" spans="1:26" ht="15.75" customHeight="1">
      <c r="A24" s="296"/>
      <c r="B24" s="291"/>
      <c r="C24" s="215" t="s">
        <v>2562</v>
      </c>
      <c r="D24" s="215" t="s">
        <v>2591</v>
      </c>
      <c r="E24" s="228"/>
      <c r="F24" s="229"/>
      <c r="G24" s="8"/>
      <c r="H24" s="8"/>
      <c r="I24" s="8"/>
      <c r="J24" s="8"/>
      <c r="K24" s="8"/>
      <c r="L24" s="8"/>
      <c r="M24" s="8"/>
      <c r="N24" s="8"/>
      <c r="O24" s="8"/>
      <c r="P24" s="8"/>
      <c r="Q24" s="8"/>
      <c r="R24" s="8"/>
      <c r="S24" s="8"/>
      <c r="T24" s="8"/>
      <c r="U24" s="8"/>
      <c r="V24" s="8"/>
      <c r="W24" s="8"/>
      <c r="X24" s="8"/>
      <c r="Y24" s="8"/>
      <c r="Z24" s="8"/>
    </row>
    <row r="25" spans="1:26" ht="15.75" customHeight="1">
      <c r="A25" s="219" t="s">
        <v>2564</v>
      </c>
      <c r="B25" s="220" t="s">
        <v>1</v>
      </c>
      <c r="C25" s="220" t="s">
        <v>2592</v>
      </c>
      <c r="D25" s="220" t="s">
        <v>2593</v>
      </c>
      <c r="E25" s="220" t="s">
        <v>15</v>
      </c>
      <c r="F25" s="227"/>
      <c r="G25" s="8"/>
      <c r="H25" s="8"/>
      <c r="I25" s="8"/>
      <c r="J25" s="8"/>
      <c r="K25" s="8"/>
      <c r="L25" s="8"/>
      <c r="M25" s="8"/>
      <c r="N25" s="8"/>
      <c r="O25" s="8"/>
      <c r="P25" s="8"/>
      <c r="Q25" s="8"/>
      <c r="R25" s="8"/>
      <c r="S25" s="8"/>
      <c r="T25" s="8"/>
      <c r="U25" s="8"/>
      <c r="V25" s="8"/>
      <c r="W25" s="8"/>
      <c r="X25" s="8"/>
      <c r="Y25" s="8"/>
      <c r="Z25" s="8"/>
    </row>
    <row r="26" spans="1:26" ht="15.75" customHeight="1">
      <c r="A26" s="221" t="s">
        <v>2594</v>
      </c>
      <c r="B26" s="230" t="s">
        <v>2595</v>
      </c>
      <c r="C26" s="11"/>
      <c r="D26" s="11"/>
      <c r="E26" s="11"/>
      <c r="F26" s="229"/>
      <c r="G26" s="8"/>
      <c r="H26" s="8"/>
      <c r="I26" s="8"/>
      <c r="J26" s="8"/>
      <c r="K26" s="8"/>
      <c r="L26" s="8"/>
      <c r="M26" s="8"/>
      <c r="N26" s="8"/>
      <c r="O26" s="8"/>
      <c r="P26" s="8"/>
      <c r="Q26" s="8"/>
      <c r="R26" s="8"/>
      <c r="S26" s="8"/>
      <c r="T26" s="8"/>
      <c r="U26" s="8"/>
      <c r="V26" s="8"/>
      <c r="W26" s="8"/>
      <c r="X26" s="8"/>
      <c r="Y26" s="8"/>
      <c r="Z26" s="8"/>
    </row>
    <row r="27" spans="1:26" ht="15.75" customHeight="1">
      <c r="A27" s="221" t="s">
        <v>2596</v>
      </c>
      <c r="B27" s="230" t="s">
        <v>2597</v>
      </c>
      <c r="C27" s="11"/>
      <c r="D27" s="11"/>
      <c r="E27" s="11"/>
      <c r="F27" s="8"/>
      <c r="G27" s="8"/>
      <c r="H27" s="8"/>
      <c r="I27" s="8"/>
      <c r="J27" s="8"/>
      <c r="K27" s="8"/>
      <c r="L27" s="8"/>
      <c r="M27" s="8"/>
      <c r="N27" s="8"/>
      <c r="O27" s="8"/>
      <c r="P27" s="8"/>
      <c r="Q27" s="8"/>
      <c r="R27" s="8"/>
      <c r="S27" s="8"/>
      <c r="T27" s="8"/>
      <c r="U27" s="8"/>
      <c r="V27" s="8"/>
      <c r="W27" s="8"/>
      <c r="X27" s="8"/>
      <c r="Y27" s="8"/>
      <c r="Z27" s="8"/>
    </row>
    <row r="28" spans="1:26" ht="15.75" customHeight="1">
      <c r="A28" s="221" t="s">
        <v>2572</v>
      </c>
      <c r="B28" s="222" t="s">
        <v>2598</v>
      </c>
      <c r="C28" s="223" t="s">
        <v>2574</v>
      </c>
      <c r="D28" s="223" t="s">
        <v>2590</v>
      </c>
      <c r="E28" s="222" t="s">
        <v>2576</v>
      </c>
      <c r="F28" s="231" t="s">
        <v>2590</v>
      </c>
      <c r="G28" s="8"/>
      <c r="H28" s="8"/>
      <c r="I28" s="8"/>
      <c r="J28" s="8"/>
      <c r="K28" s="8"/>
      <c r="L28" s="8"/>
      <c r="M28" s="8"/>
      <c r="N28" s="8"/>
      <c r="O28" s="8"/>
      <c r="P28" s="8"/>
      <c r="Q28" s="8"/>
      <c r="R28" s="8"/>
      <c r="S28" s="8"/>
      <c r="T28" s="8"/>
      <c r="U28" s="8"/>
      <c r="V28" s="8"/>
      <c r="W28" s="8"/>
      <c r="X28" s="8"/>
      <c r="Y28" s="8"/>
      <c r="Z28" s="8"/>
    </row>
    <row r="29" spans="1:26" ht="15.75" customHeight="1">
      <c r="A29" s="221" t="s">
        <v>2599</v>
      </c>
      <c r="B29" s="230" t="s">
        <v>2600</v>
      </c>
      <c r="C29" s="11"/>
      <c r="D29" s="11"/>
      <c r="E29" s="11"/>
      <c r="F29" s="227"/>
      <c r="G29" s="8"/>
      <c r="H29" s="8"/>
      <c r="I29" s="8"/>
      <c r="J29" s="8"/>
      <c r="K29" s="8"/>
      <c r="L29" s="8"/>
      <c r="M29" s="8"/>
      <c r="N29" s="8"/>
      <c r="O29" s="8"/>
      <c r="P29" s="8"/>
      <c r="Q29" s="8"/>
      <c r="R29" s="8"/>
      <c r="S29" s="8"/>
      <c r="T29" s="8"/>
      <c r="U29" s="8"/>
      <c r="V29" s="8"/>
      <c r="W29" s="8"/>
      <c r="X29" s="8"/>
      <c r="Y29" s="8"/>
      <c r="Z29" s="8"/>
    </row>
    <row r="30" spans="1:26" ht="15.75" customHeight="1">
      <c r="A30" s="221" t="s">
        <v>2601</v>
      </c>
      <c r="B30" s="222" t="s">
        <v>2602</v>
      </c>
      <c r="C30" s="223" t="s">
        <v>712</v>
      </c>
      <c r="D30" s="11"/>
      <c r="E30" s="232" t="s">
        <v>2603</v>
      </c>
      <c r="F30" s="233" t="s">
        <v>2604</v>
      </c>
      <c r="G30" s="8"/>
      <c r="H30" s="8"/>
      <c r="I30" s="8"/>
      <c r="J30" s="8"/>
      <c r="K30" s="8"/>
      <c r="L30" s="8"/>
      <c r="M30" s="8"/>
      <c r="N30" s="8"/>
      <c r="O30" s="8"/>
      <c r="P30" s="8"/>
      <c r="Q30" s="8"/>
      <c r="R30" s="8"/>
      <c r="S30" s="8"/>
      <c r="T30" s="8"/>
      <c r="U30" s="8"/>
      <c r="V30" s="8"/>
      <c r="W30" s="8"/>
      <c r="X30" s="8"/>
      <c r="Y30" s="8"/>
      <c r="Z30" s="8"/>
    </row>
    <row r="31" spans="1:26" ht="15.75" customHeight="1">
      <c r="A31" s="234" t="s">
        <v>709</v>
      </c>
      <c r="B31" s="235" t="s">
        <v>2605</v>
      </c>
      <c r="C31" s="236"/>
      <c r="D31" s="237" t="s">
        <v>712</v>
      </c>
      <c r="E31" s="238" t="s">
        <v>2606</v>
      </c>
      <c r="F31" s="8"/>
      <c r="G31" s="8"/>
      <c r="H31" s="8"/>
      <c r="I31" s="8"/>
      <c r="J31" s="8"/>
      <c r="K31" s="8"/>
      <c r="L31" s="8"/>
      <c r="M31" s="8"/>
      <c r="N31" s="8"/>
      <c r="O31" s="8"/>
      <c r="P31" s="8"/>
      <c r="Q31" s="8"/>
      <c r="R31" s="8"/>
      <c r="S31" s="8"/>
      <c r="T31" s="8"/>
      <c r="U31" s="8"/>
      <c r="V31" s="8"/>
      <c r="W31" s="8"/>
      <c r="X31" s="8"/>
      <c r="Y31" s="8"/>
      <c r="Z31" s="8"/>
    </row>
    <row r="32" spans="1:26" ht="15.75" customHeight="1">
      <c r="A32" s="234" t="s">
        <v>2607</v>
      </c>
      <c r="B32" s="235" t="s">
        <v>2608</v>
      </c>
      <c r="C32" s="236"/>
      <c r="D32" s="237" t="s">
        <v>2609</v>
      </c>
      <c r="E32" s="238" t="s">
        <v>2610</v>
      </c>
      <c r="F32" s="8"/>
      <c r="G32" s="8"/>
      <c r="H32" s="8"/>
      <c r="I32" s="8"/>
      <c r="J32" s="8"/>
      <c r="K32" s="8"/>
      <c r="L32" s="8"/>
      <c r="M32" s="8"/>
      <c r="N32" s="8"/>
      <c r="O32" s="8"/>
      <c r="P32" s="8"/>
      <c r="Q32" s="8"/>
      <c r="R32" s="8"/>
      <c r="S32" s="8"/>
      <c r="T32" s="8"/>
      <c r="U32" s="8"/>
      <c r="V32" s="8"/>
      <c r="W32" s="8"/>
      <c r="X32" s="8"/>
      <c r="Y32" s="8"/>
      <c r="Z32" s="8"/>
    </row>
    <row r="33" spans="1:26">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c r="A34" s="218"/>
      <c r="B34" s="218"/>
      <c r="C34" s="218"/>
      <c r="D34" s="218"/>
      <c r="E34" s="8"/>
      <c r="F34" s="8"/>
      <c r="G34" s="8"/>
      <c r="H34" s="8"/>
      <c r="I34" s="8"/>
      <c r="J34" s="8"/>
      <c r="K34" s="8"/>
      <c r="L34" s="8"/>
      <c r="M34" s="8"/>
      <c r="N34" s="8"/>
      <c r="O34" s="8"/>
      <c r="P34" s="8"/>
      <c r="Q34" s="8"/>
      <c r="R34" s="8"/>
      <c r="S34" s="8"/>
      <c r="T34" s="8"/>
      <c r="U34" s="8"/>
      <c r="V34" s="8"/>
      <c r="W34" s="8"/>
      <c r="X34" s="8"/>
      <c r="Y34" s="8"/>
      <c r="Z34" s="8"/>
    </row>
    <row r="35" spans="1:26" ht="15.75" customHeight="1">
      <c r="A35" s="299" t="s">
        <v>2611</v>
      </c>
      <c r="B35" s="295"/>
      <c r="C35" s="215" t="s">
        <v>2555</v>
      </c>
      <c r="D35" s="217">
        <v>43883</v>
      </c>
      <c r="E35" s="8"/>
      <c r="F35" s="8"/>
      <c r="G35" s="8"/>
      <c r="H35" s="8"/>
      <c r="I35" s="8"/>
      <c r="J35" s="8"/>
      <c r="K35" s="8"/>
      <c r="L35" s="8"/>
      <c r="M35" s="8"/>
      <c r="N35" s="8"/>
      <c r="O35" s="8"/>
      <c r="P35" s="8"/>
      <c r="Q35" s="8"/>
      <c r="R35" s="8"/>
      <c r="S35" s="8"/>
      <c r="T35" s="8"/>
      <c r="U35" s="8"/>
      <c r="V35" s="8"/>
      <c r="W35" s="8"/>
      <c r="X35" s="8"/>
      <c r="Y35" s="8"/>
      <c r="Z35" s="8"/>
    </row>
    <row r="36" spans="1:26" ht="15.75" customHeight="1">
      <c r="A36" s="294"/>
      <c r="B36" s="295"/>
      <c r="C36" s="215" t="s">
        <v>2556</v>
      </c>
      <c r="D36" s="217">
        <v>44834</v>
      </c>
      <c r="E36" s="8"/>
      <c r="F36" s="8"/>
      <c r="G36" s="8"/>
      <c r="H36" s="8"/>
      <c r="I36" s="8"/>
      <c r="J36" s="8"/>
      <c r="K36" s="8"/>
      <c r="L36" s="8"/>
      <c r="M36" s="8"/>
      <c r="N36" s="8"/>
      <c r="O36" s="8"/>
      <c r="P36" s="8"/>
      <c r="Q36" s="8"/>
      <c r="R36" s="8"/>
      <c r="S36" s="8"/>
      <c r="T36" s="8"/>
      <c r="U36" s="8"/>
      <c r="V36" s="8"/>
      <c r="W36" s="8"/>
      <c r="X36" s="8"/>
      <c r="Y36" s="8"/>
      <c r="Z36" s="8"/>
    </row>
    <row r="37" spans="1:26" ht="15.75" customHeight="1">
      <c r="A37" s="294"/>
      <c r="B37" s="295"/>
      <c r="C37" s="215" t="s">
        <v>2557</v>
      </c>
      <c r="D37" s="217">
        <v>45565</v>
      </c>
      <c r="E37" s="8"/>
      <c r="F37" s="8"/>
      <c r="G37" s="8"/>
      <c r="H37" s="8"/>
      <c r="I37" s="8"/>
      <c r="J37" s="8"/>
      <c r="K37" s="8"/>
      <c r="L37" s="8"/>
      <c r="M37" s="8"/>
      <c r="N37" s="8"/>
      <c r="O37" s="8"/>
      <c r="P37" s="8"/>
      <c r="Q37" s="8"/>
      <c r="R37" s="8"/>
      <c r="S37" s="8"/>
      <c r="T37" s="8"/>
      <c r="U37" s="8"/>
      <c r="V37" s="8"/>
      <c r="W37" s="8"/>
      <c r="X37" s="8"/>
      <c r="Y37" s="8"/>
      <c r="Z37" s="8"/>
    </row>
    <row r="38" spans="1:26" ht="15">
      <c r="A38" s="294"/>
      <c r="B38" s="295"/>
      <c r="C38" s="215" t="s">
        <v>2558</v>
      </c>
      <c r="D38" s="215" t="s">
        <v>2612</v>
      </c>
      <c r="E38" s="8"/>
      <c r="F38" s="8"/>
      <c r="G38" s="8"/>
      <c r="H38" s="8"/>
      <c r="I38" s="8"/>
      <c r="J38" s="8"/>
      <c r="K38" s="8"/>
      <c r="L38" s="8"/>
      <c r="M38" s="8"/>
      <c r="N38" s="8"/>
      <c r="O38" s="8"/>
      <c r="P38" s="8"/>
      <c r="Q38" s="8"/>
      <c r="R38" s="8"/>
      <c r="S38" s="8"/>
      <c r="T38" s="8"/>
      <c r="U38" s="8"/>
      <c r="V38" s="8"/>
      <c r="W38" s="8"/>
      <c r="X38" s="8"/>
      <c r="Y38" s="8"/>
      <c r="Z38" s="8"/>
    </row>
    <row r="39" spans="1:26" ht="15">
      <c r="A39" s="294"/>
      <c r="B39" s="295"/>
      <c r="C39" s="215" t="s">
        <v>2560</v>
      </c>
      <c r="D39" s="215" t="s">
        <v>2613</v>
      </c>
      <c r="E39" s="239" t="s">
        <v>2614</v>
      </c>
      <c r="F39" s="8"/>
      <c r="G39" s="8"/>
      <c r="H39" s="8"/>
      <c r="I39" s="8"/>
      <c r="J39" s="8"/>
      <c r="K39" s="8"/>
      <c r="L39" s="8"/>
      <c r="M39" s="8"/>
      <c r="N39" s="8"/>
      <c r="O39" s="8"/>
      <c r="P39" s="8"/>
      <c r="Q39" s="8"/>
      <c r="R39" s="8"/>
      <c r="S39" s="8"/>
      <c r="T39" s="8"/>
      <c r="U39" s="8"/>
      <c r="V39" s="8"/>
      <c r="W39" s="8"/>
      <c r="X39" s="8"/>
      <c r="Y39" s="8"/>
      <c r="Z39" s="8"/>
    </row>
    <row r="40" spans="1:26" ht="15">
      <c r="A40" s="296"/>
      <c r="B40" s="291"/>
      <c r="C40" s="215" t="s">
        <v>2562</v>
      </c>
      <c r="D40" s="215" t="s">
        <v>2615</v>
      </c>
      <c r="E40" s="218"/>
      <c r="F40" s="8"/>
      <c r="G40" s="8"/>
      <c r="H40" s="8"/>
      <c r="I40" s="8"/>
      <c r="J40" s="8"/>
      <c r="K40" s="8"/>
      <c r="L40" s="8"/>
      <c r="M40" s="8"/>
      <c r="N40" s="8"/>
      <c r="O40" s="8"/>
      <c r="P40" s="8"/>
      <c r="Q40" s="8"/>
      <c r="R40" s="8"/>
      <c r="S40" s="8"/>
      <c r="T40" s="8"/>
      <c r="U40" s="8"/>
      <c r="V40" s="8"/>
      <c r="W40" s="8"/>
      <c r="X40" s="8"/>
      <c r="Y40" s="8"/>
      <c r="Z40" s="8"/>
    </row>
    <row r="41" spans="1:26" ht="15">
      <c r="A41" s="219" t="s">
        <v>2564</v>
      </c>
      <c r="B41" s="220" t="s">
        <v>2616</v>
      </c>
      <c r="C41" s="220" t="s">
        <v>2566</v>
      </c>
      <c r="D41" s="220" t="s">
        <v>2560</v>
      </c>
      <c r="E41" s="220" t="s">
        <v>2617</v>
      </c>
      <c r="F41" s="8"/>
      <c r="G41" s="8"/>
      <c r="H41" s="8"/>
      <c r="I41" s="8"/>
      <c r="J41" s="8"/>
      <c r="K41" s="8"/>
      <c r="L41" s="8"/>
      <c r="M41" s="8"/>
      <c r="N41" s="8"/>
      <c r="O41" s="8"/>
      <c r="P41" s="8"/>
      <c r="Q41" s="8"/>
      <c r="R41" s="8"/>
      <c r="S41" s="8"/>
      <c r="T41" s="8"/>
      <c r="U41" s="8"/>
      <c r="V41" s="8"/>
      <c r="W41" s="8"/>
      <c r="X41" s="8"/>
      <c r="Y41" s="8"/>
      <c r="Z41" s="8"/>
    </row>
    <row r="42" spans="1:26" ht="15">
      <c r="A42" s="300" t="s">
        <v>2618</v>
      </c>
      <c r="B42" s="291"/>
      <c r="C42" s="226" t="s">
        <v>2619</v>
      </c>
      <c r="D42" s="11"/>
      <c r="E42" s="11"/>
      <c r="F42" s="8"/>
      <c r="G42" s="8"/>
      <c r="H42" s="8"/>
      <c r="I42" s="8"/>
      <c r="J42" s="8"/>
      <c r="K42" s="8"/>
      <c r="L42" s="8"/>
      <c r="M42" s="8"/>
      <c r="N42" s="8"/>
      <c r="O42" s="8"/>
      <c r="P42" s="8"/>
      <c r="Q42" s="8"/>
      <c r="R42" s="8"/>
      <c r="S42" s="8"/>
      <c r="T42" s="8"/>
      <c r="U42" s="8"/>
      <c r="V42" s="8"/>
      <c r="W42" s="8"/>
      <c r="X42" s="8"/>
      <c r="Y42" s="8"/>
      <c r="Z42" s="8"/>
    </row>
    <row r="43" spans="1:26" ht="45">
      <c r="A43" s="240" t="s">
        <v>2620</v>
      </c>
      <c r="B43" s="222" t="s">
        <v>2621</v>
      </c>
      <c r="C43" s="223" t="s">
        <v>2619</v>
      </c>
      <c r="D43" s="223" t="s">
        <v>2622</v>
      </c>
      <c r="E43" s="224" t="s">
        <v>2623</v>
      </c>
      <c r="F43" s="241" t="s">
        <v>2622</v>
      </c>
      <c r="G43" s="8"/>
      <c r="H43" s="8"/>
      <c r="I43" s="8"/>
      <c r="J43" s="8"/>
      <c r="K43" s="8"/>
      <c r="L43" s="8"/>
      <c r="M43" s="8"/>
      <c r="N43" s="8"/>
      <c r="O43" s="8"/>
      <c r="P43" s="8"/>
      <c r="Q43" s="8"/>
      <c r="R43" s="8"/>
      <c r="S43" s="8"/>
      <c r="T43" s="8"/>
      <c r="U43" s="8"/>
      <c r="V43" s="8"/>
      <c r="W43" s="8"/>
      <c r="X43" s="8"/>
      <c r="Y43" s="8"/>
      <c r="Z43" s="8"/>
    </row>
    <row r="44" spans="1:26">
      <c r="A44" s="240" t="s">
        <v>2624</v>
      </c>
      <c r="B44" s="222" t="s">
        <v>2625</v>
      </c>
      <c r="C44" s="11"/>
      <c r="D44" s="11"/>
      <c r="E44" s="11"/>
      <c r="F44" s="8"/>
      <c r="G44" s="8"/>
      <c r="H44" s="8"/>
      <c r="I44" s="8"/>
      <c r="J44" s="8"/>
      <c r="K44" s="8"/>
      <c r="L44" s="8"/>
      <c r="M44" s="8"/>
      <c r="N44" s="8"/>
      <c r="O44" s="8"/>
      <c r="P44" s="8"/>
      <c r="Q44" s="8"/>
      <c r="R44" s="8"/>
      <c r="S44" s="8"/>
      <c r="T44" s="8"/>
      <c r="U44" s="8"/>
      <c r="V44" s="8"/>
      <c r="W44" s="8"/>
      <c r="X44" s="8"/>
      <c r="Y44" s="8"/>
      <c r="Z44" s="8"/>
    </row>
    <row r="45" spans="1:26" ht="15">
      <c r="A45" s="300" t="s">
        <v>2626</v>
      </c>
      <c r="B45" s="291"/>
      <c r="C45" s="226" t="s">
        <v>2627</v>
      </c>
      <c r="D45" s="11"/>
      <c r="E45" s="11"/>
      <c r="F45" s="8"/>
      <c r="G45" s="8"/>
      <c r="H45" s="8"/>
      <c r="I45" s="8"/>
      <c r="J45" s="8"/>
      <c r="K45" s="8"/>
      <c r="L45" s="8"/>
      <c r="M45" s="8"/>
      <c r="N45" s="8"/>
      <c r="O45" s="8"/>
      <c r="P45" s="8"/>
      <c r="Q45" s="8"/>
      <c r="R45" s="8"/>
      <c r="S45" s="8"/>
      <c r="T45" s="8"/>
      <c r="U45" s="8"/>
      <c r="V45" s="8"/>
      <c r="W45" s="8"/>
      <c r="X45" s="8"/>
      <c r="Y45" s="8"/>
      <c r="Z45" s="8"/>
    </row>
    <row r="46" spans="1:26" ht="45">
      <c r="A46" s="240" t="s">
        <v>2628</v>
      </c>
      <c r="B46" s="222" t="s">
        <v>2629</v>
      </c>
      <c r="C46" s="223" t="s">
        <v>2630</v>
      </c>
      <c r="D46" s="11"/>
      <c r="E46" s="224" t="s">
        <v>2631</v>
      </c>
      <c r="F46" s="8"/>
      <c r="G46" s="8"/>
      <c r="H46" s="8"/>
      <c r="I46" s="8"/>
      <c r="J46" s="8"/>
      <c r="K46" s="8"/>
      <c r="L46" s="8"/>
      <c r="M46" s="8"/>
      <c r="N46" s="8"/>
      <c r="O46" s="8"/>
      <c r="P46" s="8"/>
      <c r="Q46" s="8"/>
      <c r="R46" s="8"/>
      <c r="S46" s="8"/>
      <c r="T46" s="8"/>
      <c r="U46" s="8"/>
      <c r="V46" s="8"/>
      <c r="W46" s="8"/>
      <c r="X46" s="8"/>
      <c r="Y46" s="8"/>
      <c r="Z46" s="8"/>
    </row>
    <row r="47" spans="1:26">
      <c r="A47" s="240" t="s">
        <v>2632</v>
      </c>
      <c r="B47" s="222" t="s">
        <v>2633</v>
      </c>
      <c r="C47" s="223" t="s">
        <v>2634</v>
      </c>
      <c r="D47" s="11"/>
      <c r="E47" s="230" t="s">
        <v>2635</v>
      </c>
      <c r="F47" s="8"/>
      <c r="G47" s="8"/>
      <c r="H47" s="8"/>
      <c r="I47" s="8"/>
      <c r="J47" s="8"/>
      <c r="K47" s="8"/>
      <c r="L47" s="8"/>
      <c r="M47" s="8"/>
      <c r="N47" s="8"/>
      <c r="O47" s="8"/>
      <c r="P47" s="8"/>
      <c r="Q47" s="8"/>
      <c r="R47" s="8"/>
      <c r="S47" s="8"/>
      <c r="T47" s="8"/>
      <c r="U47" s="8"/>
      <c r="V47" s="8"/>
      <c r="W47" s="8"/>
      <c r="X47" s="8"/>
      <c r="Y47" s="8"/>
      <c r="Z47" s="8"/>
    </row>
    <row r="48" spans="1:26" ht="45">
      <c r="A48" s="240" t="s">
        <v>2636</v>
      </c>
      <c r="B48" s="222" t="s">
        <v>2637</v>
      </c>
      <c r="C48" s="223" t="s">
        <v>2638</v>
      </c>
      <c r="D48" s="11"/>
      <c r="E48" s="224" t="s">
        <v>2639</v>
      </c>
      <c r="F48" s="8"/>
      <c r="G48" s="8"/>
      <c r="H48" s="8"/>
      <c r="I48" s="8"/>
      <c r="J48" s="8"/>
      <c r="K48" s="8"/>
      <c r="L48" s="8"/>
      <c r="M48" s="8"/>
      <c r="N48" s="8"/>
      <c r="O48" s="8"/>
      <c r="P48" s="8"/>
      <c r="Q48" s="8"/>
      <c r="R48" s="8"/>
      <c r="S48" s="8"/>
      <c r="T48" s="8"/>
      <c r="U48" s="8"/>
      <c r="V48" s="8"/>
      <c r="W48" s="8"/>
      <c r="X48" s="8"/>
      <c r="Y48" s="8"/>
      <c r="Z48" s="8"/>
    </row>
    <row r="49" spans="1:26">
      <c r="A49" s="240" t="s">
        <v>2640</v>
      </c>
      <c r="B49" s="222" t="s">
        <v>2641</v>
      </c>
      <c r="C49" s="223" t="s">
        <v>2642</v>
      </c>
      <c r="D49" s="223" t="s">
        <v>2643</v>
      </c>
      <c r="E49" s="222" t="s">
        <v>1590</v>
      </c>
      <c r="F49" s="241" t="s">
        <v>2643</v>
      </c>
      <c r="G49" s="8"/>
      <c r="H49" s="8"/>
      <c r="I49" s="8"/>
      <c r="J49" s="8"/>
      <c r="K49" s="8"/>
      <c r="L49" s="8"/>
      <c r="M49" s="8"/>
      <c r="N49" s="8"/>
      <c r="O49" s="8"/>
      <c r="P49" s="8"/>
      <c r="Q49" s="8"/>
      <c r="R49" s="8"/>
      <c r="S49" s="8"/>
      <c r="T49" s="8"/>
      <c r="U49" s="8"/>
      <c r="V49" s="8"/>
      <c r="W49" s="8"/>
      <c r="X49" s="8"/>
      <c r="Y49" s="8"/>
      <c r="Z49" s="8"/>
    </row>
    <row r="50" spans="1:26" ht="15">
      <c r="A50" s="301" t="s">
        <v>2644</v>
      </c>
      <c r="B50" s="291"/>
      <c r="C50" s="226" t="s">
        <v>2645</v>
      </c>
      <c r="D50" s="11"/>
      <c r="E50" s="11"/>
      <c r="F50" s="8"/>
      <c r="G50" s="8"/>
      <c r="H50" s="8"/>
      <c r="I50" s="8"/>
      <c r="J50" s="8"/>
      <c r="K50" s="8"/>
      <c r="L50" s="8"/>
      <c r="M50" s="8"/>
      <c r="N50" s="8"/>
      <c r="O50" s="8"/>
      <c r="P50" s="8"/>
      <c r="Q50" s="8"/>
      <c r="R50" s="8"/>
      <c r="S50" s="8"/>
      <c r="T50" s="8"/>
      <c r="U50" s="8"/>
      <c r="V50" s="8"/>
      <c r="W50" s="8"/>
      <c r="X50" s="8"/>
      <c r="Y50" s="8"/>
      <c r="Z50" s="8"/>
    </row>
    <row r="51" spans="1:26">
      <c r="A51" s="240" t="s">
        <v>2646</v>
      </c>
      <c r="B51" s="222" t="s">
        <v>2647</v>
      </c>
      <c r="C51" s="223" t="s">
        <v>2648</v>
      </c>
      <c r="D51" s="223" t="s">
        <v>2649</v>
      </c>
      <c r="E51" s="222" t="s">
        <v>2650</v>
      </c>
      <c r="F51" s="241" t="s">
        <v>2649</v>
      </c>
      <c r="G51" s="8"/>
      <c r="H51" s="8"/>
      <c r="I51" s="8"/>
      <c r="J51" s="8"/>
      <c r="K51" s="8"/>
      <c r="L51" s="8"/>
      <c r="M51" s="8"/>
      <c r="N51" s="8"/>
      <c r="O51" s="8"/>
      <c r="P51" s="8"/>
      <c r="Q51" s="8"/>
      <c r="R51" s="8"/>
      <c r="S51" s="8"/>
      <c r="T51" s="8"/>
      <c r="U51" s="8"/>
      <c r="V51" s="8"/>
      <c r="W51" s="8"/>
      <c r="X51" s="8"/>
      <c r="Y51" s="8"/>
      <c r="Z51" s="8"/>
    </row>
    <row r="52" spans="1:26" ht="45">
      <c r="A52" s="240" t="s">
        <v>2651</v>
      </c>
      <c r="B52" s="222" t="s">
        <v>2652</v>
      </c>
      <c r="C52" s="223" t="s">
        <v>2653</v>
      </c>
      <c r="D52" s="11"/>
      <c r="E52" s="224" t="s">
        <v>2639</v>
      </c>
      <c r="F52" s="8"/>
      <c r="G52" s="8"/>
      <c r="H52" s="8"/>
      <c r="I52" s="8"/>
      <c r="J52" s="8"/>
      <c r="K52" s="8"/>
      <c r="L52" s="8"/>
      <c r="M52" s="8"/>
      <c r="N52" s="8"/>
      <c r="O52" s="8"/>
      <c r="P52" s="8"/>
      <c r="Q52" s="8"/>
      <c r="R52" s="8"/>
      <c r="S52" s="8"/>
      <c r="T52" s="8"/>
      <c r="U52" s="8"/>
      <c r="V52" s="8"/>
      <c r="W52" s="8"/>
      <c r="X52" s="8"/>
      <c r="Y52" s="8"/>
      <c r="Z52" s="8"/>
    </row>
    <row r="53" spans="1:26" ht="30">
      <c r="A53" s="240" t="s">
        <v>2654</v>
      </c>
      <c r="B53" s="224" t="s">
        <v>2655</v>
      </c>
      <c r="C53" s="223" t="s">
        <v>2656</v>
      </c>
      <c r="D53" s="11"/>
      <c r="E53" s="224" t="s">
        <v>2657</v>
      </c>
      <c r="F53" s="8"/>
      <c r="G53" s="8"/>
      <c r="H53" s="8"/>
      <c r="I53" s="8"/>
      <c r="J53" s="8"/>
      <c r="K53" s="8"/>
      <c r="L53" s="8"/>
      <c r="M53" s="8"/>
      <c r="N53" s="8"/>
      <c r="O53" s="8"/>
      <c r="P53" s="8"/>
      <c r="Q53" s="8"/>
      <c r="R53" s="8"/>
      <c r="S53" s="8"/>
      <c r="T53" s="8"/>
      <c r="U53" s="8"/>
      <c r="V53" s="8"/>
      <c r="W53" s="8"/>
      <c r="X53" s="8"/>
      <c r="Y53" s="8"/>
      <c r="Z53" s="8"/>
    </row>
    <row r="54" spans="1:26" ht="45">
      <c r="A54" s="240" t="s">
        <v>2658</v>
      </c>
      <c r="B54" s="222" t="s">
        <v>2659</v>
      </c>
      <c r="C54" s="223" t="s">
        <v>2660</v>
      </c>
      <c r="D54" s="11"/>
      <c r="E54" s="224" t="s">
        <v>2639</v>
      </c>
      <c r="F54" s="8"/>
      <c r="G54" s="8"/>
      <c r="H54" s="8"/>
      <c r="I54" s="8"/>
      <c r="J54" s="8"/>
      <c r="K54" s="8"/>
      <c r="L54" s="8"/>
      <c r="M54" s="8"/>
      <c r="N54" s="8"/>
      <c r="O54" s="8"/>
      <c r="P54" s="8"/>
      <c r="Q54" s="8"/>
      <c r="R54" s="8"/>
      <c r="S54" s="8"/>
      <c r="T54" s="8"/>
      <c r="U54" s="8"/>
      <c r="V54" s="8"/>
      <c r="W54" s="8"/>
      <c r="X54" s="8"/>
      <c r="Y54" s="8"/>
      <c r="Z54" s="8"/>
    </row>
    <row r="55" spans="1:26" ht="45">
      <c r="A55" s="240" t="s">
        <v>2661</v>
      </c>
      <c r="B55" s="224" t="s">
        <v>2662</v>
      </c>
      <c r="C55" s="11"/>
      <c r="D55" s="11"/>
      <c r="E55" s="224" t="s">
        <v>2663</v>
      </c>
      <c r="F55" s="8"/>
      <c r="G55" s="8"/>
      <c r="H55" s="8"/>
      <c r="I55" s="8"/>
      <c r="J55" s="8"/>
      <c r="K55" s="8"/>
      <c r="L55" s="8"/>
      <c r="M55" s="8"/>
      <c r="N55" s="8"/>
      <c r="O55" s="8"/>
      <c r="P55" s="8"/>
      <c r="Q55" s="8"/>
      <c r="R55" s="8"/>
      <c r="S55" s="8"/>
      <c r="T55" s="8"/>
      <c r="U55" s="8"/>
      <c r="V55" s="8"/>
      <c r="W55" s="8"/>
      <c r="X55" s="8"/>
      <c r="Y55" s="8"/>
      <c r="Z55" s="8"/>
    </row>
    <row r="56" spans="1:26" ht="15">
      <c r="A56" s="301" t="s">
        <v>2664</v>
      </c>
      <c r="B56" s="291"/>
      <c r="C56" s="226" t="s">
        <v>2665</v>
      </c>
      <c r="D56" s="11"/>
      <c r="E56" s="11"/>
      <c r="F56" s="8"/>
      <c r="G56" s="8"/>
      <c r="H56" s="8"/>
      <c r="I56" s="8"/>
      <c r="J56" s="8"/>
      <c r="K56" s="8"/>
      <c r="L56" s="8"/>
      <c r="M56" s="8"/>
      <c r="N56" s="8"/>
      <c r="O56" s="8"/>
      <c r="P56" s="8"/>
      <c r="Q56" s="8"/>
      <c r="R56" s="8"/>
      <c r="S56" s="8"/>
      <c r="T56" s="8"/>
      <c r="U56" s="8"/>
      <c r="V56" s="8"/>
      <c r="W56" s="8"/>
      <c r="X56" s="8"/>
      <c r="Y56" s="8"/>
      <c r="Z56" s="8"/>
    </row>
    <row r="57" spans="1:26" ht="30">
      <c r="A57" s="240" t="s">
        <v>2666</v>
      </c>
      <c r="B57" s="222" t="s">
        <v>2667</v>
      </c>
      <c r="C57" s="223" t="s">
        <v>2668</v>
      </c>
      <c r="D57" s="11"/>
      <c r="E57" s="224" t="s">
        <v>2669</v>
      </c>
      <c r="F57" s="8"/>
      <c r="G57" s="8"/>
      <c r="H57" s="8"/>
      <c r="I57" s="8"/>
      <c r="J57" s="8"/>
      <c r="K57" s="8"/>
      <c r="L57" s="8"/>
      <c r="M57" s="8"/>
      <c r="N57" s="8"/>
      <c r="O57" s="8"/>
      <c r="P57" s="8"/>
      <c r="Q57" s="8"/>
      <c r="R57" s="8"/>
      <c r="S57" s="8"/>
      <c r="T57" s="8"/>
      <c r="U57" s="8"/>
      <c r="V57" s="8"/>
      <c r="W57" s="8"/>
      <c r="X57" s="8"/>
      <c r="Y57" s="8"/>
      <c r="Z57" s="8"/>
    </row>
    <row r="58" spans="1:26">
      <c r="A58" s="240" t="s">
        <v>2670</v>
      </c>
      <c r="B58" s="222" t="s">
        <v>2671</v>
      </c>
      <c r="C58" s="223" t="s">
        <v>2672</v>
      </c>
      <c r="D58" s="223" t="s">
        <v>2672</v>
      </c>
      <c r="E58" s="224" t="s">
        <v>2650</v>
      </c>
      <c r="F58" s="241" t="s">
        <v>2672</v>
      </c>
      <c r="G58" s="8"/>
      <c r="H58" s="8"/>
      <c r="I58" s="8"/>
      <c r="J58" s="8"/>
      <c r="K58" s="8"/>
      <c r="L58" s="8"/>
      <c r="M58" s="8"/>
      <c r="N58" s="8"/>
      <c r="O58" s="8"/>
      <c r="P58" s="8"/>
      <c r="Q58" s="8"/>
      <c r="R58" s="8"/>
      <c r="S58" s="8"/>
      <c r="T58" s="8"/>
      <c r="U58" s="8"/>
      <c r="V58" s="8"/>
      <c r="W58" s="8"/>
      <c r="X58" s="8"/>
      <c r="Y58" s="8"/>
      <c r="Z58" s="8"/>
    </row>
    <row r="59" spans="1:26" ht="15">
      <c r="A59" s="242"/>
      <c r="B59" s="222" t="s">
        <v>2673</v>
      </c>
      <c r="C59" s="223" t="s">
        <v>2674</v>
      </c>
      <c r="D59" s="223" t="s">
        <v>2674</v>
      </c>
      <c r="E59" s="224" t="s">
        <v>2650</v>
      </c>
      <c r="F59" s="241" t="s">
        <v>2674</v>
      </c>
      <c r="G59" s="8"/>
      <c r="H59" s="8"/>
      <c r="I59" s="8"/>
      <c r="J59" s="8"/>
      <c r="K59" s="8"/>
      <c r="L59" s="8"/>
      <c r="M59" s="8"/>
      <c r="N59" s="8"/>
      <c r="O59" s="8"/>
      <c r="P59" s="8"/>
      <c r="Q59" s="8"/>
      <c r="R59" s="8"/>
      <c r="S59" s="8"/>
      <c r="T59" s="8"/>
      <c r="U59" s="8"/>
      <c r="V59" s="8"/>
      <c r="W59" s="8"/>
      <c r="X59" s="8"/>
      <c r="Y59" s="8"/>
      <c r="Z59" s="8"/>
    </row>
    <row r="60" spans="1:26">
      <c r="A60" s="240" t="s">
        <v>2140</v>
      </c>
      <c r="B60" s="222" t="s">
        <v>2675</v>
      </c>
      <c r="C60" s="11"/>
      <c r="D60" s="11"/>
      <c r="E60" s="222" t="s">
        <v>1590</v>
      </c>
      <c r="F60" s="8"/>
      <c r="G60" s="8"/>
      <c r="H60" s="8"/>
      <c r="I60" s="8"/>
      <c r="J60" s="8"/>
      <c r="K60" s="8"/>
      <c r="L60" s="8"/>
      <c r="M60" s="8"/>
      <c r="N60" s="8"/>
      <c r="O60" s="8"/>
      <c r="P60" s="8"/>
      <c r="Q60" s="8"/>
      <c r="R60" s="8"/>
      <c r="S60" s="8"/>
      <c r="T60" s="8"/>
      <c r="U60" s="8"/>
      <c r="V60" s="8"/>
      <c r="W60" s="8"/>
      <c r="X60" s="8"/>
      <c r="Y60" s="8"/>
      <c r="Z60" s="8"/>
    </row>
    <row r="61" spans="1:26">
      <c r="A61" s="240" t="s">
        <v>2114</v>
      </c>
      <c r="B61" s="222" t="s">
        <v>2676</v>
      </c>
      <c r="C61" s="11"/>
      <c r="D61" s="11"/>
      <c r="E61" s="222" t="s">
        <v>1590</v>
      </c>
      <c r="F61" s="8"/>
      <c r="G61" s="8"/>
      <c r="H61" s="8"/>
      <c r="I61" s="8"/>
      <c r="J61" s="8"/>
      <c r="K61" s="8"/>
      <c r="L61" s="8"/>
      <c r="M61" s="8"/>
      <c r="N61" s="8"/>
      <c r="O61" s="8"/>
      <c r="P61" s="8"/>
      <c r="Q61" s="8"/>
      <c r="R61" s="8"/>
      <c r="S61" s="8"/>
      <c r="T61" s="8"/>
      <c r="U61" s="8"/>
      <c r="V61" s="8"/>
      <c r="W61" s="8"/>
      <c r="X61" s="8"/>
      <c r="Y61" s="8"/>
      <c r="Z61" s="8"/>
    </row>
    <row r="62" spans="1:26" ht="15">
      <c r="A62" s="300" t="s">
        <v>2677</v>
      </c>
      <c r="B62" s="291"/>
      <c r="C62" s="226" t="s">
        <v>2678</v>
      </c>
      <c r="D62" s="11"/>
      <c r="E62" s="11"/>
      <c r="F62" s="8"/>
      <c r="G62" s="8"/>
      <c r="H62" s="8"/>
      <c r="I62" s="8"/>
      <c r="J62" s="8"/>
      <c r="K62" s="8"/>
      <c r="L62" s="8"/>
      <c r="M62" s="8"/>
      <c r="N62" s="8"/>
      <c r="O62" s="8"/>
      <c r="P62" s="8"/>
      <c r="Q62" s="8"/>
      <c r="R62" s="8"/>
      <c r="S62" s="8"/>
      <c r="T62" s="8"/>
      <c r="U62" s="8"/>
      <c r="V62" s="8"/>
      <c r="W62" s="8"/>
      <c r="X62" s="8"/>
      <c r="Y62" s="8"/>
      <c r="Z62" s="8"/>
    </row>
    <row r="63" spans="1:26" ht="30">
      <c r="A63" s="240" t="s">
        <v>2679</v>
      </c>
      <c r="B63" s="222" t="s">
        <v>2680</v>
      </c>
      <c r="C63" s="223" t="s">
        <v>2681</v>
      </c>
      <c r="D63" s="11"/>
      <c r="E63" s="224" t="s">
        <v>2682</v>
      </c>
      <c r="F63" s="8"/>
      <c r="G63" s="8"/>
      <c r="H63" s="8"/>
      <c r="I63" s="8"/>
      <c r="J63" s="8"/>
      <c r="K63" s="8"/>
      <c r="L63" s="8"/>
      <c r="M63" s="8"/>
      <c r="N63" s="8"/>
      <c r="O63" s="8"/>
      <c r="P63" s="8"/>
      <c r="Q63" s="8"/>
      <c r="R63" s="8"/>
      <c r="S63" s="8"/>
      <c r="T63" s="8"/>
      <c r="U63" s="8"/>
      <c r="V63" s="8"/>
      <c r="W63" s="8"/>
      <c r="X63" s="8"/>
      <c r="Y63" s="8"/>
      <c r="Z63" s="8"/>
    </row>
    <row r="64" spans="1:26">
      <c r="A64" s="240" t="s">
        <v>2683</v>
      </c>
      <c r="B64" s="222" t="s">
        <v>2684</v>
      </c>
      <c r="C64" s="223" t="s">
        <v>2685</v>
      </c>
      <c r="D64" s="223" t="s">
        <v>2685</v>
      </c>
      <c r="E64" s="224" t="s">
        <v>2650</v>
      </c>
      <c r="F64" s="241" t="s">
        <v>2685</v>
      </c>
      <c r="G64" s="8"/>
      <c r="H64" s="8"/>
      <c r="I64" s="8"/>
      <c r="J64" s="8"/>
      <c r="K64" s="8"/>
      <c r="L64" s="8"/>
      <c r="M64" s="8"/>
      <c r="N64" s="8"/>
      <c r="O64" s="8"/>
      <c r="P64" s="8"/>
      <c r="Q64" s="8"/>
      <c r="R64" s="8"/>
      <c r="S64" s="8"/>
      <c r="T64" s="8"/>
      <c r="U64" s="8"/>
      <c r="V64" s="8"/>
      <c r="W64" s="8"/>
      <c r="X64" s="8"/>
      <c r="Y64" s="8"/>
      <c r="Z64" s="8"/>
    </row>
    <row r="65" spans="1:26" ht="15">
      <c r="A65" s="300" t="s">
        <v>2686</v>
      </c>
      <c r="B65" s="291"/>
      <c r="C65" s="226" t="s">
        <v>2687</v>
      </c>
      <c r="D65" s="11"/>
      <c r="E65" s="11"/>
      <c r="F65" s="8"/>
      <c r="G65" s="8"/>
      <c r="H65" s="8"/>
      <c r="I65" s="8"/>
      <c r="J65" s="8"/>
      <c r="K65" s="8"/>
      <c r="L65" s="8"/>
      <c r="M65" s="8"/>
      <c r="N65" s="8"/>
      <c r="O65" s="8"/>
      <c r="P65" s="8"/>
      <c r="Q65" s="8"/>
      <c r="R65" s="8"/>
      <c r="S65" s="8"/>
      <c r="T65" s="8"/>
      <c r="U65" s="8"/>
      <c r="V65" s="8"/>
      <c r="W65" s="8"/>
      <c r="X65" s="8"/>
      <c r="Y65" s="8"/>
      <c r="Z65" s="8"/>
    </row>
    <row r="66" spans="1:26" ht="30">
      <c r="A66" s="240" t="s">
        <v>2688</v>
      </c>
      <c r="B66" s="230" t="s">
        <v>2689</v>
      </c>
      <c r="C66" s="11"/>
      <c r="D66" s="11"/>
      <c r="E66" s="224" t="s">
        <v>2690</v>
      </c>
      <c r="F66" s="8"/>
      <c r="G66" s="8"/>
      <c r="H66" s="8"/>
      <c r="I66" s="8"/>
      <c r="J66" s="8"/>
      <c r="K66" s="8"/>
      <c r="L66" s="8"/>
      <c r="M66" s="8"/>
      <c r="N66" s="8"/>
      <c r="O66" s="8"/>
      <c r="P66" s="8"/>
      <c r="Q66" s="8"/>
      <c r="R66" s="8"/>
      <c r="S66" s="8"/>
      <c r="T66" s="8"/>
      <c r="U66" s="8"/>
      <c r="V66" s="8"/>
      <c r="W66" s="8"/>
      <c r="X66" s="8"/>
      <c r="Y66" s="8"/>
      <c r="Z66" s="8"/>
    </row>
    <row r="67" spans="1:26" ht="30">
      <c r="A67" s="240" t="s">
        <v>2691</v>
      </c>
      <c r="B67" s="222" t="s">
        <v>2692</v>
      </c>
      <c r="C67" s="11"/>
      <c r="D67" s="11"/>
      <c r="E67" s="224" t="s">
        <v>2693</v>
      </c>
      <c r="F67" s="8"/>
      <c r="G67" s="8"/>
      <c r="H67" s="8"/>
      <c r="I67" s="8"/>
      <c r="J67" s="8"/>
      <c r="K67" s="8"/>
      <c r="L67" s="8"/>
      <c r="M67" s="8"/>
      <c r="N67" s="8"/>
      <c r="O67" s="8"/>
      <c r="P67" s="8"/>
      <c r="Q67" s="8"/>
      <c r="R67" s="8"/>
      <c r="S67" s="8"/>
      <c r="T67" s="8"/>
      <c r="U67" s="8"/>
      <c r="V67" s="8"/>
      <c r="W67" s="8"/>
      <c r="X67" s="8"/>
      <c r="Y67" s="8"/>
      <c r="Z67" s="8"/>
    </row>
    <row r="68" spans="1:26" ht="135">
      <c r="A68" s="240" t="s">
        <v>608</v>
      </c>
      <c r="B68" s="222" t="s">
        <v>2694</v>
      </c>
      <c r="C68" s="11"/>
      <c r="D68" s="11"/>
      <c r="E68" s="224" t="s">
        <v>2695</v>
      </c>
      <c r="F68" s="8"/>
      <c r="G68" s="8"/>
      <c r="H68" s="8"/>
      <c r="I68" s="8"/>
      <c r="J68" s="8"/>
      <c r="K68" s="8"/>
      <c r="L68" s="8"/>
      <c r="M68" s="8"/>
      <c r="N68" s="8"/>
      <c r="O68" s="8"/>
      <c r="P68" s="8"/>
      <c r="Q68" s="8"/>
      <c r="R68" s="8"/>
      <c r="S68" s="8"/>
      <c r="T68" s="8"/>
      <c r="U68" s="8"/>
      <c r="V68" s="8"/>
      <c r="W68" s="8"/>
      <c r="X68" s="8"/>
      <c r="Y68" s="8"/>
      <c r="Z68" s="8"/>
    </row>
    <row r="69" spans="1:26" ht="30">
      <c r="A69" s="243" t="s">
        <v>1182</v>
      </c>
      <c r="B69" s="238" t="s">
        <v>2696</v>
      </c>
      <c r="C69" s="236"/>
      <c r="D69" s="236"/>
      <c r="E69" s="238" t="s">
        <v>2697</v>
      </c>
      <c r="F69" s="8"/>
      <c r="G69" s="8"/>
      <c r="H69" s="8"/>
      <c r="I69" s="8"/>
      <c r="J69" s="8"/>
      <c r="K69" s="8"/>
      <c r="L69" s="8"/>
      <c r="M69" s="8"/>
      <c r="N69" s="8"/>
      <c r="O69" s="8"/>
      <c r="P69" s="8"/>
      <c r="Q69" s="8"/>
      <c r="R69" s="8"/>
      <c r="S69" s="8"/>
      <c r="T69" s="8"/>
      <c r="U69" s="8"/>
      <c r="V69" s="8"/>
      <c r="W69" s="8"/>
      <c r="X69" s="8"/>
      <c r="Y69" s="8"/>
      <c r="Z69" s="8"/>
    </row>
    <row r="70" spans="1:26" ht="15">
      <c r="A70" s="244" t="s">
        <v>2216</v>
      </c>
      <c r="B70" s="245" t="s">
        <v>2698</v>
      </c>
      <c r="C70" s="16"/>
      <c r="D70" s="16"/>
      <c r="E70" s="246" t="s">
        <v>47</v>
      </c>
      <c r="F70" s="8"/>
      <c r="G70" s="8"/>
      <c r="H70" s="8"/>
      <c r="I70" s="8"/>
      <c r="J70" s="8"/>
      <c r="K70" s="8"/>
      <c r="L70" s="8"/>
      <c r="M70" s="8"/>
      <c r="N70" s="8"/>
      <c r="O70" s="8"/>
      <c r="P70" s="8"/>
      <c r="Q70" s="8"/>
      <c r="R70" s="8"/>
      <c r="S70" s="8"/>
      <c r="T70" s="8"/>
      <c r="U70" s="8"/>
      <c r="V70" s="8"/>
      <c r="W70" s="8"/>
      <c r="X70" s="8"/>
      <c r="Y70" s="8"/>
      <c r="Z70" s="8"/>
    </row>
    <row r="71" spans="1:26" ht="15">
      <c r="A71" s="244" t="s">
        <v>2114</v>
      </c>
      <c r="B71" s="245" t="s">
        <v>2699</v>
      </c>
      <c r="C71" s="16"/>
      <c r="D71" s="16"/>
      <c r="E71" s="246" t="s">
        <v>47</v>
      </c>
      <c r="F71" s="8"/>
      <c r="G71" s="8"/>
      <c r="H71" s="8"/>
      <c r="I71" s="8"/>
      <c r="J71" s="8"/>
      <c r="K71" s="8"/>
      <c r="L71" s="8"/>
      <c r="M71" s="8"/>
      <c r="N71" s="8"/>
      <c r="O71" s="8"/>
      <c r="P71" s="8"/>
      <c r="Q71" s="8"/>
      <c r="R71" s="8"/>
      <c r="S71" s="8"/>
      <c r="T71" s="8"/>
      <c r="U71" s="8"/>
      <c r="V71" s="8"/>
      <c r="W71" s="8"/>
      <c r="X71" s="8"/>
      <c r="Y71" s="8"/>
      <c r="Z71" s="8"/>
    </row>
    <row r="72" spans="1:26" ht="12.75">
      <c r="A72" s="247"/>
      <c r="B72" s="16"/>
      <c r="C72" s="16"/>
      <c r="D72" s="16"/>
      <c r="E72" s="16"/>
      <c r="F72" s="8"/>
      <c r="G72" s="8"/>
      <c r="H72" s="8"/>
      <c r="I72" s="8"/>
      <c r="J72" s="8"/>
      <c r="K72" s="8"/>
      <c r="L72" s="8"/>
      <c r="M72" s="8"/>
      <c r="N72" s="8"/>
      <c r="O72" s="8"/>
      <c r="P72" s="8"/>
      <c r="Q72" s="8"/>
      <c r="R72" s="8"/>
      <c r="S72" s="8"/>
      <c r="T72" s="8"/>
      <c r="U72" s="8"/>
      <c r="V72" s="8"/>
      <c r="W72" s="8"/>
      <c r="X72" s="8"/>
      <c r="Y72" s="8"/>
      <c r="Z72" s="8"/>
    </row>
    <row r="73" spans="1:26" ht="12.7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2.75">
      <c r="A74" s="218"/>
      <c r="B74" s="218"/>
      <c r="C74" s="218"/>
      <c r="D74" s="218"/>
      <c r="E74" s="8"/>
      <c r="F74" s="8"/>
      <c r="G74" s="8"/>
      <c r="H74" s="8"/>
      <c r="I74" s="8"/>
      <c r="J74" s="8"/>
      <c r="K74" s="8"/>
      <c r="L74" s="8"/>
      <c r="M74" s="8"/>
      <c r="N74" s="8"/>
      <c r="O74" s="8"/>
      <c r="P74" s="8"/>
      <c r="Q74" s="8"/>
      <c r="R74" s="8"/>
      <c r="S74" s="8"/>
      <c r="T74" s="8"/>
      <c r="U74" s="8"/>
      <c r="V74" s="8"/>
      <c r="W74" s="8"/>
      <c r="X74" s="8"/>
      <c r="Y74" s="8"/>
      <c r="Z74" s="8"/>
    </row>
    <row r="75" spans="1:26" ht="15">
      <c r="A75" s="302" t="s">
        <v>2700</v>
      </c>
      <c r="B75" s="295"/>
      <c r="C75" s="215" t="s">
        <v>2555</v>
      </c>
      <c r="D75" s="216">
        <v>44180</v>
      </c>
      <c r="E75" s="8"/>
      <c r="F75" s="8"/>
      <c r="G75" s="8"/>
      <c r="H75" s="8"/>
      <c r="I75" s="8"/>
      <c r="J75" s="8"/>
      <c r="K75" s="8"/>
      <c r="L75" s="8"/>
      <c r="M75" s="8"/>
      <c r="N75" s="8"/>
      <c r="O75" s="8"/>
      <c r="P75" s="8"/>
      <c r="Q75" s="8"/>
      <c r="R75" s="8"/>
      <c r="S75" s="8"/>
      <c r="T75" s="8"/>
      <c r="U75" s="8"/>
      <c r="V75" s="8"/>
      <c r="W75" s="8"/>
      <c r="X75" s="8"/>
      <c r="Y75" s="8"/>
      <c r="Z75" s="8"/>
    </row>
    <row r="76" spans="1:26" ht="15">
      <c r="A76" s="294"/>
      <c r="B76" s="295"/>
      <c r="C76" s="215" t="s">
        <v>2556</v>
      </c>
      <c r="D76" s="217">
        <v>44834</v>
      </c>
      <c r="E76" s="8"/>
      <c r="F76" s="8"/>
      <c r="G76" s="8"/>
      <c r="H76" s="8"/>
      <c r="I76" s="8"/>
      <c r="J76" s="8"/>
      <c r="K76" s="8"/>
      <c r="L76" s="8"/>
      <c r="M76" s="8"/>
      <c r="N76" s="8"/>
      <c r="O76" s="8"/>
      <c r="P76" s="8"/>
      <c r="Q76" s="8"/>
      <c r="R76" s="8"/>
      <c r="S76" s="8"/>
      <c r="T76" s="8"/>
      <c r="U76" s="8"/>
      <c r="V76" s="8"/>
      <c r="W76" s="8"/>
      <c r="X76" s="8"/>
      <c r="Y76" s="8"/>
      <c r="Z76" s="8"/>
    </row>
    <row r="77" spans="1:26" ht="15">
      <c r="A77" s="294"/>
      <c r="B77" s="295"/>
      <c r="C77" s="215" t="s">
        <v>2557</v>
      </c>
      <c r="D77" s="248"/>
      <c r="E77" s="8"/>
      <c r="F77" s="8"/>
      <c r="G77" s="8"/>
      <c r="H77" s="8"/>
      <c r="I77" s="8"/>
      <c r="J77" s="8"/>
      <c r="K77" s="8"/>
      <c r="L77" s="8"/>
      <c r="M77" s="8"/>
      <c r="N77" s="8"/>
      <c r="O77" s="8"/>
      <c r="P77" s="8"/>
      <c r="Q77" s="8"/>
      <c r="R77" s="8"/>
      <c r="S77" s="8"/>
      <c r="T77" s="8"/>
      <c r="U77" s="8"/>
      <c r="V77" s="8"/>
      <c r="W77" s="8"/>
      <c r="X77" s="8"/>
      <c r="Y77" s="8"/>
      <c r="Z77" s="8"/>
    </row>
    <row r="78" spans="1:26" ht="15">
      <c r="A78" s="294"/>
      <c r="B78" s="295"/>
      <c r="C78" s="215" t="s">
        <v>2558</v>
      </c>
      <c r="D78" s="215" t="s">
        <v>2701</v>
      </c>
      <c r="E78" s="8"/>
      <c r="F78" s="8"/>
      <c r="G78" s="8"/>
      <c r="H78" s="8"/>
      <c r="I78" s="8"/>
      <c r="J78" s="8"/>
      <c r="K78" s="8"/>
      <c r="L78" s="8"/>
      <c r="M78" s="8"/>
      <c r="N78" s="8"/>
      <c r="O78" s="8"/>
      <c r="P78" s="8"/>
      <c r="Q78" s="8"/>
      <c r="R78" s="8"/>
      <c r="S78" s="8"/>
      <c r="T78" s="8"/>
      <c r="U78" s="8"/>
      <c r="V78" s="8"/>
      <c r="W78" s="8"/>
      <c r="X78" s="8"/>
      <c r="Y78" s="8"/>
      <c r="Z78" s="8"/>
    </row>
    <row r="79" spans="1:26" ht="15">
      <c r="A79" s="294"/>
      <c r="B79" s="295"/>
      <c r="C79" s="215" t="s">
        <v>2560</v>
      </c>
      <c r="D79" s="215" t="s">
        <v>2702</v>
      </c>
      <c r="E79" s="8"/>
      <c r="F79" s="8"/>
      <c r="G79" s="8"/>
      <c r="H79" s="8"/>
      <c r="I79" s="8"/>
      <c r="J79" s="8"/>
      <c r="K79" s="8"/>
      <c r="L79" s="8"/>
      <c r="M79" s="8"/>
      <c r="N79" s="8"/>
      <c r="O79" s="8"/>
      <c r="P79" s="8"/>
      <c r="Q79" s="8"/>
      <c r="R79" s="8"/>
      <c r="S79" s="8"/>
      <c r="T79" s="8"/>
      <c r="U79" s="8"/>
      <c r="V79" s="8"/>
      <c r="W79" s="8"/>
      <c r="X79" s="8"/>
      <c r="Y79" s="8"/>
      <c r="Z79" s="8"/>
    </row>
    <row r="80" spans="1:26" ht="15">
      <c r="A80" s="296"/>
      <c r="B80" s="291"/>
      <c r="C80" s="215" t="s">
        <v>2562</v>
      </c>
      <c r="D80" s="215" t="s">
        <v>2703</v>
      </c>
      <c r="E80" s="218"/>
      <c r="F80" s="8"/>
      <c r="G80" s="8"/>
      <c r="H80" s="8"/>
      <c r="I80" s="8"/>
      <c r="J80" s="8"/>
      <c r="K80" s="8"/>
      <c r="L80" s="8"/>
      <c r="M80" s="8"/>
      <c r="N80" s="8"/>
      <c r="O80" s="8"/>
      <c r="P80" s="8"/>
      <c r="Q80" s="8"/>
      <c r="R80" s="8"/>
      <c r="S80" s="8"/>
      <c r="T80" s="8"/>
      <c r="U80" s="8"/>
      <c r="V80" s="8"/>
      <c r="W80" s="8"/>
      <c r="X80" s="8"/>
      <c r="Y80" s="8"/>
      <c r="Z80" s="8"/>
    </row>
    <row r="81" spans="1:26" ht="15">
      <c r="A81" s="219" t="s">
        <v>2564</v>
      </c>
      <c r="B81" s="220" t="s">
        <v>1</v>
      </c>
      <c r="C81" s="220" t="s">
        <v>2592</v>
      </c>
      <c r="D81" s="220" t="s">
        <v>2593</v>
      </c>
      <c r="E81" s="220" t="s">
        <v>15</v>
      </c>
      <c r="F81" s="8"/>
      <c r="G81" s="8"/>
      <c r="H81" s="8"/>
      <c r="I81" s="8"/>
      <c r="J81" s="8"/>
      <c r="K81" s="8"/>
      <c r="L81" s="8"/>
      <c r="M81" s="8"/>
      <c r="N81" s="8"/>
      <c r="O81" s="8"/>
      <c r="P81" s="8"/>
      <c r="Q81" s="8"/>
      <c r="R81" s="8"/>
      <c r="S81" s="8"/>
      <c r="T81" s="8"/>
      <c r="U81" s="8"/>
      <c r="V81" s="8"/>
      <c r="W81" s="8"/>
      <c r="X81" s="8"/>
      <c r="Y81" s="8"/>
      <c r="Z81" s="8"/>
    </row>
    <row r="82" spans="1:26" ht="15">
      <c r="A82" s="300" t="s">
        <v>2704</v>
      </c>
      <c r="B82" s="291"/>
      <c r="C82" s="226" t="s">
        <v>2705</v>
      </c>
      <c r="D82" s="11"/>
      <c r="E82" s="11"/>
      <c r="F82" s="241" t="s">
        <v>2706</v>
      </c>
      <c r="G82" s="8"/>
      <c r="H82" s="8"/>
      <c r="I82" s="8"/>
      <c r="J82" s="8"/>
      <c r="K82" s="8"/>
      <c r="L82" s="8"/>
      <c r="M82" s="8"/>
      <c r="N82" s="8"/>
      <c r="O82" s="8"/>
      <c r="P82" s="8"/>
      <c r="Q82" s="8"/>
      <c r="R82" s="8"/>
      <c r="S82" s="8"/>
      <c r="T82" s="8"/>
      <c r="U82" s="8"/>
      <c r="V82" s="8"/>
      <c r="W82" s="8"/>
      <c r="X82" s="8"/>
      <c r="Y82" s="8"/>
      <c r="Z82" s="8"/>
    </row>
    <row r="83" spans="1:26">
      <c r="A83" s="240" t="s">
        <v>2707</v>
      </c>
      <c r="B83" s="222" t="s">
        <v>2708</v>
      </c>
      <c r="C83" s="11"/>
      <c r="D83" s="11"/>
      <c r="E83" s="230" t="s">
        <v>2709</v>
      </c>
      <c r="F83" s="8"/>
      <c r="G83" s="8"/>
      <c r="H83" s="8"/>
      <c r="I83" s="8"/>
      <c r="J83" s="8"/>
      <c r="K83" s="8"/>
      <c r="L83" s="8"/>
      <c r="M83" s="8"/>
      <c r="N83" s="8"/>
      <c r="O83" s="8"/>
      <c r="P83" s="8"/>
      <c r="Q83" s="8"/>
      <c r="R83" s="8"/>
      <c r="S83" s="8"/>
      <c r="T83" s="8"/>
      <c r="U83" s="8"/>
      <c r="V83" s="8"/>
      <c r="W83" s="8"/>
      <c r="X83" s="8"/>
      <c r="Y83" s="8"/>
      <c r="Z83" s="8"/>
    </row>
    <row r="84" spans="1:26">
      <c r="A84" s="240" t="s">
        <v>2710</v>
      </c>
      <c r="B84" s="222" t="s">
        <v>2711</v>
      </c>
      <c r="C84" s="223" t="s">
        <v>2712</v>
      </c>
      <c r="D84" s="223" t="s">
        <v>2713</v>
      </c>
      <c r="E84" s="222" t="s">
        <v>2714</v>
      </c>
      <c r="F84" s="241" t="s">
        <v>2713</v>
      </c>
      <c r="G84" s="8"/>
      <c r="H84" s="8"/>
      <c r="I84" s="8"/>
      <c r="J84" s="8"/>
      <c r="K84" s="8"/>
      <c r="L84" s="8"/>
      <c r="M84" s="8"/>
      <c r="N84" s="8"/>
      <c r="O84" s="8"/>
      <c r="P84" s="8"/>
      <c r="Q84" s="8"/>
      <c r="R84" s="8"/>
      <c r="S84" s="8"/>
      <c r="T84" s="8"/>
      <c r="U84" s="8"/>
      <c r="V84" s="8"/>
      <c r="W84" s="8"/>
      <c r="X84" s="8"/>
      <c r="Y84" s="8"/>
      <c r="Z84" s="8"/>
    </row>
    <row r="85" spans="1:26">
      <c r="A85" s="240" t="s">
        <v>2715</v>
      </c>
      <c r="B85" s="222" t="s">
        <v>2716</v>
      </c>
      <c r="C85" s="11"/>
      <c r="D85" s="11"/>
      <c r="E85" s="11"/>
      <c r="F85" s="239" t="s">
        <v>2717</v>
      </c>
      <c r="G85" s="8"/>
      <c r="H85" s="8"/>
      <c r="I85" s="8"/>
      <c r="J85" s="8"/>
      <c r="K85" s="8"/>
      <c r="L85" s="8"/>
      <c r="M85" s="8"/>
      <c r="N85" s="8"/>
      <c r="O85" s="8"/>
      <c r="P85" s="8"/>
      <c r="Q85" s="8"/>
      <c r="R85" s="8"/>
      <c r="S85" s="8"/>
      <c r="T85" s="8"/>
      <c r="U85" s="8"/>
      <c r="V85" s="8"/>
      <c r="W85" s="8"/>
      <c r="X85" s="8"/>
      <c r="Y85" s="8"/>
      <c r="Z85" s="8"/>
    </row>
    <row r="86" spans="1:26" ht="15">
      <c r="A86" s="300" t="s">
        <v>2718</v>
      </c>
      <c r="B86" s="291"/>
      <c r="C86" s="226" t="s">
        <v>2719</v>
      </c>
      <c r="D86" s="11"/>
      <c r="E86" s="11"/>
      <c r="F86" s="8"/>
      <c r="G86" s="8"/>
      <c r="H86" s="8"/>
      <c r="I86" s="8"/>
      <c r="J86" s="8"/>
      <c r="K86" s="8"/>
      <c r="L86" s="8"/>
      <c r="M86" s="8"/>
      <c r="N86" s="8"/>
      <c r="O86" s="8"/>
      <c r="P86" s="8"/>
      <c r="Q86" s="8"/>
      <c r="R86" s="8"/>
      <c r="S86" s="8"/>
      <c r="T86" s="8"/>
      <c r="U86" s="8"/>
      <c r="V86" s="8"/>
      <c r="W86" s="8"/>
      <c r="X86" s="8"/>
      <c r="Y86" s="8"/>
      <c r="Z86" s="8"/>
    </row>
    <row r="87" spans="1:26">
      <c r="A87" s="240" t="s">
        <v>2720</v>
      </c>
      <c r="B87" s="222" t="s">
        <v>2721</v>
      </c>
      <c r="C87" s="223" t="s">
        <v>2719</v>
      </c>
      <c r="D87" s="223" t="s">
        <v>2719</v>
      </c>
      <c r="E87" s="11"/>
      <c r="F87" s="8"/>
      <c r="G87" s="8"/>
      <c r="H87" s="8"/>
      <c r="I87" s="8"/>
      <c r="J87" s="8"/>
      <c r="K87" s="8"/>
      <c r="L87" s="8"/>
      <c r="M87" s="8"/>
      <c r="N87" s="8"/>
      <c r="O87" s="8"/>
      <c r="P87" s="8"/>
      <c r="Q87" s="8"/>
      <c r="R87" s="8"/>
      <c r="S87" s="8"/>
      <c r="T87" s="8"/>
      <c r="U87" s="8"/>
      <c r="V87" s="8"/>
      <c r="W87" s="8"/>
      <c r="X87" s="8"/>
      <c r="Y87" s="8"/>
      <c r="Z87" s="8"/>
    </row>
    <row r="88" spans="1:26">
      <c r="A88" s="240" t="s">
        <v>2722</v>
      </c>
      <c r="B88" s="222" t="s">
        <v>2723</v>
      </c>
      <c r="C88" s="11"/>
      <c r="D88" s="11"/>
      <c r="E88" s="11"/>
      <c r="F88" s="8"/>
      <c r="G88" s="8"/>
      <c r="H88" s="8"/>
      <c r="I88" s="8"/>
      <c r="J88" s="8"/>
      <c r="K88" s="8"/>
      <c r="L88" s="8"/>
      <c r="M88" s="8"/>
      <c r="N88" s="8"/>
      <c r="O88" s="8"/>
      <c r="P88" s="8"/>
      <c r="Q88" s="8"/>
      <c r="R88" s="8"/>
      <c r="S88" s="8"/>
      <c r="T88" s="8"/>
      <c r="U88" s="8"/>
      <c r="V88" s="8"/>
      <c r="W88" s="8"/>
      <c r="X88" s="8"/>
      <c r="Y88" s="8"/>
      <c r="Z88" s="8"/>
    </row>
    <row r="89" spans="1:26" ht="30">
      <c r="A89" s="249" t="s">
        <v>878</v>
      </c>
      <c r="B89" s="235" t="s">
        <v>2724</v>
      </c>
      <c r="C89" s="237" t="s">
        <v>2725</v>
      </c>
      <c r="D89" s="236"/>
      <c r="E89" s="238" t="s">
        <v>2726</v>
      </c>
      <c r="F89" s="8"/>
      <c r="G89" s="8"/>
      <c r="H89" s="8"/>
      <c r="I89" s="8"/>
      <c r="J89" s="8"/>
      <c r="K89" s="8"/>
      <c r="L89" s="8"/>
      <c r="M89" s="8"/>
      <c r="N89" s="8"/>
      <c r="O89" s="8"/>
      <c r="P89" s="8"/>
      <c r="Q89" s="8"/>
      <c r="R89" s="8"/>
      <c r="S89" s="8"/>
      <c r="T89" s="8"/>
      <c r="U89" s="8"/>
      <c r="V89" s="8"/>
      <c r="W89" s="8"/>
      <c r="X89" s="8"/>
      <c r="Y89" s="8"/>
      <c r="Z89" s="8"/>
    </row>
    <row r="90" spans="1:26" ht="12.7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2.7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2.7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2.75">
      <c r="A93" s="218"/>
      <c r="B93" s="218"/>
      <c r="C93" s="218"/>
      <c r="D93" s="218"/>
      <c r="E93" s="8"/>
      <c r="F93" s="8"/>
      <c r="G93" s="8"/>
      <c r="H93" s="8"/>
      <c r="I93" s="8"/>
      <c r="J93" s="8"/>
      <c r="K93" s="8"/>
      <c r="L93" s="8"/>
      <c r="M93" s="8"/>
      <c r="N93" s="8"/>
      <c r="O93" s="8"/>
      <c r="P93" s="8"/>
      <c r="Q93" s="8"/>
      <c r="R93" s="8"/>
      <c r="S93" s="8"/>
      <c r="T93" s="8"/>
      <c r="U93" s="8"/>
      <c r="V93" s="8"/>
      <c r="W93" s="8"/>
      <c r="X93" s="8"/>
      <c r="Y93" s="8"/>
      <c r="Z93" s="8"/>
    </row>
    <row r="94" spans="1:26" ht="15">
      <c r="A94" s="302" t="s">
        <v>2727</v>
      </c>
      <c r="B94" s="295"/>
      <c r="C94" s="215" t="s">
        <v>2555</v>
      </c>
      <c r="D94" s="216">
        <v>44553</v>
      </c>
      <c r="E94" s="8"/>
      <c r="F94" s="8"/>
      <c r="G94" s="8"/>
      <c r="H94" s="8"/>
      <c r="I94" s="8"/>
      <c r="J94" s="8"/>
      <c r="K94" s="8"/>
      <c r="L94" s="8"/>
      <c r="M94" s="8"/>
      <c r="N94" s="8"/>
      <c r="O94" s="8"/>
      <c r="P94" s="8"/>
      <c r="Q94" s="8"/>
      <c r="R94" s="8"/>
      <c r="S94" s="8"/>
      <c r="T94" s="8"/>
      <c r="U94" s="8"/>
      <c r="V94" s="8"/>
      <c r="W94" s="8"/>
      <c r="X94" s="8"/>
      <c r="Y94" s="8"/>
      <c r="Z94" s="8"/>
    </row>
    <row r="95" spans="1:26" ht="15">
      <c r="A95" s="294"/>
      <c r="B95" s="295"/>
      <c r="C95" s="215" t="s">
        <v>2556</v>
      </c>
      <c r="D95" s="216">
        <v>45279</v>
      </c>
      <c r="E95" s="8"/>
      <c r="F95" s="8"/>
      <c r="G95" s="8"/>
      <c r="H95" s="8"/>
      <c r="I95" s="8"/>
      <c r="J95" s="8"/>
      <c r="K95" s="8"/>
      <c r="L95" s="8"/>
      <c r="M95" s="8"/>
      <c r="N95" s="8"/>
      <c r="O95" s="8"/>
      <c r="P95" s="8"/>
      <c r="Q95" s="8"/>
      <c r="R95" s="8"/>
      <c r="S95" s="8"/>
      <c r="T95" s="8"/>
      <c r="U95" s="8"/>
      <c r="V95" s="8"/>
      <c r="W95" s="8"/>
      <c r="X95" s="8"/>
      <c r="Y95" s="8"/>
      <c r="Z95" s="8"/>
    </row>
    <row r="96" spans="1:26" ht="15">
      <c r="A96" s="294"/>
      <c r="B96" s="295"/>
      <c r="C96" s="215" t="s">
        <v>2557</v>
      </c>
      <c r="D96" s="248"/>
      <c r="E96" s="8"/>
      <c r="F96" s="8"/>
      <c r="G96" s="8"/>
      <c r="H96" s="8"/>
      <c r="I96" s="8"/>
      <c r="J96" s="8"/>
      <c r="K96" s="8"/>
      <c r="L96" s="8"/>
      <c r="M96" s="8"/>
      <c r="N96" s="8"/>
      <c r="O96" s="8"/>
      <c r="P96" s="8"/>
      <c r="Q96" s="8"/>
      <c r="R96" s="8"/>
      <c r="S96" s="8"/>
      <c r="T96" s="8"/>
      <c r="U96" s="8"/>
      <c r="V96" s="8"/>
      <c r="W96" s="8"/>
      <c r="X96" s="8"/>
      <c r="Y96" s="8"/>
      <c r="Z96" s="8"/>
    </row>
    <row r="97" spans="1:26" ht="15">
      <c r="A97" s="294"/>
      <c r="B97" s="295"/>
      <c r="C97" s="215" t="s">
        <v>2558</v>
      </c>
      <c r="D97" s="215" t="s">
        <v>2728</v>
      </c>
      <c r="E97" s="8"/>
      <c r="F97" s="8"/>
      <c r="G97" s="8"/>
      <c r="H97" s="8"/>
      <c r="I97" s="8"/>
      <c r="J97" s="8"/>
      <c r="K97" s="8"/>
      <c r="L97" s="8"/>
      <c r="M97" s="8"/>
      <c r="N97" s="8"/>
      <c r="O97" s="8"/>
      <c r="P97" s="8"/>
      <c r="Q97" s="8"/>
      <c r="R97" s="8"/>
      <c r="S97" s="8"/>
      <c r="T97" s="8"/>
      <c r="U97" s="8"/>
      <c r="V97" s="8"/>
      <c r="W97" s="8"/>
      <c r="X97" s="8"/>
      <c r="Y97" s="8"/>
      <c r="Z97" s="8"/>
    </row>
    <row r="98" spans="1:26" ht="15">
      <c r="A98" s="294"/>
      <c r="B98" s="295"/>
      <c r="C98" s="215" t="s">
        <v>2560</v>
      </c>
      <c r="D98" s="215" t="s">
        <v>2729</v>
      </c>
      <c r="E98" s="8"/>
      <c r="F98" s="8"/>
      <c r="G98" s="8"/>
      <c r="H98" s="8"/>
      <c r="I98" s="8"/>
      <c r="J98" s="8"/>
      <c r="K98" s="8"/>
      <c r="L98" s="8"/>
      <c r="M98" s="8"/>
      <c r="N98" s="8"/>
      <c r="O98" s="8"/>
      <c r="P98" s="8"/>
      <c r="Q98" s="8"/>
      <c r="R98" s="8"/>
      <c r="S98" s="8"/>
      <c r="T98" s="8"/>
      <c r="U98" s="8"/>
      <c r="V98" s="8"/>
      <c r="W98" s="8"/>
      <c r="X98" s="8"/>
      <c r="Y98" s="8"/>
      <c r="Z98" s="8"/>
    </row>
    <row r="99" spans="1:26" ht="15">
      <c r="A99" s="296"/>
      <c r="B99" s="291"/>
      <c r="C99" s="215" t="s">
        <v>2562</v>
      </c>
      <c r="D99" s="215" t="s">
        <v>2730</v>
      </c>
      <c r="E99" s="218"/>
      <c r="F99" s="8"/>
      <c r="G99" s="8"/>
      <c r="H99" s="8"/>
      <c r="I99" s="8"/>
      <c r="J99" s="8"/>
      <c r="K99" s="8"/>
      <c r="L99" s="8"/>
      <c r="M99" s="8"/>
      <c r="N99" s="8"/>
      <c r="O99" s="8"/>
      <c r="P99" s="8"/>
      <c r="Q99" s="8"/>
      <c r="R99" s="8"/>
      <c r="S99" s="8"/>
      <c r="T99" s="8"/>
      <c r="U99" s="8"/>
      <c r="V99" s="8"/>
      <c r="W99" s="8"/>
      <c r="X99" s="8"/>
      <c r="Y99" s="8"/>
      <c r="Z99" s="8"/>
    </row>
    <row r="100" spans="1:26" ht="15">
      <c r="A100" s="219" t="s">
        <v>2564</v>
      </c>
      <c r="B100" s="220" t="s">
        <v>1</v>
      </c>
      <c r="C100" s="220" t="s">
        <v>2592</v>
      </c>
      <c r="D100" s="220" t="s">
        <v>2593</v>
      </c>
      <c r="E100" s="220" t="s">
        <v>15</v>
      </c>
      <c r="F100" s="8"/>
      <c r="G100" s="8"/>
      <c r="H100" s="8"/>
      <c r="I100" s="8"/>
      <c r="J100" s="8"/>
      <c r="K100" s="8"/>
      <c r="L100" s="8"/>
      <c r="M100" s="8"/>
      <c r="N100" s="8"/>
      <c r="O100" s="8"/>
      <c r="P100" s="8"/>
      <c r="Q100" s="8"/>
      <c r="R100" s="8"/>
      <c r="S100" s="8"/>
      <c r="T100" s="8"/>
      <c r="U100" s="8"/>
      <c r="V100" s="8"/>
      <c r="W100" s="8"/>
      <c r="X100" s="8"/>
      <c r="Y100" s="8"/>
      <c r="Z100" s="8"/>
    </row>
    <row r="101" spans="1:26">
      <c r="A101" s="303" t="s">
        <v>2731</v>
      </c>
      <c r="B101" s="291"/>
      <c r="C101" s="226" t="s">
        <v>2732</v>
      </c>
      <c r="D101" s="11"/>
      <c r="E101" s="11"/>
      <c r="F101" s="8"/>
      <c r="G101" s="8"/>
      <c r="H101" s="8"/>
      <c r="I101" s="8"/>
      <c r="J101" s="8"/>
      <c r="K101" s="8"/>
      <c r="L101" s="8"/>
      <c r="M101" s="8"/>
      <c r="N101" s="8"/>
      <c r="O101" s="8"/>
      <c r="P101" s="8"/>
      <c r="Q101" s="8"/>
      <c r="R101" s="8"/>
      <c r="S101" s="8"/>
      <c r="T101" s="8"/>
      <c r="U101" s="8"/>
      <c r="V101" s="8"/>
      <c r="W101" s="8"/>
      <c r="X101" s="8"/>
      <c r="Y101" s="8"/>
      <c r="Z101" s="8"/>
    </row>
    <row r="102" spans="1:26">
      <c r="A102" s="240" t="s">
        <v>2733</v>
      </c>
      <c r="B102" s="222" t="s">
        <v>2734</v>
      </c>
      <c r="C102" s="223" t="s">
        <v>2735</v>
      </c>
      <c r="D102" s="223" t="s">
        <v>2736</v>
      </c>
      <c r="E102" s="224" t="s">
        <v>2737</v>
      </c>
      <c r="F102" s="8"/>
      <c r="G102" s="8"/>
      <c r="H102" s="8"/>
      <c r="I102" s="8"/>
      <c r="J102" s="8"/>
      <c r="K102" s="8"/>
      <c r="L102" s="8"/>
      <c r="M102" s="8"/>
      <c r="N102" s="8"/>
      <c r="O102" s="8"/>
      <c r="P102" s="8"/>
      <c r="Q102" s="8"/>
      <c r="R102" s="8"/>
      <c r="S102" s="8"/>
      <c r="T102" s="8"/>
      <c r="U102" s="8"/>
      <c r="V102" s="8"/>
      <c r="W102" s="8"/>
      <c r="X102" s="8"/>
      <c r="Y102" s="8"/>
      <c r="Z102" s="8"/>
    </row>
    <row r="103" spans="1:26">
      <c r="A103" s="240" t="s">
        <v>1451</v>
      </c>
      <c r="B103" s="222" t="s">
        <v>2738</v>
      </c>
      <c r="C103" s="223" t="s">
        <v>1454</v>
      </c>
      <c r="D103" s="223" t="s">
        <v>2739</v>
      </c>
      <c r="E103" s="222" t="s">
        <v>2740</v>
      </c>
      <c r="F103" s="8"/>
      <c r="G103" s="8"/>
      <c r="H103" s="8"/>
      <c r="I103" s="8"/>
      <c r="J103" s="8"/>
      <c r="K103" s="8"/>
      <c r="L103" s="8"/>
      <c r="M103" s="8"/>
      <c r="N103" s="8"/>
      <c r="O103" s="8"/>
      <c r="P103" s="8"/>
      <c r="Q103" s="8"/>
      <c r="R103" s="8"/>
      <c r="S103" s="8"/>
      <c r="T103" s="8"/>
      <c r="U103" s="8"/>
      <c r="V103" s="8"/>
      <c r="W103" s="8"/>
      <c r="X103" s="8"/>
      <c r="Y103" s="8"/>
      <c r="Z103" s="8"/>
    </row>
    <row r="104" spans="1:26" ht="60">
      <c r="A104" s="240" t="s">
        <v>1471</v>
      </c>
      <c r="B104" s="222" t="s">
        <v>2741</v>
      </c>
      <c r="C104" s="223" t="s">
        <v>2742</v>
      </c>
      <c r="D104" s="223" t="s">
        <v>2743</v>
      </c>
      <c r="E104" s="224" t="s">
        <v>2744</v>
      </c>
      <c r="F104" s="8"/>
      <c r="G104" s="8"/>
      <c r="H104" s="8"/>
      <c r="I104" s="8"/>
      <c r="J104" s="8"/>
      <c r="K104" s="8"/>
      <c r="L104" s="8"/>
      <c r="M104" s="8"/>
      <c r="N104" s="8"/>
      <c r="O104" s="8"/>
      <c r="P104" s="8"/>
      <c r="Q104" s="8"/>
      <c r="R104" s="8"/>
      <c r="S104" s="8"/>
      <c r="T104" s="8"/>
      <c r="U104" s="8"/>
      <c r="V104" s="8"/>
      <c r="W104" s="8"/>
      <c r="X104" s="8"/>
      <c r="Y104" s="8"/>
      <c r="Z104" s="8"/>
    </row>
    <row r="105" spans="1:26" ht="15">
      <c r="A105" s="244" t="s">
        <v>2745</v>
      </c>
      <c r="B105" s="245" t="s">
        <v>2746</v>
      </c>
      <c r="C105" s="236"/>
      <c r="D105" s="236"/>
      <c r="E105" s="236"/>
      <c r="F105" s="8"/>
      <c r="G105" s="8"/>
      <c r="H105" s="8"/>
      <c r="I105" s="8"/>
      <c r="J105" s="8"/>
      <c r="K105" s="8"/>
      <c r="L105" s="8"/>
      <c r="M105" s="8"/>
      <c r="N105" s="8"/>
      <c r="O105" s="8"/>
      <c r="P105" s="8"/>
      <c r="Q105" s="8"/>
      <c r="R105" s="8"/>
      <c r="S105" s="8"/>
      <c r="T105" s="8"/>
      <c r="U105" s="8"/>
      <c r="V105" s="8"/>
      <c r="W105" s="8"/>
      <c r="X105" s="8"/>
      <c r="Y105" s="8"/>
      <c r="Z105" s="8"/>
    </row>
    <row r="106" spans="1:26" ht="15">
      <c r="A106" s="250" t="s">
        <v>476</v>
      </c>
      <c r="B106" s="251" t="s">
        <v>2747</v>
      </c>
      <c r="C106" s="252" t="s">
        <v>2748</v>
      </c>
      <c r="D106" s="253" t="s">
        <v>2748</v>
      </c>
      <c r="E106" s="251" t="s">
        <v>2749</v>
      </c>
      <c r="F106" s="8"/>
      <c r="G106" s="8"/>
      <c r="H106" s="8"/>
      <c r="I106" s="8"/>
      <c r="J106" s="8"/>
      <c r="K106" s="8"/>
      <c r="L106" s="8"/>
      <c r="M106" s="8"/>
      <c r="N106" s="8"/>
      <c r="O106" s="8"/>
      <c r="P106" s="8"/>
      <c r="Q106" s="8"/>
      <c r="R106" s="8"/>
      <c r="S106" s="8"/>
      <c r="T106" s="8"/>
      <c r="U106" s="8"/>
      <c r="V106" s="8"/>
      <c r="W106" s="8"/>
      <c r="X106" s="8"/>
      <c r="Y106" s="8"/>
      <c r="Z106" s="8"/>
    </row>
    <row r="107" spans="1:26" ht="15">
      <c r="A107" s="244" t="s">
        <v>2750</v>
      </c>
      <c r="B107" s="245" t="s">
        <v>2751</v>
      </c>
      <c r="C107" s="11"/>
      <c r="D107" s="11"/>
      <c r="E107" s="11"/>
      <c r="F107" s="8"/>
      <c r="G107" s="8"/>
      <c r="H107" s="8"/>
      <c r="I107" s="8"/>
      <c r="J107" s="8"/>
      <c r="K107" s="8"/>
      <c r="L107" s="8"/>
      <c r="M107" s="8"/>
      <c r="N107" s="8"/>
      <c r="O107" s="8"/>
      <c r="P107" s="8"/>
      <c r="Q107" s="8"/>
      <c r="R107" s="8"/>
      <c r="S107" s="8"/>
      <c r="T107" s="8"/>
      <c r="U107" s="8"/>
      <c r="V107" s="8"/>
      <c r="W107" s="8"/>
      <c r="X107" s="8"/>
      <c r="Y107" s="8"/>
      <c r="Z107" s="8"/>
    </row>
    <row r="108" spans="1:26">
      <c r="A108" s="304" t="s">
        <v>2752</v>
      </c>
      <c r="B108" s="291"/>
      <c r="C108" s="252" t="s">
        <v>2753</v>
      </c>
      <c r="D108" s="11"/>
      <c r="E108" s="11"/>
      <c r="F108" s="8"/>
      <c r="G108" s="8"/>
      <c r="H108" s="8"/>
      <c r="I108" s="8"/>
      <c r="J108" s="8"/>
      <c r="K108" s="8"/>
      <c r="L108" s="8"/>
      <c r="M108" s="8"/>
      <c r="N108" s="8"/>
      <c r="O108" s="8"/>
      <c r="P108" s="8"/>
      <c r="Q108" s="8"/>
      <c r="R108" s="8"/>
      <c r="S108" s="8"/>
      <c r="T108" s="8"/>
      <c r="U108" s="8"/>
      <c r="V108" s="8"/>
      <c r="W108" s="8"/>
      <c r="X108" s="8"/>
      <c r="Y108" s="8"/>
      <c r="Z108" s="8"/>
    </row>
    <row r="109" spans="1:26">
      <c r="A109" s="240" t="s">
        <v>2754</v>
      </c>
      <c r="B109" s="222" t="s">
        <v>2755</v>
      </c>
      <c r="C109" s="11"/>
      <c r="D109" s="11"/>
      <c r="E109" s="11"/>
      <c r="F109" s="8"/>
      <c r="G109" s="8"/>
      <c r="H109" s="8"/>
      <c r="I109" s="8"/>
      <c r="J109" s="8"/>
      <c r="K109" s="8"/>
      <c r="L109" s="8"/>
      <c r="M109" s="8"/>
      <c r="N109" s="8"/>
      <c r="O109" s="8"/>
      <c r="P109" s="8"/>
      <c r="Q109" s="8"/>
      <c r="R109" s="8"/>
      <c r="S109" s="8"/>
      <c r="T109" s="8"/>
      <c r="U109" s="8"/>
      <c r="V109" s="8"/>
      <c r="W109" s="8"/>
      <c r="X109" s="8"/>
      <c r="Y109" s="8"/>
      <c r="Z109" s="8"/>
    </row>
    <row r="110" spans="1:26">
      <c r="A110" s="240" t="s">
        <v>2756</v>
      </c>
      <c r="B110" s="222" t="s">
        <v>2757</v>
      </c>
      <c r="C110" s="11"/>
      <c r="D110" s="11"/>
      <c r="E110" s="11"/>
      <c r="F110" s="8"/>
      <c r="G110" s="8"/>
      <c r="H110" s="8"/>
      <c r="I110" s="8"/>
      <c r="J110" s="8"/>
      <c r="K110" s="8"/>
      <c r="L110" s="8"/>
      <c r="M110" s="8"/>
      <c r="N110" s="8"/>
      <c r="O110" s="8"/>
      <c r="P110" s="8"/>
      <c r="Q110" s="8"/>
      <c r="R110" s="8"/>
      <c r="S110" s="8"/>
      <c r="T110" s="8"/>
      <c r="U110" s="8"/>
      <c r="V110" s="8"/>
      <c r="W110" s="8"/>
      <c r="X110" s="8"/>
      <c r="Y110" s="8"/>
      <c r="Z110" s="8"/>
    </row>
    <row r="111" spans="1:26">
      <c r="A111" s="303" t="s">
        <v>2758</v>
      </c>
      <c r="B111" s="291"/>
      <c r="C111" s="226" t="s">
        <v>2759</v>
      </c>
      <c r="D111" s="11"/>
      <c r="E111" s="11"/>
      <c r="F111" s="8"/>
      <c r="G111" s="8"/>
      <c r="H111" s="8"/>
      <c r="I111" s="8"/>
      <c r="J111" s="8"/>
      <c r="K111" s="8"/>
      <c r="L111" s="8"/>
      <c r="M111" s="8"/>
      <c r="N111" s="8"/>
      <c r="O111" s="8"/>
      <c r="P111" s="8"/>
      <c r="Q111" s="8"/>
      <c r="R111" s="8"/>
      <c r="S111" s="8"/>
      <c r="T111" s="8"/>
      <c r="U111" s="8"/>
      <c r="V111" s="8"/>
      <c r="W111" s="8"/>
      <c r="X111" s="8"/>
      <c r="Y111" s="8"/>
      <c r="Z111" s="8"/>
    </row>
    <row r="112" spans="1:26" ht="30">
      <c r="A112" s="240" t="s">
        <v>1551</v>
      </c>
      <c r="B112" s="222" t="s">
        <v>2760</v>
      </c>
      <c r="C112" s="223" t="s">
        <v>2759</v>
      </c>
      <c r="D112" s="223" t="s">
        <v>2761</v>
      </c>
      <c r="E112" s="224" t="s">
        <v>2762</v>
      </c>
      <c r="F112" s="8"/>
      <c r="G112" s="8"/>
      <c r="H112" s="8"/>
      <c r="I112" s="8"/>
      <c r="J112" s="8"/>
      <c r="K112" s="8"/>
      <c r="L112" s="8"/>
      <c r="M112" s="8"/>
      <c r="N112" s="8"/>
      <c r="O112" s="8"/>
      <c r="P112" s="8"/>
      <c r="Q112" s="8"/>
      <c r="R112" s="8"/>
      <c r="S112" s="8"/>
      <c r="T112" s="8"/>
      <c r="U112" s="8"/>
      <c r="V112" s="8"/>
      <c r="W112" s="8"/>
      <c r="X112" s="8"/>
      <c r="Y112" s="8"/>
      <c r="Z112" s="8"/>
    </row>
    <row r="113" spans="1:26">
      <c r="A113" s="240" t="s">
        <v>2763</v>
      </c>
      <c r="B113" s="245" t="s">
        <v>2764</v>
      </c>
      <c r="C113" s="11"/>
      <c r="D113" s="11"/>
      <c r="E113" s="11"/>
      <c r="F113" s="8"/>
      <c r="G113" s="8"/>
      <c r="H113" s="8"/>
      <c r="I113" s="8"/>
      <c r="J113" s="8"/>
      <c r="K113" s="8"/>
      <c r="L113" s="8"/>
      <c r="M113" s="8"/>
      <c r="N113" s="8"/>
      <c r="O113" s="8"/>
      <c r="P113" s="8"/>
      <c r="Q113" s="8"/>
      <c r="R113" s="8"/>
      <c r="S113" s="8"/>
      <c r="T113" s="8"/>
      <c r="U113" s="8"/>
      <c r="V113" s="8"/>
      <c r="W113" s="8"/>
      <c r="X113" s="8"/>
      <c r="Y113" s="8"/>
      <c r="Z113" s="8"/>
    </row>
    <row r="114" spans="1:26" ht="12.7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2.75">
      <c r="A115" s="218"/>
      <c r="B115" s="218"/>
      <c r="C115" s="218"/>
      <c r="D115" s="218"/>
      <c r="E115" s="8"/>
      <c r="F115" s="8"/>
      <c r="G115" s="8"/>
      <c r="H115" s="8"/>
      <c r="I115" s="8"/>
      <c r="J115" s="8"/>
      <c r="K115" s="8"/>
      <c r="L115" s="8"/>
      <c r="M115" s="8"/>
      <c r="N115" s="8"/>
      <c r="O115" s="8"/>
      <c r="P115" s="8"/>
      <c r="Q115" s="8"/>
      <c r="R115" s="8"/>
      <c r="S115" s="8"/>
      <c r="T115" s="8"/>
      <c r="U115" s="8"/>
      <c r="V115" s="8"/>
      <c r="W115" s="8"/>
      <c r="X115" s="8"/>
      <c r="Y115" s="8"/>
      <c r="Z115" s="8"/>
    </row>
    <row r="116" spans="1:26" ht="15">
      <c r="A116" s="302" t="s">
        <v>2765</v>
      </c>
      <c r="B116" s="295"/>
      <c r="C116" s="215" t="s">
        <v>2555</v>
      </c>
      <c r="D116" s="216">
        <v>44547</v>
      </c>
      <c r="E116" s="8"/>
      <c r="F116" s="8"/>
      <c r="G116" s="8"/>
      <c r="H116" s="8"/>
      <c r="I116" s="8"/>
      <c r="J116" s="8"/>
      <c r="K116" s="8"/>
      <c r="L116" s="8"/>
      <c r="M116" s="8"/>
      <c r="N116" s="8"/>
      <c r="O116" s="8"/>
      <c r="P116" s="8"/>
      <c r="Q116" s="8"/>
      <c r="R116" s="8"/>
      <c r="S116" s="8"/>
      <c r="T116" s="8"/>
      <c r="U116" s="8"/>
      <c r="V116" s="8"/>
      <c r="W116" s="8"/>
      <c r="X116" s="8"/>
      <c r="Y116" s="8"/>
      <c r="Z116" s="8"/>
    </row>
    <row r="117" spans="1:26" ht="15">
      <c r="A117" s="294"/>
      <c r="B117" s="295"/>
      <c r="C117" s="215" t="s">
        <v>2556</v>
      </c>
      <c r="D117" s="216">
        <v>45260</v>
      </c>
      <c r="E117" s="8"/>
      <c r="F117" s="8"/>
      <c r="G117" s="8"/>
      <c r="H117" s="8"/>
      <c r="I117" s="8"/>
      <c r="J117" s="8"/>
      <c r="K117" s="8"/>
      <c r="L117" s="8"/>
      <c r="M117" s="8"/>
      <c r="N117" s="8"/>
      <c r="O117" s="8"/>
      <c r="P117" s="8"/>
      <c r="Q117" s="8"/>
      <c r="R117" s="8"/>
      <c r="S117" s="8"/>
      <c r="T117" s="8"/>
      <c r="U117" s="8"/>
      <c r="V117" s="8"/>
      <c r="W117" s="8"/>
      <c r="X117" s="8"/>
      <c r="Y117" s="8"/>
      <c r="Z117" s="8"/>
    </row>
    <row r="118" spans="1:26" ht="15">
      <c r="A118" s="294"/>
      <c r="B118" s="295"/>
      <c r="C118" s="215" t="s">
        <v>2557</v>
      </c>
      <c r="D118" s="248"/>
      <c r="E118" s="8"/>
      <c r="F118" s="8"/>
      <c r="G118" s="8"/>
      <c r="H118" s="8"/>
      <c r="I118" s="8"/>
      <c r="J118" s="8"/>
      <c r="K118" s="8"/>
      <c r="L118" s="8"/>
      <c r="M118" s="8"/>
      <c r="N118" s="8"/>
      <c r="O118" s="8"/>
      <c r="P118" s="8"/>
      <c r="Q118" s="8"/>
      <c r="R118" s="8"/>
      <c r="S118" s="8"/>
      <c r="T118" s="8"/>
      <c r="U118" s="8"/>
      <c r="V118" s="8"/>
      <c r="W118" s="8"/>
      <c r="X118" s="8"/>
      <c r="Y118" s="8"/>
      <c r="Z118" s="8"/>
    </row>
    <row r="119" spans="1:26" ht="15">
      <c r="A119" s="294"/>
      <c r="B119" s="295"/>
      <c r="C119" s="215" t="s">
        <v>2558</v>
      </c>
      <c r="D119" s="215" t="s">
        <v>2766</v>
      </c>
      <c r="E119" s="8"/>
      <c r="F119" s="8"/>
      <c r="G119" s="8"/>
      <c r="H119" s="8"/>
      <c r="I119" s="8"/>
      <c r="J119" s="8"/>
      <c r="K119" s="8"/>
      <c r="L119" s="8"/>
      <c r="M119" s="8"/>
      <c r="N119" s="8"/>
      <c r="O119" s="8"/>
      <c r="P119" s="8"/>
      <c r="Q119" s="8"/>
      <c r="R119" s="8"/>
      <c r="S119" s="8"/>
      <c r="T119" s="8"/>
      <c r="U119" s="8"/>
      <c r="V119" s="8"/>
      <c r="W119" s="8"/>
      <c r="X119" s="8"/>
      <c r="Y119" s="8"/>
      <c r="Z119" s="8"/>
    </row>
    <row r="120" spans="1:26" ht="15">
      <c r="A120" s="294"/>
      <c r="B120" s="295"/>
      <c r="C120" s="215" t="s">
        <v>2560</v>
      </c>
      <c r="D120" s="248"/>
      <c r="E120" s="8"/>
      <c r="F120" s="8"/>
      <c r="G120" s="8"/>
      <c r="H120" s="8"/>
      <c r="I120" s="8"/>
      <c r="J120" s="8"/>
      <c r="K120" s="8"/>
      <c r="L120" s="8"/>
      <c r="M120" s="8"/>
      <c r="N120" s="8"/>
      <c r="O120" s="8"/>
      <c r="P120" s="8"/>
      <c r="Q120" s="8"/>
      <c r="R120" s="8"/>
      <c r="S120" s="8"/>
      <c r="T120" s="8"/>
      <c r="U120" s="8"/>
      <c r="V120" s="8"/>
      <c r="W120" s="8"/>
      <c r="X120" s="8"/>
      <c r="Y120" s="8"/>
      <c r="Z120" s="8"/>
    </row>
    <row r="121" spans="1:26" ht="15">
      <c r="A121" s="296"/>
      <c r="B121" s="291"/>
      <c r="C121" s="215" t="s">
        <v>2562</v>
      </c>
      <c r="D121" s="215" t="s">
        <v>2766</v>
      </c>
      <c r="E121" s="218"/>
      <c r="F121" s="8"/>
      <c r="G121" s="8"/>
      <c r="H121" s="8"/>
      <c r="I121" s="8"/>
      <c r="J121" s="8"/>
      <c r="K121" s="8"/>
      <c r="L121" s="8"/>
      <c r="M121" s="8"/>
      <c r="N121" s="8"/>
      <c r="O121" s="8"/>
      <c r="P121" s="8"/>
      <c r="Q121" s="8"/>
      <c r="R121" s="8"/>
      <c r="S121" s="8"/>
      <c r="T121" s="8"/>
      <c r="U121" s="8"/>
      <c r="V121" s="8"/>
      <c r="W121" s="8"/>
      <c r="X121" s="8"/>
      <c r="Y121" s="8"/>
      <c r="Z121" s="8"/>
    </row>
    <row r="122" spans="1:26" ht="15">
      <c r="A122" s="254" t="s">
        <v>2564</v>
      </c>
      <c r="B122" s="248"/>
      <c r="C122" s="215" t="s">
        <v>2566</v>
      </c>
      <c r="D122" s="215" t="s">
        <v>2560</v>
      </c>
      <c r="E122" s="215" t="s">
        <v>15</v>
      </c>
      <c r="F122" s="8"/>
      <c r="G122" s="8"/>
      <c r="H122" s="8"/>
      <c r="I122" s="8"/>
      <c r="J122" s="8"/>
      <c r="K122" s="8"/>
      <c r="L122" s="8"/>
      <c r="M122" s="8"/>
      <c r="N122" s="8"/>
      <c r="O122" s="8"/>
      <c r="P122" s="8"/>
      <c r="Q122" s="8"/>
      <c r="R122" s="8"/>
      <c r="S122" s="8"/>
      <c r="T122" s="8"/>
      <c r="U122" s="8"/>
      <c r="V122" s="8"/>
      <c r="W122" s="8"/>
      <c r="X122" s="8"/>
      <c r="Y122" s="8"/>
      <c r="Z122" s="8"/>
    </row>
    <row r="123" spans="1:26" ht="30">
      <c r="A123" s="255" t="s">
        <v>1460</v>
      </c>
      <c r="B123" s="256" t="s">
        <v>2767</v>
      </c>
      <c r="C123" s="257" t="s">
        <v>2768</v>
      </c>
      <c r="D123" s="258"/>
      <c r="E123" s="259" t="s">
        <v>2769</v>
      </c>
      <c r="F123" s="8"/>
      <c r="G123" s="8"/>
      <c r="H123" s="8"/>
      <c r="I123" s="8"/>
      <c r="J123" s="8"/>
      <c r="K123" s="8"/>
      <c r="L123" s="8"/>
      <c r="M123" s="8"/>
      <c r="N123" s="8"/>
      <c r="O123" s="8"/>
      <c r="P123" s="8"/>
      <c r="Q123" s="8"/>
      <c r="R123" s="8"/>
      <c r="S123" s="8"/>
      <c r="T123" s="8"/>
      <c r="U123" s="8"/>
      <c r="V123" s="8"/>
      <c r="W123" s="8"/>
      <c r="X123" s="8"/>
      <c r="Y123" s="8"/>
      <c r="Z123" s="8"/>
    </row>
    <row r="124" spans="1:26" ht="45">
      <c r="A124" s="255" t="s">
        <v>1467</v>
      </c>
      <c r="B124" s="256" t="s">
        <v>2770</v>
      </c>
      <c r="C124" s="257" t="s">
        <v>1469</v>
      </c>
      <c r="D124" s="258"/>
      <c r="E124" s="259" t="s">
        <v>2771</v>
      </c>
      <c r="F124" s="8"/>
      <c r="G124" s="8"/>
      <c r="H124" s="8"/>
      <c r="I124" s="8"/>
      <c r="J124" s="8"/>
      <c r="K124" s="8"/>
      <c r="L124" s="8"/>
      <c r="M124" s="8"/>
      <c r="N124" s="8"/>
      <c r="O124" s="8"/>
      <c r="P124" s="8"/>
      <c r="Q124" s="8"/>
      <c r="R124" s="8"/>
      <c r="S124" s="8"/>
      <c r="T124" s="8"/>
      <c r="U124" s="8"/>
      <c r="V124" s="8"/>
      <c r="W124" s="8"/>
      <c r="X124" s="8"/>
      <c r="Y124" s="8"/>
      <c r="Z124" s="8"/>
    </row>
    <row r="125" spans="1:26" ht="15">
      <c r="A125" s="244" t="s">
        <v>756</v>
      </c>
      <c r="B125" s="245" t="s">
        <v>2772</v>
      </c>
      <c r="C125" s="226" t="s">
        <v>2773</v>
      </c>
      <c r="D125" s="223" t="s">
        <v>759</v>
      </c>
      <c r="E125" s="222" t="s">
        <v>2774</v>
      </c>
      <c r="F125" s="8"/>
      <c r="G125" s="8"/>
      <c r="H125" s="8"/>
      <c r="I125" s="8"/>
      <c r="J125" s="8"/>
      <c r="K125" s="8"/>
      <c r="L125" s="8"/>
      <c r="M125" s="8"/>
      <c r="N125" s="8"/>
      <c r="O125" s="8"/>
      <c r="P125" s="8"/>
      <c r="Q125" s="8"/>
      <c r="R125" s="8"/>
      <c r="S125" s="8"/>
      <c r="T125" s="8"/>
      <c r="U125" s="8"/>
      <c r="V125" s="8"/>
      <c r="W125" s="8"/>
      <c r="X125" s="8"/>
      <c r="Y125" s="8"/>
      <c r="Z125" s="8"/>
    </row>
    <row r="126" spans="1:26" ht="15">
      <c r="A126" s="244" t="s">
        <v>141</v>
      </c>
      <c r="B126" s="245" t="s">
        <v>2775</v>
      </c>
      <c r="C126" s="226" t="s">
        <v>2776</v>
      </c>
      <c r="D126" s="223" t="s">
        <v>2777</v>
      </c>
      <c r="E126" s="222" t="s">
        <v>2778</v>
      </c>
      <c r="F126" s="8"/>
      <c r="G126" s="8"/>
      <c r="H126" s="8"/>
      <c r="I126" s="8"/>
      <c r="J126" s="8"/>
      <c r="K126" s="8"/>
      <c r="L126" s="8"/>
      <c r="M126" s="8"/>
      <c r="N126" s="8"/>
      <c r="O126" s="8"/>
      <c r="P126" s="8"/>
      <c r="Q126" s="8"/>
      <c r="R126" s="8"/>
      <c r="S126" s="8"/>
      <c r="T126" s="8"/>
      <c r="U126" s="8"/>
      <c r="V126" s="8"/>
      <c r="W126" s="8"/>
      <c r="X126" s="8"/>
      <c r="Y126" s="8"/>
      <c r="Z126" s="8"/>
    </row>
    <row r="127" spans="1:26" ht="12.7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2.7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2.7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2.7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2.7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2.7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2.75">
      <c r="A133" s="218"/>
      <c r="B133" s="218"/>
      <c r="C133" s="218"/>
      <c r="D133" s="218"/>
      <c r="E133" s="8"/>
      <c r="F133" s="8"/>
      <c r="G133" s="8"/>
      <c r="H133" s="8"/>
      <c r="I133" s="8"/>
      <c r="J133" s="8"/>
      <c r="K133" s="8"/>
      <c r="L133" s="8"/>
      <c r="M133" s="8"/>
      <c r="N133" s="8"/>
      <c r="O133" s="8"/>
      <c r="P133" s="8"/>
      <c r="Q133" s="8"/>
      <c r="R133" s="8"/>
      <c r="S133" s="8"/>
      <c r="T133" s="8"/>
      <c r="U133" s="8"/>
      <c r="V133" s="8"/>
      <c r="W133" s="8"/>
      <c r="X133" s="8"/>
      <c r="Y133" s="8"/>
      <c r="Z133" s="8"/>
    </row>
    <row r="134" spans="1:26" ht="15">
      <c r="A134" s="302" t="s">
        <v>2779</v>
      </c>
      <c r="B134" s="295"/>
      <c r="C134" s="215" t="s">
        <v>2555</v>
      </c>
      <c r="D134" s="216">
        <v>44865</v>
      </c>
      <c r="E134" s="8"/>
      <c r="F134" s="8"/>
      <c r="G134" s="8"/>
      <c r="H134" s="8"/>
      <c r="I134" s="8"/>
      <c r="J134" s="8"/>
      <c r="K134" s="8"/>
      <c r="L134" s="8"/>
      <c r="M134" s="8"/>
      <c r="N134" s="8"/>
      <c r="O134" s="8"/>
      <c r="P134" s="8"/>
      <c r="Q134" s="8"/>
      <c r="R134" s="8"/>
      <c r="S134" s="8"/>
      <c r="T134" s="8"/>
      <c r="U134" s="8"/>
      <c r="V134" s="8"/>
      <c r="W134" s="8"/>
      <c r="X134" s="8"/>
      <c r="Y134" s="8"/>
      <c r="Z134" s="8"/>
    </row>
    <row r="135" spans="1:26" ht="15">
      <c r="A135" s="294"/>
      <c r="B135" s="295"/>
      <c r="C135" s="215" t="s">
        <v>2556</v>
      </c>
      <c r="D135" s="217">
        <v>45535</v>
      </c>
      <c r="E135" s="8"/>
      <c r="F135" s="8"/>
      <c r="G135" s="8"/>
      <c r="H135" s="8"/>
      <c r="I135" s="8"/>
      <c r="J135" s="8"/>
      <c r="K135" s="8"/>
      <c r="L135" s="8"/>
      <c r="M135" s="8"/>
      <c r="N135" s="8"/>
      <c r="O135" s="8"/>
      <c r="P135" s="8"/>
      <c r="Q135" s="8"/>
      <c r="R135" s="8"/>
      <c r="S135" s="8"/>
      <c r="T135" s="8"/>
      <c r="U135" s="8"/>
      <c r="V135" s="8"/>
      <c r="W135" s="8"/>
      <c r="X135" s="8"/>
      <c r="Y135" s="8"/>
      <c r="Z135" s="8"/>
    </row>
    <row r="136" spans="1:26" ht="15">
      <c r="A136" s="294"/>
      <c r="B136" s="295"/>
      <c r="C136" s="215" t="s">
        <v>2557</v>
      </c>
      <c r="D136" s="248"/>
      <c r="E136" s="8"/>
      <c r="F136" s="8"/>
      <c r="G136" s="8"/>
      <c r="H136" s="8"/>
      <c r="I136" s="8"/>
      <c r="J136" s="8"/>
      <c r="K136" s="8"/>
      <c r="L136" s="8"/>
      <c r="M136" s="8"/>
      <c r="N136" s="8"/>
      <c r="O136" s="8"/>
      <c r="P136" s="8"/>
      <c r="Q136" s="8"/>
      <c r="R136" s="8"/>
      <c r="S136" s="8"/>
      <c r="T136" s="8"/>
      <c r="U136" s="8"/>
      <c r="V136" s="8"/>
      <c r="W136" s="8"/>
      <c r="X136" s="8"/>
      <c r="Y136" s="8"/>
      <c r="Z136" s="8"/>
    </row>
    <row r="137" spans="1:26" ht="15">
      <c r="A137" s="294"/>
      <c r="B137" s="295"/>
      <c r="C137" s="215" t="s">
        <v>2558</v>
      </c>
      <c r="D137" s="215" t="s">
        <v>2780</v>
      </c>
      <c r="E137" s="8"/>
      <c r="F137" s="8"/>
      <c r="G137" s="8"/>
      <c r="H137" s="8"/>
      <c r="I137" s="8"/>
      <c r="J137" s="8"/>
      <c r="K137" s="8"/>
      <c r="L137" s="8"/>
      <c r="M137" s="8"/>
      <c r="N137" s="8"/>
      <c r="O137" s="8"/>
      <c r="P137" s="8"/>
      <c r="Q137" s="8"/>
      <c r="R137" s="8"/>
      <c r="S137" s="8"/>
      <c r="T137" s="8"/>
      <c r="U137" s="8"/>
      <c r="V137" s="8"/>
      <c r="W137" s="8"/>
      <c r="X137" s="8"/>
      <c r="Y137" s="8"/>
      <c r="Z137" s="8"/>
    </row>
    <row r="138" spans="1:26" ht="15">
      <c r="A138" s="294"/>
      <c r="B138" s="295"/>
      <c r="C138" s="215" t="s">
        <v>2560</v>
      </c>
      <c r="D138" s="248"/>
      <c r="E138" s="8"/>
      <c r="F138" s="8"/>
      <c r="G138" s="8"/>
      <c r="H138" s="8"/>
      <c r="I138" s="8"/>
      <c r="J138" s="8"/>
      <c r="K138" s="8"/>
      <c r="L138" s="8"/>
      <c r="M138" s="8"/>
      <c r="N138" s="8"/>
      <c r="O138" s="8"/>
      <c r="P138" s="8"/>
      <c r="Q138" s="8"/>
      <c r="R138" s="8"/>
      <c r="S138" s="8"/>
      <c r="T138" s="8"/>
      <c r="U138" s="8"/>
      <c r="V138" s="8"/>
      <c r="W138" s="8"/>
      <c r="X138" s="8"/>
      <c r="Y138" s="8"/>
      <c r="Z138" s="8"/>
    </row>
    <row r="139" spans="1:26" ht="15">
      <c r="A139" s="296"/>
      <c r="B139" s="291"/>
      <c r="C139" s="215" t="s">
        <v>2562</v>
      </c>
      <c r="D139" s="215" t="s">
        <v>2780</v>
      </c>
      <c r="E139" s="8"/>
      <c r="F139" s="8"/>
      <c r="G139" s="8"/>
      <c r="H139" s="8"/>
      <c r="I139" s="8"/>
      <c r="J139" s="8"/>
      <c r="K139" s="8"/>
      <c r="L139" s="8"/>
      <c r="M139" s="8"/>
      <c r="N139" s="8"/>
      <c r="O139" s="8"/>
      <c r="P139" s="8"/>
      <c r="Q139" s="8"/>
      <c r="R139" s="8"/>
      <c r="S139" s="8"/>
      <c r="T139" s="8"/>
      <c r="U139" s="8"/>
      <c r="V139" s="8"/>
      <c r="W139" s="8"/>
      <c r="X139" s="8"/>
      <c r="Y139" s="8"/>
      <c r="Z139" s="8"/>
    </row>
    <row r="140" spans="1:26" ht="15">
      <c r="A140" s="219" t="s">
        <v>2564</v>
      </c>
      <c r="B140" s="220" t="s">
        <v>1</v>
      </c>
      <c r="C140" s="220" t="s">
        <v>2592</v>
      </c>
      <c r="D140" s="220" t="s">
        <v>2593</v>
      </c>
      <c r="E140" s="8"/>
      <c r="F140" s="8"/>
      <c r="G140" s="8"/>
      <c r="H140" s="8"/>
      <c r="I140" s="8"/>
      <c r="J140" s="8"/>
      <c r="K140" s="8"/>
      <c r="L140" s="8"/>
      <c r="M140" s="8"/>
      <c r="N140" s="8"/>
      <c r="O140" s="8"/>
      <c r="P140" s="8"/>
      <c r="Q140" s="8"/>
      <c r="R140" s="8"/>
      <c r="S140" s="8"/>
      <c r="T140" s="8"/>
      <c r="U140" s="8"/>
      <c r="V140" s="8"/>
      <c r="W140" s="8"/>
      <c r="X140" s="8"/>
      <c r="Y140" s="8"/>
      <c r="Z140" s="8"/>
    </row>
    <row r="141" spans="1:26">
      <c r="A141" s="305" t="s">
        <v>2781</v>
      </c>
      <c r="B141" s="291"/>
      <c r="C141" s="260" t="s">
        <v>2782</v>
      </c>
      <c r="D141" s="261"/>
      <c r="E141" s="8"/>
      <c r="F141" s="8"/>
      <c r="G141" s="8"/>
      <c r="H141" s="8"/>
      <c r="I141" s="8"/>
      <c r="J141" s="8"/>
      <c r="K141" s="8"/>
      <c r="L141" s="8"/>
      <c r="M141" s="8"/>
      <c r="N141" s="8"/>
      <c r="O141" s="8"/>
      <c r="P141" s="8"/>
      <c r="Q141" s="8"/>
      <c r="R141" s="8"/>
      <c r="S141" s="8"/>
      <c r="T141" s="8"/>
      <c r="U141" s="8"/>
      <c r="V141" s="8"/>
      <c r="W141" s="8"/>
      <c r="X141" s="8"/>
      <c r="Y141" s="8"/>
      <c r="Z141" s="8"/>
    </row>
    <row r="142" spans="1:26">
      <c r="A142" s="262" t="s">
        <v>1787</v>
      </c>
      <c r="B142" s="263" t="s">
        <v>2783</v>
      </c>
      <c r="C142" s="264" t="s">
        <v>1789</v>
      </c>
      <c r="D142" s="265"/>
      <c r="E142" s="218"/>
      <c r="F142" s="8"/>
      <c r="G142" s="8"/>
      <c r="H142" s="8"/>
      <c r="I142" s="8"/>
      <c r="J142" s="8"/>
      <c r="K142" s="8"/>
      <c r="L142" s="8"/>
      <c r="M142" s="8"/>
      <c r="N142" s="8"/>
      <c r="O142" s="8"/>
      <c r="P142" s="8"/>
      <c r="Q142" s="8"/>
      <c r="R142" s="8"/>
      <c r="S142" s="8"/>
      <c r="T142" s="8"/>
      <c r="U142" s="8"/>
      <c r="V142" s="8"/>
      <c r="W142" s="8"/>
      <c r="X142" s="8"/>
      <c r="Y142" s="8"/>
      <c r="Z142" s="8"/>
    </row>
    <row r="143" spans="1:26" ht="90">
      <c r="A143" s="266" t="s">
        <v>1791</v>
      </c>
      <c r="B143" s="238" t="s">
        <v>2784</v>
      </c>
      <c r="C143" s="267" t="s">
        <v>1615</v>
      </c>
      <c r="D143" s="267" t="s">
        <v>1615</v>
      </c>
      <c r="E143" s="238" t="s">
        <v>2785</v>
      </c>
      <c r="F143" s="8"/>
      <c r="G143" s="8"/>
      <c r="H143" s="8"/>
      <c r="I143" s="8"/>
      <c r="J143" s="8"/>
      <c r="K143" s="8"/>
      <c r="L143" s="8"/>
      <c r="M143" s="8"/>
      <c r="N143" s="8"/>
      <c r="O143" s="8"/>
      <c r="P143" s="8"/>
      <c r="Q143" s="8"/>
      <c r="R143" s="8"/>
      <c r="S143" s="8"/>
      <c r="T143" s="8"/>
      <c r="U143" s="8"/>
      <c r="V143" s="8"/>
      <c r="W143" s="8"/>
      <c r="X143" s="8"/>
      <c r="Y143" s="8"/>
      <c r="Z143" s="8"/>
    </row>
    <row r="144" spans="1:26" ht="210">
      <c r="A144" s="266" t="s">
        <v>476</v>
      </c>
      <c r="B144" s="238" t="s">
        <v>2786</v>
      </c>
      <c r="C144" s="267" t="s">
        <v>480</v>
      </c>
      <c r="D144" s="267" t="s">
        <v>2748</v>
      </c>
      <c r="E144" s="238" t="s">
        <v>2787</v>
      </c>
      <c r="F144" s="8"/>
      <c r="G144" s="8"/>
      <c r="H144" s="8"/>
      <c r="I144" s="8"/>
      <c r="J144" s="8"/>
      <c r="K144" s="8"/>
      <c r="L144" s="8"/>
      <c r="M144" s="8"/>
      <c r="N144" s="8"/>
      <c r="O144" s="8"/>
      <c r="P144" s="8"/>
      <c r="Q144" s="8"/>
      <c r="R144" s="8"/>
      <c r="S144" s="8"/>
      <c r="T144" s="8"/>
      <c r="U144" s="8"/>
      <c r="V144" s="8"/>
      <c r="W144" s="8"/>
      <c r="X144" s="8"/>
      <c r="Y144" s="8"/>
      <c r="Z144" s="8"/>
    </row>
    <row r="145" spans="1:26" ht="60">
      <c r="A145" s="262" t="s">
        <v>2788</v>
      </c>
      <c r="B145" s="263" t="s">
        <v>2789</v>
      </c>
      <c r="C145" s="265"/>
      <c r="D145" s="265"/>
      <c r="E145" s="268" t="s">
        <v>2790</v>
      </c>
      <c r="F145" s="8"/>
      <c r="G145" s="8"/>
      <c r="H145" s="8"/>
      <c r="I145" s="8"/>
      <c r="J145" s="8"/>
      <c r="K145" s="8"/>
      <c r="L145" s="8"/>
      <c r="M145" s="8"/>
      <c r="N145" s="8"/>
      <c r="O145" s="8"/>
      <c r="P145" s="8"/>
      <c r="Q145" s="8"/>
      <c r="R145" s="8"/>
      <c r="S145" s="8"/>
      <c r="T145" s="8"/>
      <c r="U145" s="8"/>
      <c r="V145" s="8"/>
      <c r="W145" s="8"/>
      <c r="X145" s="8"/>
      <c r="Y145" s="8"/>
      <c r="Z145" s="8"/>
    </row>
    <row r="146" spans="1:26" ht="15">
      <c r="A146" s="306" t="s">
        <v>2791</v>
      </c>
      <c r="B146" s="291"/>
      <c r="C146" s="260" t="s">
        <v>2792</v>
      </c>
      <c r="D146" s="261"/>
      <c r="E146" s="218"/>
      <c r="F146" s="8"/>
      <c r="G146" s="8"/>
      <c r="H146" s="8"/>
      <c r="I146" s="8"/>
      <c r="J146" s="8"/>
      <c r="K146" s="8"/>
      <c r="L146" s="8"/>
      <c r="M146" s="8"/>
      <c r="N146" s="8"/>
      <c r="O146" s="8"/>
      <c r="P146" s="8"/>
      <c r="Q146" s="8"/>
      <c r="R146" s="8"/>
      <c r="S146" s="8"/>
      <c r="T146" s="8"/>
      <c r="U146" s="8"/>
      <c r="V146" s="8"/>
      <c r="W146" s="8"/>
      <c r="X146" s="8"/>
      <c r="Y146" s="8"/>
      <c r="Z146" s="8"/>
    </row>
    <row r="147" spans="1:26" ht="105">
      <c r="A147" s="266" t="s">
        <v>1826</v>
      </c>
      <c r="B147" s="238" t="s">
        <v>2793</v>
      </c>
      <c r="C147" s="267" t="s">
        <v>1828</v>
      </c>
      <c r="D147" s="267" t="s">
        <v>1828</v>
      </c>
      <c r="E147" s="238" t="s">
        <v>2794</v>
      </c>
      <c r="F147" s="8"/>
      <c r="G147" s="8"/>
      <c r="H147" s="8"/>
      <c r="I147" s="8"/>
      <c r="J147" s="8"/>
      <c r="K147" s="8"/>
      <c r="L147" s="8"/>
      <c r="M147" s="8"/>
      <c r="N147" s="8"/>
      <c r="O147" s="8"/>
      <c r="P147" s="8"/>
      <c r="Q147" s="8"/>
      <c r="R147" s="8"/>
      <c r="S147" s="8"/>
      <c r="T147" s="8"/>
      <c r="U147" s="8"/>
      <c r="V147" s="8"/>
      <c r="W147" s="8"/>
      <c r="X147" s="8"/>
      <c r="Y147" s="8"/>
      <c r="Z147" s="8"/>
    </row>
    <row r="148" spans="1:26" ht="105">
      <c r="A148" s="266" t="s">
        <v>785</v>
      </c>
      <c r="B148" s="238" t="s">
        <v>2795</v>
      </c>
      <c r="C148" s="267" t="s">
        <v>787</v>
      </c>
      <c r="D148" s="267" t="s">
        <v>787</v>
      </c>
      <c r="E148" s="238" t="s">
        <v>2796</v>
      </c>
      <c r="F148" s="8"/>
      <c r="G148" s="8"/>
      <c r="H148" s="8"/>
      <c r="I148" s="8"/>
      <c r="J148" s="8"/>
      <c r="K148" s="8"/>
      <c r="L148" s="8"/>
      <c r="M148" s="8"/>
      <c r="N148" s="8"/>
      <c r="O148" s="8"/>
      <c r="P148" s="8"/>
      <c r="Q148" s="8"/>
      <c r="R148" s="8"/>
      <c r="S148" s="8"/>
      <c r="T148" s="8"/>
      <c r="U148" s="8"/>
      <c r="V148" s="8"/>
      <c r="W148" s="8"/>
      <c r="X148" s="8"/>
      <c r="Y148" s="8"/>
      <c r="Z148" s="8"/>
    </row>
    <row r="149" spans="1:26" ht="90">
      <c r="A149" s="262" t="s">
        <v>1823</v>
      </c>
      <c r="B149" s="263" t="s">
        <v>2797</v>
      </c>
      <c r="C149" s="264" t="s">
        <v>1763</v>
      </c>
      <c r="D149" s="265"/>
      <c r="E149" s="268" t="s">
        <v>2798</v>
      </c>
      <c r="F149" s="8"/>
      <c r="G149" s="8"/>
      <c r="H149" s="8"/>
      <c r="I149" s="8"/>
      <c r="J149" s="8"/>
      <c r="K149" s="8"/>
      <c r="L149" s="8"/>
      <c r="M149" s="8"/>
      <c r="N149" s="8"/>
      <c r="O149" s="8"/>
      <c r="P149" s="8"/>
      <c r="Q149" s="8"/>
      <c r="R149" s="8"/>
      <c r="S149" s="8"/>
      <c r="T149" s="8"/>
      <c r="U149" s="8"/>
      <c r="V149" s="8"/>
      <c r="W149" s="8"/>
      <c r="X149" s="8"/>
      <c r="Y149" s="8"/>
      <c r="Z149" s="8"/>
    </row>
    <row r="150" spans="1:26" ht="150">
      <c r="A150" s="266" t="s">
        <v>739</v>
      </c>
      <c r="B150" s="238" t="s">
        <v>2799</v>
      </c>
      <c r="C150" s="267" t="s">
        <v>742</v>
      </c>
      <c r="D150" s="267" t="s">
        <v>2800</v>
      </c>
      <c r="E150" s="238" t="s">
        <v>2801</v>
      </c>
      <c r="F150" s="8"/>
      <c r="G150" s="8"/>
      <c r="H150" s="8"/>
      <c r="I150" s="8"/>
      <c r="J150" s="8"/>
      <c r="K150" s="8"/>
      <c r="L150" s="8"/>
      <c r="M150" s="8"/>
      <c r="N150" s="8"/>
      <c r="O150" s="8"/>
      <c r="P150" s="8"/>
      <c r="Q150" s="8"/>
      <c r="R150" s="8"/>
      <c r="S150" s="8"/>
      <c r="T150" s="8"/>
      <c r="U150" s="8"/>
      <c r="V150" s="8"/>
      <c r="W150" s="8"/>
      <c r="X150" s="8"/>
      <c r="Y150" s="8"/>
      <c r="Z150" s="8"/>
    </row>
    <row r="151" spans="1:26">
      <c r="A151" s="240" t="s">
        <v>2756</v>
      </c>
      <c r="B151" s="222" t="s">
        <v>2757</v>
      </c>
      <c r="C151" s="11"/>
      <c r="D151" s="11"/>
      <c r="E151" s="8"/>
      <c r="F151" s="8"/>
      <c r="G151" s="8"/>
      <c r="H151" s="8"/>
      <c r="I151" s="8"/>
      <c r="J151" s="8"/>
      <c r="K151" s="8"/>
      <c r="L151" s="8"/>
      <c r="M151" s="8"/>
      <c r="N151" s="8"/>
      <c r="O151" s="8"/>
      <c r="P151" s="8"/>
      <c r="Q151" s="8"/>
      <c r="R151" s="8"/>
      <c r="S151" s="8"/>
      <c r="T151" s="8"/>
      <c r="U151" s="8"/>
      <c r="V151" s="8"/>
      <c r="W151" s="8"/>
      <c r="X151" s="8"/>
      <c r="Y151" s="8"/>
      <c r="Z151" s="8"/>
    </row>
    <row r="152" spans="1:26" ht="12.7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2.7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2.7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2.7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2.75">
      <c r="A156" s="218"/>
      <c r="B156" s="218"/>
      <c r="C156" s="218"/>
      <c r="D156" s="218"/>
      <c r="E156" s="218"/>
      <c r="F156" s="8"/>
      <c r="G156" s="8"/>
      <c r="H156" s="8"/>
      <c r="I156" s="8"/>
      <c r="J156" s="8"/>
      <c r="K156" s="8"/>
      <c r="L156" s="8"/>
      <c r="M156" s="8"/>
      <c r="N156" s="8"/>
      <c r="O156" s="8"/>
      <c r="P156" s="8"/>
      <c r="Q156" s="8"/>
      <c r="R156" s="8"/>
      <c r="S156" s="8"/>
      <c r="T156" s="8"/>
      <c r="U156" s="8"/>
      <c r="V156" s="8"/>
      <c r="W156" s="8"/>
      <c r="X156" s="8"/>
      <c r="Y156" s="8"/>
      <c r="Z156" s="8"/>
    </row>
    <row r="157" spans="1:26" ht="14.25">
      <c r="A157" s="307" t="s">
        <v>2802</v>
      </c>
      <c r="B157" s="308"/>
      <c r="C157" s="308"/>
      <c r="D157" s="308"/>
      <c r="E157" s="291"/>
      <c r="F157" s="8"/>
      <c r="G157" s="8"/>
      <c r="H157" s="8"/>
      <c r="I157" s="8"/>
      <c r="J157" s="8"/>
      <c r="K157" s="8"/>
      <c r="L157" s="8"/>
      <c r="M157" s="8"/>
      <c r="N157" s="8"/>
      <c r="O157" s="8"/>
      <c r="P157" s="8"/>
      <c r="Q157" s="8"/>
      <c r="R157" s="8"/>
      <c r="S157" s="8"/>
      <c r="T157" s="8"/>
      <c r="U157" s="8"/>
      <c r="V157" s="8"/>
      <c r="W157" s="8"/>
      <c r="X157" s="8"/>
      <c r="Y157" s="8"/>
      <c r="Z157" s="8"/>
    </row>
    <row r="158" spans="1:26" ht="17.25">
      <c r="A158" s="269" t="s">
        <v>2564</v>
      </c>
      <c r="B158" s="270" t="s">
        <v>1</v>
      </c>
      <c r="C158" s="271" t="s">
        <v>2803</v>
      </c>
      <c r="D158" s="271" t="s">
        <v>2560</v>
      </c>
      <c r="E158" s="271" t="s">
        <v>15</v>
      </c>
      <c r="F158" s="8"/>
      <c r="G158" s="8"/>
      <c r="H158" s="8"/>
      <c r="I158" s="8"/>
      <c r="J158" s="8"/>
      <c r="K158" s="8"/>
      <c r="L158" s="8"/>
      <c r="M158" s="8"/>
      <c r="N158" s="8"/>
      <c r="O158" s="8"/>
      <c r="P158" s="8"/>
      <c r="Q158" s="8"/>
      <c r="R158" s="8"/>
      <c r="S158" s="8"/>
      <c r="T158" s="8"/>
      <c r="U158" s="8"/>
      <c r="V158" s="8"/>
      <c r="W158" s="8"/>
      <c r="X158" s="8"/>
      <c r="Y158" s="8"/>
      <c r="Z158" s="8"/>
    </row>
    <row r="159" spans="1:26" ht="15">
      <c r="A159" s="311" t="s">
        <v>2804</v>
      </c>
      <c r="B159" s="224" t="s">
        <v>2805</v>
      </c>
      <c r="C159" s="232" t="s">
        <v>2806</v>
      </c>
      <c r="D159" s="11"/>
      <c r="E159" s="11"/>
      <c r="F159" s="8"/>
      <c r="G159" s="8"/>
      <c r="H159" s="8"/>
      <c r="I159" s="8"/>
      <c r="J159" s="8"/>
      <c r="K159" s="8"/>
      <c r="L159" s="8"/>
      <c r="M159" s="8"/>
      <c r="N159" s="8"/>
      <c r="O159" s="8"/>
      <c r="P159" s="8"/>
      <c r="Q159" s="8"/>
      <c r="R159" s="8"/>
      <c r="S159" s="8"/>
      <c r="T159" s="8"/>
      <c r="U159" s="8"/>
      <c r="V159" s="8"/>
      <c r="W159" s="8"/>
      <c r="X159" s="8"/>
      <c r="Y159" s="8"/>
      <c r="Z159" s="8"/>
    </row>
    <row r="160" spans="1:26" ht="15">
      <c r="A160" s="312"/>
      <c r="B160" s="272" t="s">
        <v>2807</v>
      </c>
      <c r="C160" s="11"/>
      <c r="D160" s="11"/>
      <c r="E160" s="11"/>
      <c r="F160" s="8"/>
      <c r="G160" s="8"/>
      <c r="H160" s="8"/>
      <c r="I160" s="8"/>
      <c r="J160" s="8"/>
      <c r="K160" s="8"/>
      <c r="L160" s="8"/>
      <c r="M160" s="8"/>
      <c r="N160" s="8"/>
      <c r="O160" s="8"/>
      <c r="P160" s="8"/>
      <c r="Q160" s="8"/>
      <c r="R160" s="8"/>
      <c r="S160" s="8"/>
      <c r="T160" s="8"/>
      <c r="U160" s="8"/>
      <c r="V160" s="8"/>
      <c r="W160" s="8"/>
      <c r="X160" s="8"/>
      <c r="Y160" s="8"/>
      <c r="Z160" s="8"/>
    </row>
    <row r="161" spans="1:26" ht="15">
      <c r="A161" s="244" t="s">
        <v>2498</v>
      </c>
      <c r="B161" s="245" t="s">
        <v>2808</v>
      </c>
      <c r="C161" s="11"/>
      <c r="D161" s="11"/>
      <c r="E161" s="11"/>
      <c r="F161" s="8"/>
      <c r="G161" s="8"/>
      <c r="H161" s="8"/>
      <c r="I161" s="8"/>
      <c r="J161" s="8"/>
      <c r="K161" s="8"/>
      <c r="L161" s="8"/>
      <c r="M161" s="8"/>
      <c r="N161" s="8"/>
      <c r="O161" s="8"/>
      <c r="P161" s="8"/>
      <c r="Q161" s="8"/>
      <c r="R161" s="8"/>
      <c r="S161" s="8"/>
      <c r="T161" s="8"/>
      <c r="U161" s="8"/>
      <c r="V161" s="8"/>
      <c r="W161" s="8"/>
      <c r="X161" s="8"/>
      <c r="Y161" s="8"/>
      <c r="Z161" s="8"/>
    </row>
    <row r="162" spans="1:26" ht="15">
      <c r="A162" s="244" t="s">
        <v>2809</v>
      </c>
      <c r="B162" s="245" t="s">
        <v>2810</v>
      </c>
      <c r="C162" s="11"/>
      <c r="D162" s="232" t="s">
        <v>2502</v>
      </c>
      <c r="E162" s="273" t="s">
        <v>2811</v>
      </c>
      <c r="F162" s="8"/>
      <c r="G162" s="8"/>
      <c r="H162" s="8"/>
      <c r="I162" s="8"/>
      <c r="J162" s="8"/>
      <c r="K162" s="8"/>
      <c r="L162" s="8"/>
      <c r="M162" s="8"/>
      <c r="N162" s="8"/>
      <c r="O162" s="8"/>
      <c r="P162" s="8"/>
      <c r="Q162" s="8"/>
      <c r="R162" s="8"/>
      <c r="S162" s="8"/>
      <c r="T162" s="8"/>
      <c r="U162" s="8"/>
      <c r="V162" s="8"/>
      <c r="W162" s="8"/>
      <c r="X162" s="8"/>
      <c r="Y162" s="8"/>
      <c r="Z162" s="8"/>
    </row>
    <row r="163" spans="1:26" ht="15">
      <c r="A163" s="244" t="s">
        <v>1048</v>
      </c>
      <c r="B163" s="245" t="s">
        <v>2812</v>
      </c>
      <c r="C163" s="11"/>
      <c r="D163" s="232" t="s">
        <v>2813</v>
      </c>
      <c r="E163" s="273" t="s">
        <v>2814</v>
      </c>
      <c r="F163" s="8"/>
      <c r="G163" s="8"/>
      <c r="H163" s="8"/>
      <c r="I163" s="8"/>
      <c r="J163" s="8"/>
      <c r="K163" s="8"/>
      <c r="L163" s="8"/>
      <c r="M163" s="8"/>
      <c r="N163" s="8"/>
      <c r="O163" s="8"/>
      <c r="P163" s="8"/>
      <c r="Q163" s="8"/>
      <c r="R163" s="8"/>
      <c r="S163" s="8"/>
      <c r="T163" s="8"/>
      <c r="U163" s="8"/>
      <c r="V163" s="8"/>
      <c r="W163" s="8"/>
      <c r="X163" s="8"/>
      <c r="Y163" s="8"/>
      <c r="Z163" s="8"/>
    </row>
    <row r="164" spans="1:26" ht="12.75">
      <c r="A164" s="247"/>
      <c r="B164" s="16"/>
      <c r="C164" s="11"/>
      <c r="D164" s="11"/>
      <c r="E164" s="11"/>
      <c r="F164" s="8"/>
      <c r="G164" s="8"/>
      <c r="H164" s="8"/>
      <c r="I164" s="8"/>
      <c r="J164" s="8"/>
      <c r="K164" s="8"/>
      <c r="L164" s="8"/>
      <c r="M164" s="8"/>
      <c r="N164" s="8"/>
      <c r="O164" s="8"/>
      <c r="P164" s="8"/>
      <c r="Q164" s="8"/>
      <c r="R164" s="8"/>
      <c r="S164" s="8"/>
      <c r="T164" s="8"/>
      <c r="U164" s="8"/>
      <c r="V164" s="8"/>
      <c r="W164" s="8"/>
      <c r="X164" s="8"/>
      <c r="Y164" s="8"/>
      <c r="Z164" s="8"/>
    </row>
    <row r="165" spans="1:26" ht="16.5">
      <c r="A165" s="8"/>
      <c r="B165" s="274"/>
      <c r="C165" s="275" t="s">
        <v>2806</v>
      </c>
      <c r="D165" s="275" t="s">
        <v>2815</v>
      </c>
      <c r="E165" s="8"/>
      <c r="F165" s="8"/>
      <c r="G165" s="8"/>
      <c r="H165" s="8"/>
      <c r="I165" s="8"/>
      <c r="J165" s="8"/>
      <c r="K165" s="8"/>
      <c r="L165" s="8"/>
      <c r="M165" s="8"/>
      <c r="N165" s="8"/>
      <c r="O165" s="8"/>
      <c r="P165" s="8"/>
      <c r="Q165" s="8"/>
      <c r="R165" s="8"/>
      <c r="S165" s="8"/>
      <c r="T165" s="8"/>
      <c r="U165" s="8"/>
      <c r="V165" s="8"/>
      <c r="W165" s="8"/>
      <c r="X165" s="8"/>
      <c r="Y165" s="8"/>
      <c r="Z165" s="8"/>
    </row>
    <row r="166" spans="1:26" ht="12.7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2.7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2.7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2.7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2.75">
      <c r="A170" s="218"/>
      <c r="B170" s="218"/>
      <c r="C170" s="218"/>
      <c r="D170" s="218"/>
      <c r="E170" s="218"/>
      <c r="F170" s="8"/>
      <c r="G170" s="8"/>
      <c r="H170" s="8"/>
      <c r="I170" s="8"/>
      <c r="J170" s="8"/>
      <c r="K170" s="8"/>
      <c r="L170" s="8"/>
      <c r="M170" s="8"/>
      <c r="N170" s="8"/>
      <c r="O170" s="8"/>
      <c r="P170" s="8"/>
      <c r="Q170" s="8"/>
      <c r="R170" s="8"/>
      <c r="S170" s="8"/>
      <c r="T170" s="8"/>
      <c r="U170" s="8"/>
      <c r="V170" s="8"/>
      <c r="W170" s="8"/>
      <c r="X170" s="8"/>
      <c r="Y170" s="8"/>
      <c r="Z170" s="8"/>
    </row>
    <row r="171" spans="1:26" ht="14.25">
      <c r="A171" s="307" t="s">
        <v>2816</v>
      </c>
      <c r="B171" s="308"/>
      <c r="C171" s="308"/>
      <c r="D171" s="308"/>
      <c r="E171" s="291"/>
      <c r="F171" s="8"/>
      <c r="G171" s="8"/>
      <c r="H171" s="8"/>
      <c r="I171" s="8"/>
      <c r="J171" s="8"/>
      <c r="K171" s="8"/>
      <c r="L171" s="8"/>
      <c r="M171" s="8"/>
      <c r="N171" s="8"/>
      <c r="O171" s="8"/>
      <c r="P171" s="8"/>
      <c r="Q171" s="8"/>
      <c r="R171" s="8"/>
      <c r="S171" s="8"/>
      <c r="T171" s="8"/>
      <c r="U171" s="8"/>
      <c r="V171" s="8"/>
      <c r="W171" s="8"/>
      <c r="X171" s="8"/>
      <c r="Y171" s="8"/>
      <c r="Z171" s="8"/>
    </row>
    <row r="172" spans="1:26" ht="17.25">
      <c r="A172" s="269" t="s">
        <v>2564</v>
      </c>
      <c r="B172" s="270" t="s">
        <v>1</v>
      </c>
      <c r="C172" s="271" t="s">
        <v>2803</v>
      </c>
      <c r="D172" s="271" t="s">
        <v>2560</v>
      </c>
      <c r="E172" s="271" t="s">
        <v>15</v>
      </c>
      <c r="F172" s="8"/>
      <c r="G172" s="8"/>
      <c r="H172" s="8"/>
      <c r="I172" s="8"/>
      <c r="J172" s="8"/>
      <c r="K172" s="8"/>
      <c r="L172" s="8"/>
      <c r="M172" s="8"/>
      <c r="N172" s="8"/>
      <c r="O172" s="8"/>
      <c r="P172" s="8"/>
      <c r="Q172" s="8"/>
      <c r="R172" s="8"/>
      <c r="S172" s="8"/>
      <c r="T172" s="8"/>
      <c r="U172" s="8"/>
      <c r="V172" s="8"/>
      <c r="W172" s="8"/>
      <c r="X172" s="8"/>
      <c r="Y172" s="8"/>
      <c r="Z172" s="8"/>
    </row>
    <row r="173" spans="1:26" ht="15">
      <c r="A173" s="244" t="s">
        <v>2817</v>
      </c>
      <c r="B173" s="224" t="s">
        <v>2818</v>
      </c>
      <c r="C173" s="232" t="s">
        <v>2819</v>
      </c>
      <c r="D173" s="11"/>
      <c r="E173" s="11"/>
      <c r="F173" s="8"/>
      <c r="G173" s="8"/>
      <c r="H173" s="8"/>
      <c r="I173" s="8"/>
      <c r="J173" s="8"/>
      <c r="K173" s="8"/>
      <c r="L173" s="8"/>
      <c r="M173" s="8"/>
      <c r="N173" s="8"/>
      <c r="O173" s="8"/>
      <c r="P173" s="8"/>
      <c r="Q173" s="8"/>
      <c r="R173" s="8"/>
      <c r="S173" s="8"/>
      <c r="T173" s="8"/>
      <c r="U173" s="8"/>
      <c r="V173" s="8"/>
      <c r="W173" s="8"/>
      <c r="X173" s="8"/>
      <c r="Y173" s="8"/>
      <c r="Z173" s="8"/>
    </row>
    <row r="174" spans="1:26" ht="45">
      <c r="A174" s="244" t="s">
        <v>2820</v>
      </c>
      <c r="B174" s="245" t="s">
        <v>2821</v>
      </c>
      <c r="C174" s="11"/>
      <c r="D174" s="232" t="s">
        <v>664</v>
      </c>
      <c r="E174" s="273" t="s">
        <v>2822</v>
      </c>
      <c r="F174" s="8"/>
      <c r="G174" s="8"/>
      <c r="H174" s="8"/>
      <c r="I174" s="8"/>
      <c r="J174" s="8"/>
      <c r="K174" s="8"/>
      <c r="L174" s="8"/>
      <c r="M174" s="8"/>
      <c r="N174" s="8"/>
      <c r="O174" s="8"/>
      <c r="P174" s="8"/>
      <c r="Q174" s="8"/>
      <c r="R174" s="8"/>
      <c r="S174" s="8"/>
      <c r="T174" s="8"/>
      <c r="U174" s="8"/>
      <c r="V174" s="8"/>
      <c r="W174" s="8"/>
      <c r="X174" s="8"/>
      <c r="Y174" s="8"/>
      <c r="Z174" s="8"/>
    </row>
    <row r="175" spans="1:26" ht="12.75">
      <c r="A175" s="247"/>
      <c r="B175" s="16"/>
      <c r="C175" s="11"/>
      <c r="D175" s="11"/>
      <c r="E175" s="11"/>
      <c r="F175" s="8"/>
      <c r="G175" s="8"/>
      <c r="H175" s="8"/>
      <c r="I175" s="8"/>
      <c r="J175" s="8"/>
      <c r="K175" s="8"/>
      <c r="L175" s="8"/>
      <c r="M175" s="8"/>
      <c r="N175" s="8"/>
      <c r="O175" s="8"/>
      <c r="P175" s="8"/>
      <c r="Q175" s="8"/>
      <c r="R175" s="8"/>
      <c r="S175" s="8"/>
      <c r="T175" s="8"/>
      <c r="U175" s="8"/>
      <c r="V175" s="8"/>
      <c r="W175" s="8"/>
      <c r="X175" s="8"/>
      <c r="Y175" s="8"/>
      <c r="Z175" s="8"/>
    </row>
    <row r="176" spans="1:26" ht="16.5">
      <c r="A176" s="8"/>
      <c r="B176" s="274"/>
      <c r="C176" s="275" t="s">
        <v>2819</v>
      </c>
      <c r="D176" s="275" t="s">
        <v>664</v>
      </c>
      <c r="E176" s="8"/>
      <c r="F176" s="8"/>
      <c r="G176" s="8"/>
      <c r="H176" s="8"/>
      <c r="I176" s="8"/>
      <c r="J176" s="8"/>
      <c r="K176" s="8"/>
      <c r="L176" s="8"/>
      <c r="M176" s="8"/>
      <c r="N176" s="8"/>
      <c r="O176" s="8"/>
      <c r="P176" s="8"/>
      <c r="Q176" s="8"/>
      <c r="R176" s="8"/>
      <c r="S176" s="8"/>
      <c r="T176" s="8"/>
      <c r="U176" s="8"/>
      <c r="V176" s="8"/>
      <c r="W176" s="8"/>
      <c r="X176" s="8"/>
      <c r="Y176" s="8"/>
      <c r="Z176" s="8"/>
    </row>
    <row r="177" spans="1:26" ht="12.7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2.7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2.7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2.75">
      <c r="A180" s="218"/>
      <c r="B180" s="218"/>
      <c r="C180" s="218"/>
      <c r="D180" s="218"/>
      <c r="E180" s="218"/>
      <c r="F180" s="8"/>
      <c r="G180" s="8"/>
      <c r="H180" s="8"/>
      <c r="I180" s="8"/>
      <c r="J180" s="8"/>
      <c r="K180" s="8"/>
      <c r="L180" s="8"/>
      <c r="M180" s="8"/>
      <c r="N180" s="8"/>
      <c r="O180" s="8"/>
      <c r="P180" s="8"/>
      <c r="Q180" s="8"/>
      <c r="R180" s="8"/>
      <c r="S180" s="8"/>
      <c r="T180" s="8"/>
      <c r="U180" s="8"/>
      <c r="V180" s="8"/>
      <c r="W180" s="8"/>
      <c r="X180" s="8"/>
      <c r="Y180" s="8"/>
      <c r="Z180" s="8"/>
    </row>
    <row r="181" spans="1:26" ht="14.25">
      <c r="A181" s="307" t="s">
        <v>2823</v>
      </c>
      <c r="B181" s="308"/>
      <c r="C181" s="308"/>
      <c r="D181" s="308"/>
      <c r="E181" s="291"/>
      <c r="F181" s="8"/>
      <c r="G181" s="8"/>
      <c r="H181" s="8"/>
      <c r="I181" s="8"/>
      <c r="J181" s="8"/>
      <c r="K181" s="8"/>
      <c r="L181" s="8"/>
      <c r="M181" s="8"/>
      <c r="N181" s="8"/>
      <c r="O181" s="8"/>
      <c r="P181" s="8"/>
      <c r="Q181" s="8"/>
      <c r="R181" s="8"/>
      <c r="S181" s="8"/>
      <c r="T181" s="8"/>
      <c r="U181" s="8"/>
      <c r="V181" s="8"/>
      <c r="W181" s="8"/>
      <c r="X181" s="8"/>
      <c r="Y181" s="8"/>
      <c r="Z181" s="8"/>
    </row>
    <row r="182" spans="1:26" ht="17.25">
      <c r="A182" s="269" t="s">
        <v>2564</v>
      </c>
      <c r="B182" s="270" t="s">
        <v>1</v>
      </c>
      <c r="C182" s="271" t="s">
        <v>2803</v>
      </c>
      <c r="D182" s="271" t="s">
        <v>2560</v>
      </c>
      <c r="E182" s="271" t="s">
        <v>15</v>
      </c>
      <c r="F182" s="8"/>
      <c r="G182" s="8"/>
      <c r="H182" s="8"/>
      <c r="I182" s="8"/>
      <c r="J182" s="8"/>
      <c r="K182" s="8"/>
      <c r="L182" s="8"/>
      <c r="M182" s="8"/>
      <c r="N182" s="8"/>
      <c r="O182" s="8"/>
      <c r="P182" s="8"/>
      <c r="Q182" s="8"/>
      <c r="R182" s="8"/>
      <c r="S182" s="8"/>
      <c r="T182" s="8"/>
      <c r="U182" s="8"/>
      <c r="V182" s="8"/>
      <c r="W182" s="8"/>
      <c r="X182" s="8"/>
      <c r="Y182" s="8"/>
      <c r="Z182" s="8"/>
    </row>
    <row r="183" spans="1:26" ht="15">
      <c r="A183" s="276" t="s">
        <v>1558</v>
      </c>
      <c r="B183" s="222" t="s">
        <v>2824</v>
      </c>
      <c r="C183" s="232" t="s">
        <v>2825</v>
      </c>
      <c r="D183" s="232" t="s">
        <v>1561</v>
      </c>
      <c r="E183" s="273" t="s">
        <v>2826</v>
      </c>
      <c r="F183" s="8"/>
      <c r="G183" s="8"/>
      <c r="H183" s="8"/>
      <c r="I183" s="8"/>
      <c r="J183" s="8"/>
      <c r="K183" s="8"/>
      <c r="L183" s="8"/>
      <c r="M183" s="8"/>
      <c r="N183" s="8"/>
      <c r="O183" s="8"/>
      <c r="P183" s="8"/>
      <c r="Q183" s="8"/>
      <c r="R183" s="8"/>
      <c r="S183" s="8"/>
      <c r="T183" s="8"/>
      <c r="U183" s="8"/>
      <c r="V183" s="8"/>
      <c r="W183" s="8"/>
      <c r="X183" s="8"/>
      <c r="Y183" s="8"/>
      <c r="Z183" s="8"/>
    </row>
    <row r="184" spans="1:26" ht="105">
      <c r="A184" s="276" t="s">
        <v>1761</v>
      </c>
      <c r="B184" s="222" t="s">
        <v>2827</v>
      </c>
      <c r="C184" s="232" t="s">
        <v>2828</v>
      </c>
      <c r="D184" s="232" t="s">
        <v>2828</v>
      </c>
      <c r="E184" s="273" t="s">
        <v>2829</v>
      </c>
      <c r="F184" s="8"/>
      <c r="G184" s="8"/>
      <c r="H184" s="8"/>
      <c r="I184" s="8"/>
      <c r="J184" s="8"/>
      <c r="K184" s="8"/>
      <c r="L184" s="8"/>
      <c r="M184" s="8"/>
      <c r="N184" s="8"/>
      <c r="O184" s="8"/>
      <c r="P184" s="8"/>
      <c r="Q184" s="8"/>
      <c r="R184" s="8"/>
      <c r="S184" s="8"/>
      <c r="T184" s="8"/>
      <c r="U184" s="8"/>
      <c r="V184" s="8"/>
      <c r="W184" s="8"/>
      <c r="X184" s="8"/>
      <c r="Y184" s="8"/>
      <c r="Z184" s="8"/>
    </row>
    <row r="185" spans="1:26" ht="15">
      <c r="A185" s="244" t="s">
        <v>1628</v>
      </c>
      <c r="B185" s="245" t="s">
        <v>2830</v>
      </c>
      <c r="C185" s="277"/>
      <c r="D185" s="277"/>
      <c r="E185" s="273" t="s">
        <v>2737</v>
      </c>
      <c r="F185" s="8"/>
      <c r="G185" s="8"/>
      <c r="H185" s="8"/>
      <c r="I185" s="8"/>
      <c r="J185" s="8"/>
      <c r="K185" s="8"/>
      <c r="L185" s="8"/>
      <c r="M185" s="8"/>
      <c r="N185" s="8"/>
      <c r="O185" s="8"/>
      <c r="P185" s="8"/>
      <c r="Q185" s="8"/>
      <c r="R185" s="8"/>
      <c r="S185" s="8"/>
      <c r="T185" s="8"/>
      <c r="U185" s="8"/>
      <c r="V185" s="8"/>
      <c r="W185" s="8"/>
      <c r="X185" s="8"/>
      <c r="Y185" s="8"/>
      <c r="Z185" s="8"/>
    </row>
    <row r="186" spans="1:26" ht="15">
      <c r="A186" s="244" t="s">
        <v>1029</v>
      </c>
      <c r="B186" s="245" t="s">
        <v>2831</v>
      </c>
      <c r="C186" s="11"/>
      <c r="D186" s="11"/>
      <c r="E186" s="11"/>
      <c r="F186" s="8"/>
      <c r="G186" s="8"/>
      <c r="H186" s="8"/>
      <c r="I186" s="8"/>
      <c r="J186" s="8"/>
      <c r="K186" s="8"/>
      <c r="L186" s="8"/>
      <c r="M186" s="8"/>
      <c r="N186" s="8"/>
      <c r="O186" s="8"/>
      <c r="P186" s="8"/>
      <c r="Q186" s="8"/>
      <c r="R186" s="8"/>
      <c r="S186" s="8"/>
      <c r="T186" s="8"/>
      <c r="U186" s="8"/>
      <c r="V186" s="8"/>
      <c r="W186" s="8"/>
      <c r="X186" s="8"/>
      <c r="Y186" s="8"/>
      <c r="Z186" s="8"/>
    </row>
    <row r="187" spans="1:26" ht="16.5">
      <c r="A187" s="8"/>
      <c r="B187" s="274"/>
      <c r="C187" s="275" t="s">
        <v>2832</v>
      </c>
      <c r="D187" s="275" t="s">
        <v>2833</v>
      </c>
      <c r="E187" s="8"/>
      <c r="F187" s="8"/>
      <c r="G187" s="8"/>
      <c r="H187" s="8"/>
      <c r="I187" s="8"/>
      <c r="J187" s="8"/>
      <c r="K187" s="8"/>
      <c r="L187" s="8"/>
      <c r="M187" s="8"/>
      <c r="N187" s="8"/>
      <c r="O187" s="8"/>
      <c r="P187" s="8"/>
      <c r="Q187" s="8"/>
      <c r="R187" s="8"/>
      <c r="S187" s="8"/>
      <c r="T187" s="8"/>
      <c r="U187" s="8"/>
      <c r="V187" s="8"/>
      <c r="W187" s="8"/>
      <c r="X187" s="8"/>
      <c r="Y187" s="8"/>
      <c r="Z187" s="8"/>
    </row>
    <row r="188" spans="1:26" ht="12.7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2.7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2.75">
      <c r="A190" s="218"/>
      <c r="B190" s="218"/>
      <c r="C190" s="218"/>
      <c r="D190" s="218"/>
      <c r="E190" s="218"/>
      <c r="F190" s="8"/>
      <c r="G190" s="8"/>
      <c r="H190" s="8"/>
      <c r="I190" s="8"/>
      <c r="J190" s="8"/>
      <c r="K190" s="8"/>
      <c r="L190" s="8"/>
      <c r="M190" s="8"/>
      <c r="N190" s="8"/>
      <c r="O190" s="8"/>
      <c r="P190" s="8"/>
      <c r="Q190" s="8"/>
      <c r="R190" s="8"/>
      <c r="S190" s="8"/>
      <c r="T190" s="8"/>
      <c r="U190" s="8"/>
      <c r="V190" s="8"/>
      <c r="W190" s="8"/>
      <c r="X190" s="8"/>
      <c r="Y190" s="8"/>
      <c r="Z190" s="8"/>
    </row>
    <row r="191" spans="1:26" ht="14.25">
      <c r="A191" s="307" t="s">
        <v>2834</v>
      </c>
      <c r="B191" s="308"/>
      <c r="C191" s="308"/>
      <c r="D191" s="308"/>
      <c r="E191" s="291"/>
      <c r="F191" s="8"/>
      <c r="G191" s="8"/>
      <c r="H191" s="8"/>
      <c r="I191" s="8"/>
      <c r="J191" s="8"/>
      <c r="K191" s="8"/>
      <c r="L191" s="8"/>
      <c r="M191" s="8"/>
      <c r="N191" s="8"/>
      <c r="O191" s="8"/>
      <c r="P191" s="8"/>
      <c r="Q191" s="8"/>
      <c r="R191" s="8"/>
      <c r="S191" s="8"/>
      <c r="T191" s="8"/>
      <c r="U191" s="8"/>
      <c r="V191" s="8"/>
      <c r="W191" s="8"/>
      <c r="X191" s="8"/>
      <c r="Y191" s="8"/>
      <c r="Z191" s="8"/>
    </row>
    <row r="192" spans="1:26" ht="17.25">
      <c r="A192" s="269" t="s">
        <v>2564</v>
      </c>
      <c r="B192" s="270" t="s">
        <v>1</v>
      </c>
      <c r="C192" s="271" t="s">
        <v>2803</v>
      </c>
      <c r="D192" s="271" t="s">
        <v>2560</v>
      </c>
      <c r="E192" s="271" t="s">
        <v>15</v>
      </c>
      <c r="F192" s="8"/>
      <c r="G192" s="8"/>
      <c r="H192" s="8"/>
      <c r="I192" s="8"/>
      <c r="J192" s="8"/>
      <c r="K192" s="8"/>
      <c r="L192" s="8"/>
      <c r="M192" s="8"/>
      <c r="N192" s="8"/>
      <c r="O192" s="8"/>
      <c r="P192" s="8"/>
      <c r="Q192" s="8"/>
      <c r="R192" s="8"/>
      <c r="S192" s="8"/>
      <c r="T192" s="8"/>
      <c r="U192" s="8"/>
      <c r="V192" s="8"/>
      <c r="W192" s="8"/>
      <c r="X192" s="8"/>
      <c r="Y192" s="8"/>
      <c r="Z192" s="8"/>
    </row>
    <row r="193" spans="1:26" ht="45">
      <c r="A193" s="244" t="s">
        <v>198</v>
      </c>
      <c r="B193" s="272" t="s">
        <v>2835</v>
      </c>
      <c r="C193" s="232" t="s">
        <v>2836</v>
      </c>
      <c r="D193" s="11"/>
      <c r="E193" s="273" t="s">
        <v>2837</v>
      </c>
      <c r="F193" s="8"/>
      <c r="G193" s="8"/>
      <c r="H193" s="8"/>
      <c r="I193" s="8"/>
      <c r="J193" s="8"/>
      <c r="K193" s="8"/>
      <c r="L193" s="8"/>
      <c r="M193" s="8"/>
      <c r="N193" s="8"/>
      <c r="O193" s="8"/>
      <c r="P193" s="8"/>
      <c r="Q193" s="8"/>
      <c r="R193" s="8"/>
      <c r="S193" s="8"/>
      <c r="T193" s="8"/>
      <c r="U193" s="8"/>
      <c r="V193" s="8"/>
      <c r="W193" s="8"/>
      <c r="X193" s="8"/>
      <c r="Y193" s="8"/>
      <c r="Z193" s="8"/>
    </row>
    <row r="194" spans="1:26" ht="45">
      <c r="A194" s="244" t="s">
        <v>582</v>
      </c>
      <c r="B194" s="272" t="s">
        <v>2838</v>
      </c>
      <c r="C194" s="232" t="s">
        <v>585</v>
      </c>
      <c r="D194" s="11"/>
      <c r="E194" s="273" t="s">
        <v>2839</v>
      </c>
      <c r="F194" s="8"/>
      <c r="G194" s="8"/>
      <c r="H194" s="8"/>
      <c r="I194" s="8"/>
      <c r="J194" s="8"/>
      <c r="K194" s="8"/>
      <c r="L194" s="8"/>
      <c r="M194" s="8"/>
      <c r="N194" s="8"/>
      <c r="O194" s="8"/>
      <c r="P194" s="8"/>
      <c r="Q194" s="8"/>
      <c r="R194" s="8"/>
      <c r="S194" s="8"/>
      <c r="T194" s="8"/>
      <c r="U194" s="8"/>
      <c r="V194" s="8"/>
      <c r="W194" s="8"/>
      <c r="X194" s="8"/>
      <c r="Y194" s="8"/>
      <c r="Z194" s="8"/>
    </row>
    <row r="195" spans="1:26" ht="60">
      <c r="A195" s="244" t="s">
        <v>2840</v>
      </c>
      <c r="B195" s="272" t="s">
        <v>2841</v>
      </c>
      <c r="C195" s="232" t="s">
        <v>2842</v>
      </c>
      <c r="D195" s="11"/>
      <c r="E195" s="273" t="s">
        <v>2843</v>
      </c>
      <c r="F195" s="8"/>
      <c r="G195" s="8"/>
      <c r="H195" s="8"/>
      <c r="I195" s="8"/>
      <c r="J195" s="8"/>
      <c r="K195" s="8"/>
      <c r="L195" s="8"/>
      <c r="M195" s="8"/>
      <c r="N195" s="8"/>
      <c r="O195" s="8"/>
      <c r="P195" s="8"/>
      <c r="Q195" s="8"/>
      <c r="R195" s="8"/>
      <c r="S195" s="8"/>
      <c r="T195" s="8"/>
      <c r="U195" s="8"/>
      <c r="V195" s="8"/>
      <c r="W195" s="8"/>
      <c r="X195" s="8"/>
      <c r="Y195" s="8"/>
      <c r="Z195" s="8"/>
    </row>
    <row r="196" spans="1:26" ht="16.5">
      <c r="A196" s="8"/>
      <c r="B196" s="274"/>
      <c r="C196" s="275" t="s">
        <v>2844</v>
      </c>
      <c r="D196" s="275" t="s">
        <v>895</v>
      </c>
      <c r="E196" s="8"/>
      <c r="F196" s="8"/>
      <c r="G196" s="8"/>
      <c r="H196" s="8"/>
      <c r="I196" s="8"/>
      <c r="J196" s="8"/>
      <c r="K196" s="8"/>
      <c r="L196" s="8"/>
      <c r="M196" s="8"/>
      <c r="N196" s="8"/>
      <c r="O196" s="8"/>
      <c r="P196" s="8"/>
      <c r="Q196" s="8"/>
      <c r="R196" s="8"/>
      <c r="S196" s="8"/>
      <c r="T196" s="8"/>
      <c r="U196" s="8"/>
      <c r="V196" s="8"/>
      <c r="W196" s="8"/>
      <c r="X196" s="8"/>
      <c r="Y196" s="8"/>
      <c r="Z196" s="8"/>
    </row>
    <row r="197" spans="1:26" ht="12.7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2.7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2.75">
      <c r="A199" s="218"/>
      <c r="B199" s="218"/>
      <c r="C199" s="218"/>
      <c r="D199" s="218"/>
      <c r="E199" s="218"/>
      <c r="F199" s="8"/>
      <c r="G199" s="8"/>
      <c r="H199" s="8"/>
      <c r="I199" s="8"/>
      <c r="J199" s="8"/>
      <c r="K199" s="8"/>
      <c r="L199" s="8"/>
      <c r="M199" s="8"/>
      <c r="N199" s="8"/>
      <c r="O199" s="8"/>
      <c r="P199" s="8"/>
      <c r="Q199" s="8"/>
      <c r="R199" s="8"/>
      <c r="S199" s="8"/>
      <c r="T199" s="8"/>
      <c r="U199" s="8"/>
      <c r="V199" s="8"/>
      <c r="W199" s="8"/>
      <c r="X199" s="8"/>
      <c r="Y199" s="8"/>
      <c r="Z199" s="8"/>
    </row>
    <row r="200" spans="1:26" ht="14.25">
      <c r="A200" s="307" t="s">
        <v>2845</v>
      </c>
      <c r="B200" s="308"/>
      <c r="C200" s="308"/>
      <c r="D200" s="308"/>
      <c r="E200" s="291"/>
      <c r="F200" s="8"/>
      <c r="G200" s="8"/>
      <c r="H200" s="8"/>
      <c r="I200" s="8"/>
      <c r="J200" s="8"/>
      <c r="K200" s="8"/>
      <c r="L200" s="8"/>
      <c r="M200" s="8"/>
      <c r="N200" s="8"/>
      <c r="O200" s="8"/>
      <c r="P200" s="8"/>
      <c r="Q200" s="8"/>
      <c r="R200" s="8"/>
      <c r="S200" s="8"/>
      <c r="T200" s="8"/>
      <c r="U200" s="8"/>
      <c r="V200" s="8"/>
      <c r="W200" s="8"/>
      <c r="X200" s="8"/>
      <c r="Y200" s="8"/>
      <c r="Z200" s="8"/>
    </row>
    <row r="201" spans="1:26" ht="17.25">
      <c r="A201" s="269" t="s">
        <v>2564</v>
      </c>
      <c r="B201" s="270" t="s">
        <v>1</v>
      </c>
      <c r="C201" s="271" t="s">
        <v>2803</v>
      </c>
      <c r="D201" s="271" t="s">
        <v>2560</v>
      </c>
      <c r="E201" s="271" t="s">
        <v>15</v>
      </c>
      <c r="F201" s="8"/>
      <c r="G201" s="8"/>
      <c r="H201" s="8"/>
      <c r="I201" s="8"/>
      <c r="J201" s="8"/>
      <c r="K201" s="8"/>
      <c r="L201" s="8"/>
      <c r="M201" s="8"/>
      <c r="N201" s="8"/>
      <c r="O201" s="8"/>
      <c r="P201" s="8"/>
      <c r="Q201" s="8"/>
      <c r="R201" s="8"/>
      <c r="S201" s="8"/>
      <c r="T201" s="8"/>
      <c r="U201" s="8"/>
      <c r="V201" s="8"/>
      <c r="W201" s="8"/>
      <c r="X201" s="8"/>
      <c r="Y201" s="8"/>
      <c r="Z201" s="8"/>
    </row>
    <row r="202" spans="1:26" ht="15">
      <c r="A202" s="244" t="s">
        <v>1010</v>
      </c>
      <c r="B202" s="273" t="s">
        <v>2846</v>
      </c>
      <c r="C202" s="232" t="s">
        <v>2847</v>
      </c>
      <c r="D202" s="11"/>
      <c r="E202" s="273" t="s">
        <v>2848</v>
      </c>
      <c r="F202" s="8"/>
      <c r="G202" s="8"/>
      <c r="H202" s="8"/>
      <c r="I202" s="8"/>
      <c r="J202" s="8"/>
      <c r="K202" s="8"/>
      <c r="L202" s="8"/>
      <c r="M202" s="8"/>
      <c r="N202" s="8"/>
      <c r="O202" s="8"/>
      <c r="P202" s="8"/>
      <c r="Q202" s="8"/>
      <c r="R202" s="8"/>
      <c r="S202" s="8"/>
      <c r="T202" s="8"/>
      <c r="U202" s="8"/>
      <c r="V202" s="8"/>
      <c r="W202" s="8"/>
      <c r="X202" s="8"/>
      <c r="Y202" s="8"/>
      <c r="Z202" s="8"/>
    </row>
    <row r="203" spans="1:26" ht="45">
      <c r="A203" s="244" t="s">
        <v>529</v>
      </c>
      <c r="B203" s="272" t="s">
        <v>2849</v>
      </c>
      <c r="C203" s="232" t="s">
        <v>2850</v>
      </c>
      <c r="D203" s="11"/>
      <c r="E203" s="273" t="s">
        <v>2851</v>
      </c>
      <c r="F203" s="8"/>
      <c r="G203" s="8"/>
      <c r="H203" s="8"/>
      <c r="I203" s="8"/>
      <c r="J203" s="8"/>
      <c r="K203" s="8"/>
      <c r="L203" s="8"/>
      <c r="M203" s="8"/>
      <c r="N203" s="8"/>
      <c r="O203" s="8"/>
      <c r="P203" s="8"/>
      <c r="Q203" s="8"/>
      <c r="R203" s="8"/>
      <c r="S203" s="8"/>
      <c r="T203" s="8"/>
      <c r="U203" s="8"/>
      <c r="V203" s="8"/>
      <c r="W203" s="8"/>
      <c r="X203" s="8"/>
      <c r="Y203" s="8"/>
      <c r="Z203" s="8"/>
    </row>
    <row r="204" spans="1:26" ht="60">
      <c r="A204" s="244" t="s">
        <v>821</v>
      </c>
      <c r="B204" s="272" t="s">
        <v>2852</v>
      </c>
      <c r="C204" s="232" t="s">
        <v>2853</v>
      </c>
      <c r="D204" s="11"/>
      <c r="E204" s="273" t="s">
        <v>2854</v>
      </c>
      <c r="F204" s="8"/>
      <c r="G204" s="8"/>
      <c r="H204" s="8"/>
      <c r="I204" s="8"/>
      <c r="J204" s="8"/>
      <c r="K204" s="8"/>
      <c r="L204" s="8"/>
      <c r="M204" s="8"/>
      <c r="N204" s="8"/>
      <c r="O204" s="8"/>
      <c r="P204" s="8"/>
      <c r="Q204" s="8"/>
      <c r="R204" s="8"/>
      <c r="S204" s="8"/>
      <c r="T204" s="8"/>
      <c r="U204" s="8"/>
      <c r="V204" s="8"/>
      <c r="W204" s="8"/>
      <c r="X204" s="8"/>
      <c r="Y204" s="8"/>
      <c r="Z204" s="8"/>
    </row>
    <row r="205" spans="1:26" ht="16.5">
      <c r="A205" s="8"/>
      <c r="B205" s="274"/>
      <c r="C205" s="275" t="s">
        <v>2855</v>
      </c>
      <c r="D205" s="275" t="s">
        <v>895</v>
      </c>
      <c r="E205" s="8"/>
      <c r="F205" s="8"/>
      <c r="G205" s="8"/>
      <c r="H205" s="8"/>
      <c r="I205" s="8"/>
      <c r="J205" s="8"/>
      <c r="K205" s="8"/>
      <c r="L205" s="8"/>
      <c r="M205" s="8"/>
      <c r="N205" s="8"/>
      <c r="O205" s="8"/>
      <c r="P205" s="8"/>
      <c r="Q205" s="8"/>
      <c r="R205" s="8"/>
      <c r="S205" s="8"/>
      <c r="T205" s="8"/>
      <c r="U205" s="8"/>
      <c r="V205" s="8"/>
      <c r="W205" s="8"/>
      <c r="X205" s="8"/>
      <c r="Y205" s="8"/>
      <c r="Z205" s="8"/>
    </row>
    <row r="206" spans="1:26" ht="12.7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2.7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2.7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2.7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2.75">
      <c r="A210" s="8"/>
      <c r="B210" s="278" t="s">
        <v>2856</v>
      </c>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2.75">
      <c r="A211" s="278" t="s">
        <v>2820</v>
      </c>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2.7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2.7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2.7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2.7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2.7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2.7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2.75">
      <c r="A218" s="218"/>
      <c r="B218" s="218"/>
      <c r="C218" s="218"/>
      <c r="D218" s="218"/>
      <c r="E218" s="218"/>
      <c r="F218" s="8"/>
      <c r="G218" s="8"/>
      <c r="H218" s="8"/>
      <c r="I218" s="8"/>
      <c r="J218" s="8"/>
      <c r="K218" s="8"/>
      <c r="L218" s="8"/>
      <c r="M218" s="8"/>
      <c r="N218" s="8"/>
      <c r="O218" s="8"/>
      <c r="P218" s="8"/>
      <c r="Q218" s="8"/>
      <c r="R218" s="8"/>
      <c r="S218" s="8"/>
      <c r="T218" s="8"/>
      <c r="U218" s="8"/>
      <c r="V218" s="8"/>
      <c r="W218" s="8"/>
      <c r="X218" s="8"/>
      <c r="Y218" s="8"/>
      <c r="Z218" s="8"/>
    </row>
    <row r="219" spans="1:26" ht="14.25">
      <c r="A219" s="307" t="s">
        <v>2857</v>
      </c>
      <c r="B219" s="308"/>
      <c r="C219" s="308"/>
      <c r="D219" s="308"/>
      <c r="E219" s="291"/>
      <c r="F219" s="8"/>
      <c r="G219" s="8"/>
      <c r="H219" s="8"/>
      <c r="I219" s="8"/>
      <c r="J219" s="8"/>
      <c r="K219" s="8"/>
      <c r="L219" s="8"/>
      <c r="M219" s="8"/>
      <c r="N219" s="8"/>
      <c r="O219" s="8"/>
      <c r="P219" s="8"/>
      <c r="Q219" s="8"/>
      <c r="R219" s="8"/>
      <c r="S219" s="8"/>
      <c r="T219" s="8"/>
      <c r="U219" s="8"/>
      <c r="V219" s="8"/>
      <c r="W219" s="8"/>
      <c r="X219" s="8"/>
      <c r="Y219" s="8"/>
      <c r="Z219" s="8"/>
    </row>
    <row r="220" spans="1:26" ht="17.25">
      <c r="A220" s="269" t="s">
        <v>2564</v>
      </c>
      <c r="B220" s="270" t="s">
        <v>1</v>
      </c>
      <c r="C220" s="271" t="s">
        <v>2803</v>
      </c>
      <c r="D220" s="271" t="s">
        <v>2560</v>
      </c>
      <c r="E220" s="271" t="s">
        <v>15</v>
      </c>
      <c r="F220" s="8"/>
      <c r="G220" s="8"/>
      <c r="H220" s="8"/>
      <c r="I220" s="8"/>
      <c r="J220" s="8"/>
      <c r="K220" s="8"/>
      <c r="L220" s="8"/>
      <c r="M220" s="8"/>
      <c r="N220" s="8"/>
      <c r="O220" s="8"/>
      <c r="P220" s="8"/>
      <c r="Q220" s="8"/>
      <c r="R220" s="8"/>
      <c r="S220" s="8"/>
      <c r="T220" s="8"/>
      <c r="U220" s="8"/>
      <c r="V220" s="8"/>
      <c r="W220" s="8"/>
      <c r="X220" s="8"/>
      <c r="Y220" s="8"/>
      <c r="Z220" s="8"/>
    </row>
    <row r="221" spans="1:26" ht="18.75">
      <c r="A221" s="279" t="s">
        <v>1053</v>
      </c>
      <c r="B221" s="245" t="s">
        <v>2858</v>
      </c>
      <c r="C221" s="11"/>
      <c r="D221" s="11"/>
      <c r="E221" s="11"/>
      <c r="F221" s="8"/>
      <c r="G221" s="8"/>
      <c r="H221" s="8"/>
      <c r="I221" s="8"/>
      <c r="J221" s="8"/>
      <c r="K221" s="8"/>
      <c r="L221" s="8"/>
      <c r="M221" s="8"/>
      <c r="N221" s="8"/>
      <c r="O221" s="8"/>
      <c r="P221" s="8"/>
      <c r="Q221" s="8"/>
      <c r="R221" s="8"/>
      <c r="S221" s="8"/>
      <c r="T221" s="8"/>
      <c r="U221" s="8"/>
      <c r="V221" s="8"/>
      <c r="W221" s="8"/>
      <c r="X221" s="8"/>
      <c r="Y221" s="8"/>
      <c r="Z221" s="8"/>
    </row>
    <row r="222" spans="1:26" ht="18.75">
      <c r="A222" s="279" t="s">
        <v>1172</v>
      </c>
      <c r="B222" s="245" t="s">
        <v>2859</v>
      </c>
      <c r="C222" s="11"/>
      <c r="D222" s="11"/>
      <c r="E222" s="11"/>
      <c r="F222" s="8"/>
      <c r="G222" s="8"/>
      <c r="H222" s="8"/>
      <c r="I222" s="8"/>
      <c r="J222" s="8"/>
      <c r="K222" s="8"/>
      <c r="L222" s="8"/>
      <c r="M222" s="8"/>
      <c r="N222" s="8"/>
      <c r="O222" s="8"/>
      <c r="P222" s="8"/>
      <c r="Q222" s="8"/>
      <c r="R222" s="8"/>
      <c r="S222" s="8"/>
      <c r="T222" s="8"/>
      <c r="U222" s="8"/>
      <c r="V222" s="8"/>
      <c r="W222" s="8"/>
      <c r="X222" s="8"/>
      <c r="Y222" s="8"/>
      <c r="Z222" s="8"/>
    </row>
    <row r="223" spans="1:26" ht="12.7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2.7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2.7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2.7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2.7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2.7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2.75">
      <c r="A229" s="218"/>
      <c r="B229" s="218"/>
      <c r="C229" s="218"/>
      <c r="D229" s="218"/>
      <c r="E229" s="218"/>
      <c r="F229" s="8"/>
      <c r="G229" s="8"/>
      <c r="H229" s="8"/>
      <c r="I229" s="8"/>
      <c r="J229" s="8"/>
      <c r="K229" s="8"/>
      <c r="L229" s="8"/>
      <c r="M229" s="8"/>
      <c r="N229" s="8"/>
      <c r="O229" s="8"/>
      <c r="P229" s="8"/>
      <c r="Q229" s="8"/>
      <c r="R229" s="8"/>
      <c r="S229" s="8"/>
      <c r="T229" s="8"/>
      <c r="U229" s="8"/>
      <c r="V229" s="8"/>
      <c r="W229" s="8"/>
      <c r="X229" s="8"/>
      <c r="Y229" s="8"/>
      <c r="Z229" s="8"/>
    </row>
    <row r="230" spans="1:26" ht="14.25">
      <c r="A230" s="307" t="s">
        <v>2860</v>
      </c>
      <c r="B230" s="308"/>
      <c r="C230" s="308"/>
      <c r="D230" s="308"/>
      <c r="E230" s="291"/>
      <c r="F230" s="8"/>
      <c r="G230" s="8"/>
      <c r="H230" s="8"/>
      <c r="I230" s="8"/>
      <c r="J230" s="8"/>
      <c r="K230" s="8"/>
      <c r="L230" s="8"/>
      <c r="M230" s="8"/>
      <c r="N230" s="8"/>
      <c r="O230" s="8"/>
      <c r="P230" s="8"/>
      <c r="Q230" s="8"/>
      <c r="R230" s="8"/>
      <c r="S230" s="8"/>
      <c r="T230" s="8"/>
      <c r="U230" s="8"/>
      <c r="V230" s="8"/>
      <c r="W230" s="8"/>
      <c r="X230" s="8"/>
      <c r="Y230" s="8"/>
      <c r="Z230" s="8"/>
    </row>
    <row r="231" spans="1:26" ht="17.25">
      <c r="A231" s="269" t="s">
        <v>2564</v>
      </c>
      <c r="B231" s="270" t="s">
        <v>1</v>
      </c>
      <c r="C231" s="271" t="s">
        <v>2803</v>
      </c>
      <c r="D231" s="271" t="s">
        <v>2560</v>
      </c>
      <c r="E231" s="271" t="s">
        <v>15</v>
      </c>
      <c r="F231" s="8"/>
      <c r="G231" s="8"/>
      <c r="H231" s="8"/>
      <c r="I231" s="8"/>
      <c r="J231" s="8"/>
      <c r="K231" s="8"/>
      <c r="L231" s="8"/>
      <c r="M231" s="8"/>
      <c r="N231" s="8"/>
      <c r="O231" s="8"/>
      <c r="P231" s="8"/>
      <c r="Q231" s="8"/>
      <c r="R231" s="8"/>
      <c r="S231" s="8"/>
      <c r="T231" s="8"/>
      <c r="U231" s="8"/>
      <c r="V231" s="8"/>
      <c r="W231" s="8"/>
      <c r="X231" s="8"/>
      <c r="Y231" s="8"/>
      <c r="Z231" s="8"/>
    </row>
    <row r="232" spans="1:26" ht="15">
      <c r="A232" s="309" t="s">
        <v>2861</v>
      </c>
      <c r="B232" s="280" t="s">
        <v>2862</v>
      </c>
      <c r="C232" s="232" t="s">
        <v>2863</v>
      </c>
      <c r="D232" s="11"/>
      <c r="E232" s="11"/>
      <c r="F232" s="8"/>
      <c r="G232" s="8"/>
      <c r="H232" s="8"/>
      <c r="I232" s="8"/>
      <c r="J232" s="8"/>
      <c r="K232" s="8"/>
      <c r="L232" s="8"/>
      <c r="M232" s="8"/>
      <c r="N232" s="8"/>
      <c r="O232" s="8"/>
      <c r="P232" s="8"/>
      <c r="Q232" s="8"/>
      <c r="R232" s="8"/>
      <c r="S232" s="8"/>
      <c r="T232" s="8"/>
      <c r="U232" s="8"/>
      <c r="V232" s="8"/>
      <c r="W232" s="8"/>
      <c r="X232" s="8"/>
      <c r="Y232" s="8"/>
      <c r="Z232" s="8"/>
    </row>
    <row r="233" spans="1:26" ht="15">
      <c r="A233" s="291"/>
      <c r="B233" s="280" t="s">
        <v>2864</v>
      </c>
      <c r="C233" s="232" t="s">
        <v>2865</v>
      </c>
      <c r="D233" s="11"/>
      <c r="E233" s="11"/>
      <c r="F233" s="8"/>
      <c r="G233" s="8"/>
      <c r="H233" s="8"/>
      <c r="I233" s="8"/>
      <c r="J233" s="8"/>
      <c r="K233" s="8"/>
      <c r="L233" s="8"/>
      <c r="M233" s="8"/>
      <c r="N233" s="8"/>
      <c r="O233" s="8"/>
      <c r="P233" s="8"/>
      <c r="Q233" s="8"/>
      <c r="R233" s="8"/>
      <c r="S233" s="8"/>
      <c r="T233" s="8"/>
      <c r="U233" s="8"/>
      <c r="V233" s="8"/>
      <c r="W233" s="8"/>
      <c r="X233" s="8"/>
      <c r="Y233" s="8"/>
      <c r="Z233" s="8"/>
    </row>
    <row r="234" spans="1:26" ht="15">
      <c r="A234" s="310" t="s">
        <v>208</v>
      </c>
      <c r="B234" s="251" t="s">
        <v>2866</v>
      </c>
      <c r="C234" s="236"/>
      <c r="D234" s="281" t="s">
        <v>2867</v>
      </c>
      <c r="E234" s="11"/>
      <c r="F234" s="8"/>
      <c r="G234" s="8"/>
      <c r="H234" s="8"/>
      <c r="I234" s="8"/>
      <c r="J234" s="8"/>
      <c r="K234" s="8"/>
      <c r="L234" s="8"/>
      <c r="M234" s="8"/>
      <c r="N234" s="8"/>
      <c r="O234" s="8"/>
      <c r="P234" s="8"/>
      <c r="Q234" s="8"/>
      <c r="R234" s="8"/>
      <c r="S234" s="8"/>
      <c r="T234" s="8"/>
      <c r="U234" s="8"/>
      <c r="V234" s="8"/>
      <c r="W234" s="8"/>
      <c r="X234" s="8"/>
      <c r="Y234" s="8"/>
      <c r="Z234" s="8"/>
    </row>
    <row r="235" spans="1:26" ht="15">
      <c r="A235" s="295"/>
      <c r="B235" s="251" t="s">
        <v>2868</v>
      </c>
      <c r="C235" s="236"/>
      <c r="D235" s="281" t="s">
        <v>2869</v>
      </c>
      <c r="E235" s="11"/>
      <c r="F235" s="8"/>
      <c r="G235" s="8"/>
      <c r="H235" s="8"/>
      <c r="I235" s="8"/>
      <c r="J235" s="8"/>
      <c r="K235" s="8"/>
      <c r="L235" s="8"/>
      <c r="M235" s="8"/>
      <c r="N235" s="8"/>
      <c r="O235" s="8"/>
      <c r="P235" s="8"/>
      <c r="Q235" s="8"/>
      <c r="R235" s="8"/>
      <c r="S235" s="8"/>
      <c r="T235" s="8"/>
      <c r="U235" s="8"/>
      <c r="V235" s="8"/>
      <c r="W235" s="8"/>
      <c r="X235" s="8"/>
      <c r="Y235" s="8"/>
      <c r="Z235" s="8"/>
    </row>
    <row r="236" spans="1:26" ht="15">
      <c r="A236" s="291"/>
      <c r="B236" s="251" t="s">
        <v>2870</v>
      </c>
      <c r="C236" s="236"/>
      <c r="D236" s="281" t="s">
        <v>2871</v>
      </c>
      <c r="E236" s="11"/>
      <c r="F236" s="8"/>
      <c r="G236" s="8"/>
      <c r="H236" s="8"/>
      <c r="I236" s="8"/>
      <c r="J236" s="8"/>
      <c r="K236" s="8"/>
      <c r="L236" s="8"/>
      <c r="M236" s="8"/>
      <c r="N236" s="8"/>
      <c r="O236" s="8"/>
      <c r="P236" s="8"/>
      <c r="Q236" s="8"/>
      <c r="R236" s="8"/>
      <c r="S236" s="8"/>
      <c r="T236" s="8"/>
      <c r="U236" s="8"/>
      <c r="V236" s="8"/>
      <c r="W236" s="8"/>
      <c r="X236" s="8"/>
      <c r="Y236" s="8"/>
      <c r="Z236" s="8"/>
    </row>
    <row r="237" spans="1:26" ht="18.75">
      <c r="A237" s="282" t="s">
        <v>1248</v>
      </c>
      <c r="B237" s="251" t="s">
        <v>2872</v>
      </c>
      <c r="C237" s="236"/>
      <c r="D237" s="281" t="s">
        <v>2873</v>
      </c>
      <c r="E237" s="11"/>
      <c r="F237" s="8"/>
      <c r="G237" s="8"/>
      <c r="H237" s="8"/>
      <c r="I237" s="8"/>
      <c r="J237" s="8"/>
      <c r="K237" s="8"/>
      <c r="L237" s="8"/>
      <c r="M237" s="8"/>
      <c r="N237" s="8"/>
      <c r="O237" s="8"/>
      <c r="P237" s="8"/>
      <c r="Q237" s="8"/>
      <c r="R237" s="8"/>
      <c r="S237" s="8"/>
      <c r="T237" s="8"/>
      <c r="U237" s="8"/>
      <c r="V237" s="8"/>
      <c r="W237" s="8"/>
      <c r="X237" s="8"/>
      <c r="Y237" s="8"/>
      <c r="Z237" s="8"/>
    </row>
    <row r="238" spans="1:26" ht="18.75">
      <c r="A238" s="279" t="s">
        <v>2874</v>
      </c>
      <c r="B238" s="245" t="s">
        <v>2875</v>
      </c>
      <c r="C238" s="11"/>
      <c r="D238" s="232" t="s">
        <v>2876</v>
      </c>
      <c r="E238" s="11"/>
      <c r="F238" s="8"/>
      <c r="G238" s="8"/>
      <c r="H238" s="8"/>
      <c r="I238" s="8"/>
      <c r="J238" s="8"/>
      <c r="K238" s="8"/>
      <c r="L238" s="8"/>
      <c r="M238" s="8"/>
      <c r="N238" s="8"/>
      <c r="O238" s="8"/>
      <c r="P238" s="8"/>
      <c r="Q238" s="8"/>
      <c r="R238" s="8"/>
      <c r="S238" s="8"/>
      <c r="T238" s="8"/>
      <c r="U238" s="8"/>
      <c r="V238" s="8"/>
      <c r="W238" s="8"/>
      <c r="X238" s="8"/>
      <c r="Y238" s="8"/>
      <c r="Z238" s="8"/>
    </row>
    <row r="239" spans="1:26" ht="18.75">
      <c r="A239" s="279" t="s">
        <v>2877</v>
      </c>
      <c r="B239" s="245" t="s">
        <v>2878</v>
      </c>
      <c r="C239" s="11"/>
      <c r="D239" s="232" t="s">
        <v>2108</v>
      </c>
      <c r="E239" s="11"/>
      <c r="F239" s="8"/>
      <c r="G239" s="8"/>
      <c r="H239" s="8"/>
      <c r="I239" s="8"/>
      <c r="J239" s="8"/>
      <c r="K239" s="8"/>
      <c r="L239" s="8"/>
      <c r="M239" s="8"/>
      <c r="N239" s="8"/>
      <c r="O239" s="8"/>
      <c r="P239" s="8"/>
      <c r="Q239" s="8"/>
      <c r="R239" s="8"/>
      <c r="S239" s="8"/>
      <c r="T239" s="8"/>
      <c r="U239" s="8"/>
      <c r="V239" s="8"/>
      <c r="W239" s="8"/>
      <c r="X239" s="8"/>
      <c r="Y239" s="8"/>
      <c r="Z239" s="8"/>
    </row>
    <row r="240" spans="1:26" ht="18.75">
      <c r="A240" s="279" t="s">
        <v>2879</v>
      </c>
      <c r="B240" s="245" t="s">
        <v>2880</v>
      </c>
      <c r="C240" s="11"/>
      <c r="D240" s="232" t="s">
        <v>2881</v>
      </c>
      <c r="E240" s="11"/>
      <c r="F240" s="8"/>
      <c r="G240" s="8"/>
      <c r="H240" s="8"/>
      <c r="I240" s="8"/>
      <c r="J240" s="8"/>
      <c r="K240" s="8"/>
      <c r="L240" s="8"/>
      <c r="M240" s="8"/>
      <c r="N240" s="8"/>
      <c r="O240" s="8"/>
      <c r="P240" s="8"/>
      <c r="Q240" s="8"/>
      <c r="R240" s="8"/>
      <c r="S240" s="8"/>
      <c r="T240" s="8"/>
      <c r="U240" s="8"/>
      <c r="V240" s="8"/>
      <c r="W240" s="8"/>
      <c r="X240" s="8"/>
      <c r="Y240" s="8"/>
      <c r="Z240" s="8"/>
    </row>
    <row r="241" spans="1:26" ht="18.75">
      <c r="A241" s="279" t="s">
        <v>2882</v>
      </c>
      <c r="B241" s="245" t="s">
        <v>2883</v>
      </c>
      <c r="C241" s="11"/>
      <c r="D241" s="232" t="s">
        <v>2884</v>
      </c>
      <c r="E241" s="273" t="s">
        <v>2885</v>
      </c>
      <c r="F241" s="8"/>
      <c r="G241" s="8"/>
      <c r="H241" s="8"/>
      <c r="I241" s="8"/>
      <c r="J241" s="8"/>
      <c r="K241" s="8"/>
      <c r="L241" s="8"/>
      <c r="M241" s="8"/>
      <c r="N241" s="8"/>
      <c r="O241" s="8"/>
      <c r="P241" s="8"/>
      <c r="Q241" s="8"/>
      <c r="R241" s="8"/>
      <c r="S241" s="8"/>
      <c r="T241" s="8"/>
      <c r="U241" s="8"/>
      <c r="V241" s="8"/>
      <c r="W241" s="8"/>
      <c r="X241" s="8"/>
      <c r="Y241" s="8"/>
      <c r="Z241" s="8"/>
    </row>
    <row r="242" spans="1:26" ht="18.75">
      <c r="A242" s="279" t="s">
        <v>2886</v>
      </c>
      <c r="B242" s="245" t="s">
        <v>2887</v>
      </c>
      <c r="C242" s="11"/>
      <c r="D242" s="232" t="s">
        <v>472</v>
      </c>
      <c r="E242" s="273" t="s">
        <v>2885</v>
      </c>
      <c r="F242" s="8"/>
      <c r="G242" s="8"/>
      <c r="H242" s="8"/>
      <c r="I242" s="8"/>
      <c r="J242" s="8"/>
      <c r="K242" s="8"/>
      <c r="L242" s="8"/>
      <c r="M242" s="8"/>
      <c r="N242" s="8"/>
      <c r="O242" s="8"/>
      <c r="P242" s="8"/>
      <c r="Q242" s="8"/>
      <c r="R242" s="8"/>
      <c r="S242" s="8"/>
      <c r="T242" s="8"/>
      <c r="U242" s="8"/>
      <c r="V242" s="8"/>
      <c r="W242" s="8"/>
      <c r="X242" s="8"/>
      <c r="Y242" s="8"/>
      <c r="Z242" s="8"/>
    </row>
    <row r="243" spans="1:26" ht="15">
      <c r="A243" s="309" t="s">
        <v>2888</v>
      </c>
      <c r="B243" s="245" t="s">
        <v>2889</v>
      </c>
      <c r="C243" s="11"/>
      <c r="D243" s="232" t="s">
        <v>2869</v>
      </c>
      <c r="E243" s="273" t="s">
        <v>2885</v>
      </c>
      <c r="F243" s="8"/>
      <c r="G243" s="8"/>
      <c r="H243" s="8"/>
      <c r="I243" s="8"/>
      <c r="J243" s="8"/>
      <c r="K243" s="8"/>
      <c r="L243" s="8"/>
      <c r="M243" s="8"/>
      <c r="N243" s="8"/>
      <c r="O243" s="8"/>
      <c r="P243" s="8"/>
      <c r="Q243" s="8"/>
      <c r="R243" s="8"/>
      <c r="S243" s="8"/>
      <c r="T243" s="8"/>
      <c r="U243" s="8"/>
      <c r="V243" s="8"/>
      <c r="W243" s="8"/>
      <c r="X243" s="8"/>
      <c r="Y243" s="8"/>
      <c r="Z243" s="8"/>
    </row>
    <row r="244" spans="1:26" ht="15">
      <c r="A244" s="295"/>
      <c r="B244" s="245" t="s">
        <v>2890</v>
      </c>
      <c r="C244" s="11"/>
      <c r="D244" s="232" t="s">
        <v>2891</v>
      </c>
      <c r="E244" s="273" t="s">
        <v>2885</v>
      </c>
      <c r="F244" s="8"/>
      <c r="G244" s="8"/>
      <c r="H244" s="8"/>
      <c r="I244" s="8"/>
      <c r="J244" s="8"/>
      <c r="K244" s="8"/>
      <c r="L244" s="8"/>
      <c r="M244" s="8"/>
      <c r="N244" s="8"/>
      <c r="O244" s="8"/>
      <c r="P244" s="8"/>
      <c r="Q244" s="8"/>
      <c r="R244" s="8"/>
      <c r="S244" s="8"/>
      <c r="T244" s="8"/>
      <c r="U244" s="8"/>
      <c r="V244" s="8"/>
      <c r="W244" s="8"/>
      <c r="X244" s="8"/>
      <c r="Y244" s="8"/>
      <c r="Z244" s="8"/>
    </row>
    <row r="245" spans="1:26" ht="15">
      <c r="A245" s="291"/>
      <c r="B245" s="245" t="s">
        <v>2892</v>
      </c>
      <c r="C245" s="11"/>
      <c r="D245" s="232" t="s">
        <v>2893</v>
      </c>
      <c r="E245" s="273" t="s">
        <v>2885</v>
      </c>
      <c r="F245" s="8"/>
      <c r="G245" s="8"/>
      <c r="H245" s="8"/>
      <c r="I245" s="8"/>
      <c r="J245" s="8"/>
      <c r="K245" s="8"/>
      <c r="L245" s="8"/>
      <c r="M245" s="8"/>
      <c r="N245" s="8"/>
      <c r="O245" s="8"/>
      <c r="P245" s="8"/>
      <c r="Q245" s="8"/>
      <c r="R245" s="8"/>
      <c r="S245" s="8"/>
      <c r="T245" s="8"/>
      <c r="U245" s="8"/>
      <c r="V245" s="8"/>
      <c r="W245" s="8"/>
      <c r="X245" s="8"/>
      <c r="Y245" s="8"/>
      <c r="Z245" s="8"/>
    </row>
    <row r="246" spans="1:26" ht="18.75">
      <c r="A246" s="279" t="s">
        <v>2894</v>
      </c>
      <c r="B246" s="245" t="s">
        <v>2895</v>
      </c>
      <c r="C246" s="11"/>
      <c r="D246" s="232" t="s">
        <v>2896</v>
      </c>
      <c r="E246" s="11"/>
      <c r="F246" s="8"/>
      <c r="G246" s="8"/>
      <c r="H246" s="8"/>
      <c r="I246" s="8"/>
      <c r="J246" s="8"/>
      <c r="K246" s="8"/>
      <c r="L246" s="8"/>
      <c r="M246" s="8"/>
      <c r="N246" s="8"/>
      <c r="O246" s="8"/>
      <c r="P246" s="8"/>
      <c r="Q246" s="8"/>
      <c r="R246" s="8"/>
      <c r="S246" s="8"/>
      <c r="T246" s="8"/>
      <c r="U246" s="8"/>
      <c r="V246" s="8"/>
      <c r="W246" s="8"/>
      <c r="X246" s="8"/>
      <c r="Y246" s="8"/>
      <c r="Z246" s="8"/>
    </row>
    <row r="247" spans="1:26" ht="18.75">
      <c r="A247" s="279" t="s">
        <v>2897</v>
      </c>
      <c r="B247" s="245" t="s">
        <v>2898</v>
      </c>
      <c r="C247" s="11"/>
      <c r="D247" s="232" t="s">
        <v>2899</v>
      </c>
      <c r="E247" s="11"/>
      <c r="F247" s="8"/>
      <c r="G247" s="8"/>
      <c r="H247" s="8"/>
      <c r="I247" s="8"/>
      <c r="J247" s="8"/>
      <c r="K247" s="8"/>
      <c r="L247" s="8"/>
      <c r="M247" s="8"/>
      <c r="N247" s="8"/>
      <c r="O247" s="8"/>
      <c r="P247" s="8"/>
      <c r="Q247" s="8"/>
      <c r="R247" s="8"/>
      <c r="S247" s="8"/>
      <c r="T247" s="8"/>
      <c r="U247" s="8"/>
      <c r="V247" s="8"/>
      <c r="W247" s="8"/>
      <c r="X247" s="8"/>
      <c r="Y247" s="8"/>
      <c r="Z247" s="8"/>
    </row>
    <row r="248" spans="1:26" ht="18.75">
      <c r="A248" s="282" t="s">
        <v>2900</v>
      </c>
      <c r="B248" s="251" t="s">
        <v>2901</v>
      </c>
      <c r="C248" s="236"/>
      <c r="D248" s="281" t="s">
        <v>2902</v>
      </c>
      <c r="E248" s="11"/>
      <c r="F248" s="8"/>
      <c r="G248" s="8"/>
      <c r="H248" s="8"/>
      <c r="I248" s="8"/>
      <c r="J248" s="8"/>
      <c r="K248" s="8"/>
      <c r="L248" s="8"/>
      <c r="M248" s="8"/>
      <c r="N248" s="8"/>
      <c r="O248" s="8"/>
      <c r="P248" s="8"/>
      <c r="Q248" s="8"/>
      <c r="R248" s="8"/>
      <c r="S248" s="8"/>
      <c r="T248" s="8"/>
      <c r="U248" s="8"/>
      <c r="V248" s="8"/>
      <c r="W248" s="8"/>
      <c r="X248" s="8"/>
      <c r="Y248" s="8"/>
      <c r="Z248" s="8"/>
    </row>
    <row r="249" spans="1:26" ht="18.75">
      <c r="A249" s="279" t="s">
        <v>2903</v>
      </c>
      <c r="B249" s="245" t="s">
        <v>2904</v>
      </c>
      <c r="C249" s="11"/>
      <c r="D249" s="232" t="s">
        <v>2905</v>
      </c>
      <c r="E249" s="11"/>
      <c r="F249" s="8"/>
      <c r="G249" s="8"/>
      <c r="H249" s="8"/>
      <c r="I249" s="8"/>
      <c r="J249" s="8"/>
      <c r="K249" s="8"/>
      <c r="L249" s="8"/>
      <c r="M249" s="8"/>
      <c r="N249" s="8"/>
      <c r="O249" s="8"/>
      <c r="P249" s="8"/>
      <c r="Q249" s="8"/>
      <c r="R249" s="8"/>
      <c r="S249" s="8"/>
      <c r="T249" s="8"/>
      <c r="U249" s="8"/>
      <c r="V249" s="8"/>
      <c r="W249" s="8"/>
      <c r="X249" s="8"/>
      <c r="Y249" s="8"/>
      <c r="Z249" s="8"/>
    </row>
    <row r="250" spans="1:26" ht="18.75">
      <c r="A250" s="279" t="s">
        <v>2906</v>
      </c>
      <c r="B250" s="245" t="s">
        <v>2907</v>
      </c>
      <c r="C250" s="11"/>
      <c r="D250" s="232" t="s">
        <v>2908</v>
      </c>
      <c r="E250" s="11"/>
      <c r="F250" s="8"/>
      <c r="G250" s="8"/>
      <c r="H250" s="8"/>
      <c r="I250" s="8"/>
      <c r="J250" s="8"/>
      <c r="K250" s="8"/>
      <c r="L250" s="8"/>
      <c r="M250" s="8"/>
      <c r="N250" s="8"/>
      <c r="O250" s="8"/>
      <c r="P250" s="8"/>
      <c r="Q250" s="8"/>
      <c r="R250" s="8"/>
      <c r="S250" s="8"/>
      <c r="T250" s="8"/>
      <c r="U250" s="8"/>
      <c r="V250" s="8"/>
      <c r="W250" s="8"/>
      <c r="X250" s="8"/>
      <c r="Y250" s="8"/>
      <c r="Z250" s="8"/>
    </row>
    <row r="251" spans="1:26" ht="18.75">
      <c r="A251" s="279" t="s">
        <v>2909</v>
      </c>
      <c r="B251" s="245" t="s">
        <v>2910</v>
      </c>
      <c r="C251" s="11"/>
      <c r="D251" s="232" t="s">
        <v>1594</v>
      </c>
      <c r="E251" s="273" t="s">
        <v>2885</v>
      </c>
      <c r="F251" s="8"/>
      <c r="G251" s="8"/>
      <c r="H251" s="8"/>
      <c r="I251" s="8"/>
      <c r="J251" s="8"/>
      <c r="K251" s="8"/>
      <c r="L251" s="8"/>
      <c r="M251" s="8"/>
      <c r="N251" s="8"/>
      <c r="O251" s="8"/>
      <c r="P251" s="8"/>
      <c r="Q251" s="8"/>
      <c r="R251" s="8"/>
      <c r="S251" s="8"/>
      <c r="T251" s="8"/>
      <c r="U251" s="8"/>
      <c r="V251" s="8"/>
      <c r="W251" s="8"/>
      <c r="X251" s="8"/>
      <c r="Y251" s="8"/>
      <c r="Z251" s="8"/>
    </row>
    <row r="252" spans="1:26" ht="12.7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2.75">
      <c r="A253" s="8"/>
      <c r="B253" s="283" t="s">
        <v>2911</v>
      </c>
      <c r="C253" s="283" t="s">
        <v>2863</v>
      </c>
      <c r="D253" s="283" t="s">
        <v>2912</v>
      </c>
      <c r="E253" s="284" t="s">
        <v>2913</v>
      </c>
      <c r="F253" s="8"/>
      <c r="G253" s="8"/>
      <c r="H253" s="8"/>
      <c r="I253" s="8"/>
      <c r="J253" s="8"/>
      <c r="K253" s="8"/>
      <c r="L253" s="8"/>
      <c r="M253" s="8"/>
      <c r="N253" s="8"/>
      <c r="O253" s="8"/>
      <c r="P253" s="8"/>
      <c r="Q253" s="8"/>
      <c r="R253" s="8"/>
      <c r="S253" s="8"/>
      <c r="T253" s="8"/>
      <c r="U253" s="8"/>
      <c r="V253" s="8"/>
      <c r="W253" s="8"/>
      <c r="X253" s="8"/>
      <c r="Y253" s="8"/>
      <c r="Z253" s="8"/>
    </row>
    <row r="254" spans="1:26" ht="12.75">
      <c r="A254" s="8"/>
      <c r="B254" s="283" t="s">
        <v>2914</v>
      </c>
      <c r="C254" s="283" t="s">
        <v>2865</v>
      </c>
      <c r="D254" s="283" t="s">
        <v>2915</v>
      </c>
      <c r="E254" s="284" t="s">
        <v>2916</v>
      </c>
      <c r="F254" s="8"/>
      <c r="G254" s="8"/>
      <c r="H254" s="8"/>
      <c r="I254" s="8"/>
      <c r="J254" s="8"/>
      <c r="K254" s="8"/>
      <c r="L254" s="8"/>
      <c r="M254" s="8"/>
      <c r="N254" s="8"/>
      <c r="O254" s="8"/>
      <c r="P254" s="8"/>
      <c r="Q254" s="8"/>
      <c r="R254" s="8"/>
      <c r="S254" s="8"/>
      <c r="T254" s="8"/>
      <c r="U254" s="8"/>
      <c r="V254" s="8"/>
      <c r="W254" s="8"/>
      <c r="X254" s="8"/>
      <c r="Y254" s="8"/>
      <c r="Z254" s="8"/>
    </row>
    <row r="255" spans="1:26" ht="12.7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2.75">
      <c r="A256" s="8"/>
      <c r="B256" s="8"/>
      <c r="C256" s="285" t="s">
        <v>2917</v>
      </c>
      <c r="D256" s="285" t="s">
        <v>2918</v>
      </c>
      <c r="E256" s="8"/>
      <c r="F256" s="8"/>
      <c r="G256" s="8"/>
      <c r="H256" s="8"/>
      <c r="I256" s="8"/>
      <c r="J256" s="8"/>
      <c r="K256" s="8"/>
      <c r="L256" s="8"/>
      <c r="M256" s="8"/>
      <c r="N256" s="8"/>
      <c r="O256" s="8"/>
      <c r="P256" s="8"/>
      <c r="Q256" s="8"/>
      <c r="R256" s="8"/>
      <c r="S256" s="8"/>
      <c r="T256" s="8"/>
      <c r="U256" s="8"/>
      <c r="V256" s="8"/>
      <c r="W256" s="8"/>
      <c r="X256" s="8"/>
      <c r="Y256" s="8"/>
      <c r="Z256" s="8"/>
    </row>
    <row r="257" spans="1:26" ht="12.7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2.7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2.7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2.7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2.7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2.7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2.7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2.7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2.7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2.7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2.7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2.7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2.7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2.7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2.7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2.7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2.7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2.7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2.7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2.7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2.7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2.7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2.7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2.7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2.7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2.7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2.7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2.7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2.7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2.7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2.7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2.7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2.7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2.7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2.7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2.7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2.7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2.7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2.7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2.7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2.7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2.7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2.7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2.7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2.7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2.7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2.7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2.7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2.7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2.7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2.7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2.7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2.7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2.7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2.7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2.7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2.7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2.7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2.7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2.7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2.7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2.7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2.7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2.7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2.7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2.7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2.7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2.7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2.7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2.7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2.7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2.7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2.7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2.7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2.7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2.7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2.7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2.7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2.7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2.7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2.7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2.7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2.7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2.7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2.7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2.7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2.7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2.7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2.7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2.7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2.7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2.7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2.7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2.7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2.7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2.7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2.7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2.7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2.7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2.7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2.7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2.7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2.7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2.7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2.7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2.7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2.7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2.7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2.7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2.7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2.7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2.7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2.7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2.7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2.7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2.7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2.7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2.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2.7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2.7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2.7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2.7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2.7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2.7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2.7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2.7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2.7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2.7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2.7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2.7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2.7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2.7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2.7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2.7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2.7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2.7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2.7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2.7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2.7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2.7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2.7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2.7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2.7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2.7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2.7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2.7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2.7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2.7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2.7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2.7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2.7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2.7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2.7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2.7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2.7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2.7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2.7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2.7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2.7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2.7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2.7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2.7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2.7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2.7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2.7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2.7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2.7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2.7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2.7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2.7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2.7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2.7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2.7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2.7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2.7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2.7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2.7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2.7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2.7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2.7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2.7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2.7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2.7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2.7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2.7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2.7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2.7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2.7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2.7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2.7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2.7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2.7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2.7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2.7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2.7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2.7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2.7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2.7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2.7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2.7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2.7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2.7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2.7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2.7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2.7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2.7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2.7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2.7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2.7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2.7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2.7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2.7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2.7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2.7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2.7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2.7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2.7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2.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2.7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2.7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2.7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2.7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2.7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2.7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2.7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2.7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2.7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2.7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2.7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2.7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2.7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2.7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2.7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2.7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2.7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2.7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2.7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2.7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2.7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2.7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2.7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2.7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2.7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2.7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2.7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2.7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2.7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2.7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2.7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2.7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2.7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2.7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2.7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2.7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2.7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2.7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2.7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2.7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2.7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2.7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2.7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2.7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2.7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2.7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2.7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2.7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2.7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2.7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2.7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2.7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2.7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2.7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2.7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2.7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2.7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2.7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2.7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2.7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2.7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2.7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2.7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2.7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2.7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2.7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2.7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2.7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2.7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2.7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2.7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2.7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2.7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2.7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2.7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2.7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2.7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2.7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2.7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2.7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2.7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2.7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2.7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2.7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2.7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2.7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2.7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2.7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2.7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2.7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2.7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2.7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2.7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2.7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2.7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2.7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2.7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2.7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2.7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2.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2.7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2.7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2.7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2.7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2.7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2.7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2.7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2.7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2.7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2.7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2.7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2.7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2.7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2.7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2.7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2.7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2.7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2.7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2.7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2.7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2.7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2.7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2.7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2.7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2.7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2.7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2.7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2.7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2.7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2.7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2.7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2.7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2.7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2.7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2.7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2.7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2.7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2.7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2.7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2.7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2.7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2.7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2.7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2.7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2.7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2.7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2.7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2.7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2.7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2.7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2.7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2.7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2.7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2.7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2.7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2.7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2.7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2.7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2.7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2.7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2.7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2.7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2.7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2.7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2.7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2.7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2.7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2.7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2.7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2.7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2.7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2.7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2.7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2.7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2.7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2.7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2.7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2.7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2.7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2.7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2.7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2.7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2.7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2.7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2.7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2.7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2.7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2.7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2.7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2.7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2.7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2.7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2.7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2.7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2.7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2.7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2.7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2.7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2.7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2.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2.7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2.7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2.7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2.7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2.7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2.7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2.7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2.7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2.7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2.7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2.7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2.7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2.7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2.7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2.7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2.7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2.7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2.7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2.7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2.7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2.7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2.7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2.7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2.7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2.7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2.7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2.7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2.7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2.7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2.7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2.7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2.7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2.7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2.7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2.7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2.7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2.7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2.7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2.7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2.7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2.7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2.7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2.7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2.7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2.7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2.7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2.7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2.7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2.7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2.7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2.7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2.7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2.7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2.7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2.7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2.7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2.7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2.7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2.7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2.7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2.7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2.7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2.7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2.7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2.7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2.7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2.7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2.7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2.7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2.7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2.7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2.7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2.7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2.7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2.7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2.7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2.7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2.7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2.7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2.7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2.7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2.7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2.7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2.7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2.7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2.7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2.7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2.7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2.7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2.7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2.7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2.7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2.7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2.7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2.7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2.7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2.7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2.7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2.7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2.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2.7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2.7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2.7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2.7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2.7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2.7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2.7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2.7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2.7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2.7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2.7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2.7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2.7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2.7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2.7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2.7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2.7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2.7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2.7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2.7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2.7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2.7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2.7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2.7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2.7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2.7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2.7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2.7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2.7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2.7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2.7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2.7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2.7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2.7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2.7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2.7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2.7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2.7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2.7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2.7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2.7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2.7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2.7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2.7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2.7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2.7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2.7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2.7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2.7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2.7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2.7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2.7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2.7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2.7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2.7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2.7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2.7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2.7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2.7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2.7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2.7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2.7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2.7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2.7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2.7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2.7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2.7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2.7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2.7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2.7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2.7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2.7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2.7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2.7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2.7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2.7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2.7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2.7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2.7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2.7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2.7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2.7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2.7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2.7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2.7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2.7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2.7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2.7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2.7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2.7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2.7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2.7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2.7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2.7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2.7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2.7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2.7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2.7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2.7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2.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2.7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2.7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2.7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2.7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2.7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2.7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2.7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2.7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2.7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2.7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2.7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2.7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2.7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2.7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2.7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2.7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2.7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2.7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2.7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2.7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2.7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2.7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2.7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2.7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2.7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2.7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2.7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2.7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2.7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2.7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2.7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2.7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2.7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2.7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2.7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2.7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2.7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2.7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2.7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2.7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2.7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2.7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2.7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2.7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2.7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2.7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2.7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2.7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2.7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2.7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2.7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2.7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2.7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2.7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2.7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2.7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2.7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2.7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2.7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2.7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2.7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2.7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2.7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2.7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2.7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2.7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2.7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2.7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2.7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2.7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2.7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2.7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2.7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2.7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2.7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2.7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2.7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2.7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2.7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2.7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2.7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2.7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2.7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2.7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2.7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2.7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2.7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2.7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2.7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2.7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2.7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2.7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2.7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2.7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2.7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2.7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2.7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2.7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2.7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2.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2.7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2.7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2.7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2.7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2.7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2.7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2.7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2.7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2.7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2.7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2.7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2.7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2.7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2.7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2.7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2.7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2.7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2.7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2.7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2.7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2.7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2.7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2.7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2.7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2.7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2.7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2.7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2.7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2.7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2.7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2.7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2.7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2.7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ht="12.7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2.7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ht="12.7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ht="12.7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ht="12.7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ht="12.75">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spans="1:26" ht="12.7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spans="1:26" ht="12.75">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spans="1:26" ht="12.75">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spans="1:26" ht="12.75">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spans="1:26" ht="12.75">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spans="1:26" ht="12.75">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spans="1:26" ht="12.75">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spans="1:26" ht="12.75">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spans="1:26" ht="12.75">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spans="1:26" ht="12.75">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spans="1:26" ht="12.7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spans="1:26" ht="12.75">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spans="1:26" ht="12.75">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spans="1:26" ht="12.75">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spans="1:26" ht="12.75">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spans="1:26" ht="12.75">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spans="1:26" ht="12.75">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spans="1:26" ht="12.75">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spans="1:26" ht="12.75">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spans="1:26" ht="12.75">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spans="1:26" ht="12.7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spans="1:26" ht="12.75">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spans="1:26" ht="12.75">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spans="1:26" ht="12.75">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spans="1:26" ht="12.75">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spans="1:26" ht="12.75">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spans="1:26" ht="12.75">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spans="1:26" ht="12.75">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spans="1:26" ht="12.75">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spans="1:26" ht="12.75">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spans="1:26" ht="12.7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spans="1:26" ht="12.75">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spans="1:26" ht="12.75">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spans="1:26" ht="12.75">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spans="1:26" ht="12.75">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spans="1:26" ht="12.75">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spans="1:26" ht="12.75">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spans="1:26" ht="12.75">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spans="1:26" ht="12.75">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spans="1:26" ht="12.75">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spans="1:26" ht="12.75">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spans="1:26" ht="12.75">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spans="1:26" ht="12.75">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spans="1:26" ht="12.75">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spans="1:26" ht="12.75">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spans="1:26" ht="12.75">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spans="1:26" ht="12.75">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spans="1:26" ht="12.75">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spans="1:26" ht="12.75">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spans="1:26" ht="12.75">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spans="1:26" ht="12.75">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spans="1:26" ht="12.75">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spans="1:26" ht="12.75">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spans="1:26" ht="12.75">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spans="1:26" ht="12.75">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spans="1:26" ht="12.75">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spans="1:26" ht="12.75">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spans="1:26" ht="12.75">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spans="1:26" ht="12.75">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spans="1:26" ht="12.75">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spans="1:26" ht="12.75">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spans="1:26" ht="12.75">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spans="1:26" ht="12.75">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spans="1:26" ht="12.75">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spans="1:26" ht="12.75">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spans="1:26" ht="12.75">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spans="1:26" ht="12.75">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spans="1:26" ht="12.75">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row r="1083" spans="1:26" ht="12.75">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row>
  </sheetData>
  <mergeCells count="32">
    <mergeCell ref="A146:B146"/>
    <mergeCell ref="A230:E230"/>
    <mergeCell ref="A232:A233"/>
    <mergeCell ref="A234:A236"/>
    <mergeCell ref="A243:A245"/>
    <mergeCell ref="A157:E157"/>
    <mergeCell ref="A159:A160"/>
    <mergeCell ref="A171:E171"/>
    <mergeCell ref="A181:E181"/>
    <mergeCell ref="A191:E191"/>
    <mergeCell ref="A200:E200"/>
    <mergeCell ref="A219:E219"/>
    <mergeCell ref="A108:B108"/>
    <mergeCell ref="A111:B111"/>
    <mergeCell ref="A116:B121"/>
    <mergeCell ref="A134:B139"/>
    <mergeCell ref="A141:B141"/>
    <mergeCell ref="A75:B80"/>
    <mergeCell ref="A82:B82"/>
    <mergeCell ref="A86:B86"/>
    <mergeCell ref="A94:B99"/>
    <mergeCell ref="A101:B101"/>
    <mergeCell ref="A45:B45"/>
    <mergeCell ref="A50:B50"/>
    <mergeCell ref="A56:B56"/>
    <mergeCell ref="A62:B62"/>
    <mergeCell ref="A65:B65"/>
    <mergeCell ref="A1:B6"/>
    <mergeCell ref="F7:F13"/>
    <mergeCell ref="A19:B24"/>
    <mergeCell ref="A35:B40"/>
    <mergeCell ref="A42:B42"/>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5703125" defaultRowHeight="15.75" customHeight="1"/>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J1012"/>
  <sheetViews>
    <sheetView showGridLines="0" workbookViewId="0"/>
  </sheetViews>
  <sheetFormatPr defaultColWidth="12.5703125" defaultRowHeight="15.75" customHeight="1"/>
  <sheetData>
    <row r="1" spans="1:36">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row>
    <row r="2" spans="1:36">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spans="1:36">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c r="A4" s="8"/>
      <c r="B4" s="8"/>
      <c r="C4" s="218"/>
      <c r="D4" s="218"/>
      <c r="E4" s="218"/>
      <c r="F4" s="218"/>
      <c r="G4" s="218"/>
      <c r="H4" s="218"/>
      <c r="I4" s="218"/>
      <c r="J4" s="218"/>
      <c r="K4" s="218"/>
      <c r="L4" s="218"/>
      <c r="M4" s="218"/>
      <c r="N4" s="218"/>
      <c r="O4" s="218"/>
      <c r="P4" s="218"/>
      <c r="Q4" s="218"/>
      <c r="R4" s="8"/>
      <c r="S4" s="8"/>
      <c r="T4" s="8"/>
      <c r="U4" s="8"/>
      <c r="V4" s="8"/>
      <c r="W4" s="8"/>
      <c r="X4" s="8"/>
      <c r="Y4" s="8"/>
      <c r="Z4" s="8"/>
      <c r="AA4" s="8"/>
      <c r="AB4" s="8"/>
      <c r="AC4" s="8"/>
      <c r="AD4" s="8"/>
      <c r="AE4" s="8"/>
      <c r="AF4" s="8"/>
      <c r="AG4" s="8"/>
      <c r="AH4" s="8"/>
      <c r="AI4" s="8"/>
      <c r="AJ4" s="8"/>
    </row>
    <row r="5" spans="1:36">
      <c r="A5" s="8"/>
      <c r="B5" s="274"/>
      <c r="C5" s="8"/>
      <c r="D5" s="8"/>
      <c r="E5" s="8"/>
      <c r="F5" s="8"/>
      <c r="H5" s="8"/>
      <c r="I5" s="8"/>
      <c r="J5" s="8"/>
      <c r="K5" s="8"/>
      <c r="L5" s="8"/>
      <c r="M5" s="8"/>
      <c r="N5" s="8"/>
      <c r="O5" s="8"/>
      <c r="P5" s="8"/>
      <c r="Q5" s="274"/>
      <c r="R5" s="8"/>
      <c r="S5" s="8"/>
      <c r="T5" s="8"/>
      <c r="U5" s="8"/>
      <c r="V5" s="8"/>
      <c r="W5" s="8"/>
      <c r="X5" s="8"/>
      <c r="Y5" s="8"/>
      <c r="Z5" s="8"/>
      <c r="AA5" s="8"/>
      <c r="AB5" s="8"/>
      <c r="AC5" s="8"/>
      <c r="AD5" s="8"/>
      <c r="AE5" s="8"/>
      <c r="AF5" s="8"/>
      <c r="AG5" s="8"/>
      <c r="AH5" s="8"/>
      <c r="AI5" s="8"/>
      <c r="AJ5" s="8"/>
    </row>
    <row r="6" spans="1:36">
      <c r="A6" s="8"/>
      <c r="B6" s="274"/>
      <c r="C6" s="8"/>
      <c r="D6" s="8"/>
      <c r="E6" s="8"/>
      <c r="G6" s="8"/>
      <c r="H6" s="8"/>
      <c r="I6" s="8"/>
      <c r="J6" s="8"/>
      <c r="K6" s="8"/>
      <c r="L6" s="8"/>
      <c r="M6" s="8"/>
      <c r="N6" s="8"/>
      <c r="O6" s="8"/>
      <c r="P6" s="8"/>
      <c r="Q6" s="274"/>
      <c r="R6" s="8"/>
      <c r="S6" s="8"/>
      <c r="T6" s="8"/>
      <c r="U6" s="8"/>
      <c r="V6" s="8"/>
      <c r="W6" s="8"/>
      <c r="X6" s="8"/>
      <c r="Y6" s="8"/>
      <c r="Z6" s="8"/>
      <c r="AA6" s="8"/>
      <c r="AB6" s="8"/>
      <c r="AC6" s="8"/>
      <c r="AD6" s="8"/>
      <c r="AE6" s="8"/>
      <c r="AF6" s="8"/>
      <c r="AG6" s="8"/>
      <c r="AH6" s="8"/>
      <c r="AI6" s="8"/>
      <c r="AJ6" s="8"/>
    </row>
    <row r="7" spans="1:36">
      <c r="A7" s="8"/>
      <c r="B7" s="274"/>
      <c r="C7" s="8"/>
      <c r="D7" s="8"/>
      <c r="E7" s="8"/>
      <c r="F7" s="8"/>
      <c r="G7" s="8"/>
      <c r="H7" s="8"/>
      <c r="I7" s="8"/>
      <c r="J7" s="8"/>
      <c r="K7" s="8"/>
      <c r="L7" s="8"/>
      <c r="M7" s="8"/>
      <c r="N7" s="8"/>
      <c r="O7" s="8"/>
      <c r="P7" s="8"/>
      <c r="Q7" s="274"/>
      <c r="R7" s="8"/>
      <c r="S7" s="8"/>
      <c r="T7" s="8"/>
      <c r="U7" s="8"/>
      <c r="V7" s="8"/>
      <c r="W7" s="8"/>
      <c r="X7" s="8"/>
      <c r="Y7" s="8"/>
      <c r="Z7" s="8"/>
      <c r="AA7" s="8"/>
      <c r="AB7" s="8"/>
      <c r="AC7" s="8"/>
      <c r="AD7" s="8"/>
      <c r="AE7" s="8"/>
      <c r="AF7" s="8"/>
      <c r="AG7" s="8"/>
      <c r="AH7" s="8"/>
      <c r="AI7" s="8"/>
      <c r="AJ7" s="8"/>
    </row>
    <row r="8" spans="1:36">
      <c r="A8" s="8"/>
      <c r="B8" s="274"/>
      <c r="C8" s="8"/>
      <c r="D8" s="8"/>
      <c r="E8" s="8"/>
      <c r="F8" s="8"/>
      <c r="G8" s="8"/>
      <c r="H8" s="278" t="s">
        <v>2919</v>
      </c>
      <c r="I8" s="8"/>
      <c r="J8" s="8"/>
      <c r="K8" s="8"/>
      <c r="L8" s="8"/>
      <c r="M8" s="8"/>
      <c r="N8" s="8"/>
      <c r="O8" s="8"/>
      <c r="P8" s="8"/>
      <c r="Q8" s="274"/>
      <c r="R8" s="8"/>
      <c r="S8" s="8"/>
      <c r="T8" s="8"/>
      <c r="U8" s="8"/>
      <c r="V8" s="8"/>
      <c r="W8" s="8"/>
      <c r="X8" s="8"/>
      <c r="Y8" s="8"/>
      <c r="Z8" s="8"/>
      <c r="AA8" s="8"/>
      <c r="AB8" s="8"/>
      <c r="AC8" s="8"/>
      <c r="AD8" s="8"/>
      <c r="AE8" s="8"/>
      <c r="AF8" s="8"/>
      <c r="AG8" s="8"/>
      <c r="AH8" s="8"/>
      <c r="AI8" s="8"/>
      <c r="AJ8" s="8"/>
    </row>
    <row r="9" spans="1:36">
      <c r="A9" s="8"/>
      <c r="B9" s="274"/>
      <c r="C9" s="8"/>
      <c r="D9" s="8"/>
      <c r="E9" s="8"/>
      <c r="F9" s="8"/>
      <c r="H9" s="8"/>
      <c r="I9" s="8"/>
      <c r="J9" s="8"/>
      <c r="K9" s="8"/>
      <c r="L9" s="8"/>
      <c r="M9" s="8"/>
      <c r="N9" s="8"/>
      <c r="O9" s="8"/>
      <c r="P9" s="8"/>
      <c r="Q9" s="274"/>
      <c r="R9" s="8"/>
      <c r="S9" s="8"/>
      <c r="T9" s="8"/>
      <c r="U9" s="8"/>
      <c r="V9" s="8"/>
      <c r="W9" s="8"/>
      <c r="X9" s="8"/>
      <c r="Y9" s="8"/>
      <c r="Z9" s="8"/>
      <c r="AA9" s="8"/>
      <c r="AB9" s="8"/>
      <c r="AC9" s="8"/>
      <c r="AD9" s="8"/>
      <c r="AE9" s="8"/>
      <c r="AF9" s="8"/>
      <c r="AG9" s="8"/>
      <c r="AH9" s="8"/>
      <c r="AI9" s="8"/>
      <c r="AJ9" s="8"/>
    </row>
    <row r="10" spans="1:36">
      <c r="A10" s="8"/>
      <c r="B10" s="274"/>
      <c r="C10" s="8"/>
      <c r="D10" s="8"/>
      <c r="E10" s="8"/>
      <c r="F10" s="8"/>
      <c r="G10" s="8"/>
      <c r="H10" s="8"/>
      <c r="I10" s="8"/>
      <c r="J10" s="8"/>
      <c r="K10" s="8"/>
      <c r="L10" s="8"/>
      <c r="M10" s="8"/>
      <c r="N10" s="8"/>
      <c r="O10" s="8"/>
      <c r="P10" s="8"/>
      <c r="Q10" s="274"/>
      <c r="R10" s="8"/>
      <c r="S10" s="8"/>
      <c r="T10" s="8"/>
      <c r="U10" s="8"/>
      <c r="V10" s="8"/>
      <c r="W10" s="8"/>
      <c r="X10" s="8"/>
      <c r="Y10" s="8"/>
      <c r="Z10" s="8"/>
      <c r="AA10" s="8"/>
      <c r="AB10" s="8"/>
      <c r="AC10" s="8"/>
      <c r="AD10" s="8"/>
      <c r="AE10" s="8"/>
      <c r="AF10" s="8"/>
      <c r="AG10" s="8"/>
      <c r="AH10" s="8"/>
      <c r="AI10" s="8"/>
      <c r="AJ10" s="8"/>
    </row>
    <row r="11" spans="1:36">
      <c r="A11" s="8"/>
      <c r="B11" s="274"/>
      <c r="C11" s="8"/>
      <c r="D11" s="8"/>
      <c r="E11" s="8"/>
      <c r="F11" s="8"/>
      <c r="G11" s="8"/>
      <c r="H11" s="8"/>
      <c r="I11" s="8"/>
      <c r="J11" s="8"/>
      <c r="K11" s="8"/>
      <c r="L11" s="8"/>
      <c r="M11" s="8"/>
      <c r="N11" s="8"/>
      <c r="O11" s="8"/>
      <c r="P11" s="8"/>
      <c r="Q11" s="274"/>
      <c r="R11" s="8"/>
      <c r="S11" s="8"/>
      <c r="T11" s="8"/>
      <c r="U11" s="8"/>
      <c r="V11" s="8"/>
      <c r="W11" s="8"/>
      <c r="X11" s="8"/>
      <c r="Y11" s="8"/>
      <c r="Z11" s="8"/>
      <c r="AA11" s="8"/>
      <c r="AB11" s="8"/>
      <c r="AC11" s="8"/>
      <c r="AD11" s="8"/>
      <c r="AE11" s="8"/>
      <c r="AF11" s="8"/>
      <c r="AG11" s="8"/>
      <c r="AH11" s="8"/>
      <c r="AI11" s="8"/>
      <c r="AJ11" s="8"/>
    </row>
    <row r="12" spans="1:36">
      <c r="A12" s="8"/>
      <c r="B12" s="274"/>
      <c r="C12" s="7"/>
      <c r="D12" s="317" t="s">
        <v>2920</v>
      </c>
      <c r="E12" s="298"/>
      <c r="F12" s="298"/>
      <c r="G12" s="319">
        <f>'Base de Dados'!C2</f>
        <v>116</v>
      </c>
      <c r="H12" s="298"/>
      <c r="I12" s="298"/>
      <c r="J12" s="319">
        <f>'Base de Dados'!F2</f>
        <v>88</v>
      </c>
      <c r="K12" s="298"/>
      <c r="L12" s="298"/>
      <c r="M12" s="319">
        <f>G12+J12</f>
        <v>204</v>
      </c>
      <c r="N12" s="298"/>
      <c r="O12" s="298"/>
      <c r="P12" s="8"/>
      <c r="Q12" s="274"/>
      <c r="R12" s="8"/>
      <c r="S12" s="8"/>
      <c r="T12" s="8"/>
      <c r="U12" s="8"/>
      <c r="V12" s="8"/>
      <c r="W12" s="8"/>
      <c r="X12" s="8"/>
      <c r="Y12" s="8"/>
      <c r="Z12" s="8"/>
      <c r="AA12" s="8"/>
      <c r="AB12" s="8"/>
      <c r="AC12" s="8"/>
      <c r="AD12" s="8"/>
      <c r="AE12" s="8"/>
      <c r="AF12" s="8"/>
      <c r="AG12" s="8"/>
      <c r="AH12" s="8"/>
      <c r="AI12" s="8"/>
      <c r="AJ12" s="8"/>
    </row>
    <row r="13" spans="1:36">
      <c r="A13" s="8"/>
      <c r="B13" s="274"/>
      <c r="C13" s="7"/>
      <c r="D13" s="298"/>
      <c r="E13" s="298"/>
      <c r="F13" s="298"/>
      <c r="G13" s="298"/>
      <c r="H13" s="298"/>
      <c r="I13" s="298"/>
      <c r="J13" s="298"/>
      <c r="K13" s="298"/>
      <c r="L13" s="298"/>
      <c r="M13" s="298"/>
      <c r="N13" s="298"/>
      <c r="O13" s="298"/>
      <c r="P13" s="8"/>
      <c r="Q13" s="274"/>
      <c r="R13" s="8"/>
      <c r="S13" s="8"/>
      <c r="T13" s="8"/>
      <c r="U13" s="8"/>
      <c r="V13" s="8"/>
      <c r="W13" s="8"/>
      <c r="X13" s="8"/>
      <c r="Y13" s="8"/>
      <c r="Z13" s="8"/>
      <c r="AA13" s="8"/>
      <c r="AB13" s="8"/>
      <c r="AC13" s="8"/>
      <c r="AD13" s="8"/>
      <c r="AE13" s="8"/>
      <c r="AF13" s="8"/>
      <c r="AG13" s="8"/>
      <c r="AH13" s="8"/>
      <c r="AI13" s="8"/>
      <c r="AJ13" s="8"/>
    </row>
    <row r="14" spans="1:36">
      <c r="A14" s="8"/>
      <c r="B14" s="274"/>
      <c r="C14" s="7"/>
      <c r="D14" s="313" t="s">
        <v>481</v>
      </c>
      <c r="E14" s="298"/>
      <c r="F14" s="298"/>
      <c r="G14" s="320">
        <f>'Base de Dados'!X2</f>
        <v>7</v>
      </c>
      <c r="H14" s="298"/>
      <c r="I14" s="298"/>
      <c r="J14" s="320">
        <f>'Base de Dados'!AA2</f>
        <v>20</v>
      </c>
      <c r="K14" s="298"/>
      <c r="L14" s="298"/>
      <c r="M14" s="320">
        <f>G14+J14</f>
        <v>27</v>
      </c>
      <c r="N14" s="298"/>
      <c r="O14" s="298"/>
      <c r="P14" s="8"/>
      <c r="Q14" s="274"/>
      <c r="R14" s="8"/>
      <c r="S14" s="8"/>
      <c r="T14" s="8"/>
      <c r="U14" s="8"/>
      <c r="V14" s="8"/>
      <c r="W14" s="8"/>
      <c r="X14" s="8"/>
      <c r="Y14" s="8"/>
      <c r="Z14" s="8"/>
      <c r="AA14" s="8"/>
      <c r="AB14" s="8"/>
      <c r="AC14" s="8"/>
      <c r="AD14" s="8"/>
      <c r="AE14" s="8"/>
      <c r="AF14" s="8"/>
      <c r="AG14" s="8"/>
      <c r="AH14" s="8"/>
      <c r="AI14" s="8"/>
      <c r="AJ14" s="8"/>
    </row>
    <row r="15" spans="1:36">
      <c r="A15" s="8"/>
      <c r="B15" s="274"/>
      <c r="C15" s="7"/>
      <c r="D15" s="298"/>
      <c r="E15" s="298"/>
      <c r="F15" s="298"/>
      <c r="G15" s="298"/>
      <c r="H15" s="298"/>
      <c r="I15" s="298"/>
      <c r="J15" s="298"/>
      <c r="K15" s="298"/>
      <c r="L15" s="298"/>
      <c r="M15" s="298"/>
      <c r="N15" s="298"/>
      <c r="O15" s="298"/>
      <c r="P15" s="8"/>
      <c r="Q15" s="274"/>
      <c r="R15" s="8"/>
      <c r="S15" s="8"/>
      <c r="T15" s="8"/>
      <c r="U15" s="8"/>
      <c r="V15" s="8"/>
      <c r="W15" s="8"/>
      <c r="X15" s="8"/>
      <c r="Y15" s="8"/>
      <c r="Z15" s="8"/>
      <c r="AA15" s="8"/>
      <c r="AB15" s="8"/>
      <c r="AC15" s="8"/>
      <c r="AD15" s="8"/>
      <c r="AE15" s="8"/>
      <c r="AF15" s="8"/>
      <c r="AG15" s="8"/>
      <c r="AH15" s="8"/>
      <c r="AI15" s="8"/>
      <c r="AJ15" s="8"/>
    </row>
    <row r="16" spans="1:36">
      <c r="A16" s="8"/>
      <c r="B16" s="274"/>
      <c r="C16" s="7"/>
      <c r="D16" s="313" t="s">
        <v>2921</v>
      </c>
      <c r="E16" s="298"/>
      <c r="F16" s="298"/>
      <c r="G16" s="320">
        <f>'Base de Dados'!AJ2</f>
        <v>21</v>
      </c>
      <c r="H16" s="298"/>
      <c r="I16" s="298"/>
      <c r="J16" s="320">
        <f>'Base de Dados'!AM2</f>
        <v>6</v>
      </c>
      <c r="K16" s="298"/>
      <c r="L16" s="298"/>
      <c r="M16" s="320">
        <f>G16+J16</f>
        <v>27</v>
      </c>
      <c r="N16" s="298"/>
      <c r="O16" s="298"/>
      <c r="P16" s="8"/>
      <c r="Q16" s="274"/>
      <c r="R16" s="8"/>
      <c r="S16" s="8"/>
      <c r="T16" s="8"/>
      <c r="U16" s="8"/>
      <c r="V16" s="8"/>
      <c r="W16" s="8"/>
      <c r="X16" s="8"/>
      <c r="Y16" s="8"/>
      <c r="Z16" s="8"/>
      <c r="AA16" s="8"/>
      <c r="AB16" s="8"/>
      <c r="AC16" s="8"/>
      <c r="AD16" s="8"/>
      <c r="AE16" s="8"/>
      <c r="AF16" s="8"/>
      <c r="AG16" s="8"/>
      <c r="AH16" s="8"/>
      <c r="AI16" s="8"/>
      <c r="AJ16" s="8"/>
    </row>
    <row r="17" spans="1:36">
      <c r="A17" s="8"/>
      <c r="B17" s="274"/>
      <c r="C17" s="7"/>
      <c r="D17" s="298"/>
      <c r="E17" s="298"/>
      <c r="F17" s="298"/>
      <c r="G17" s="298"/>
      <c r="H17" s="298"/>
      <c r="I17" s="298"/>
      <c r="J17" s="298"/>
      <c r="K17" s="298"/>
      <c r="L17" s="298"/>
      <c r="M17" s="298"/>
      <c r="N17" s="298"/>
      <c r="O17" s="298"/>
      <c r="P17" s="8"/>
      <c r="Q17" s="274"/>
      <c r="R17" s="8"/>
      <c r="S17" s="8"/>
      <c r="T17" s="8"/>
      <c r="U17" s="8"/>
      <c r="V17" s="8"/>
      <c r="W17" s="8"/>
      <c r="X17" s="8"/>
      <c r="Y17" s="8"/>
      <c r="Z17" s="8"/>
      <c r="AA17" s="8"/>
      <c r="AB17" s="8"/>
      <c r="AC17" s="8"/>
      <c r="AD17" s="8"/>
      <c r="AE17" s="8"/>
      <c r="AF17" s="8"/>
      <c r="AG17" s="8"/>
      <c r="AH17" s="8"/>
      <c r="AI17" s="8"/>
      <c r="AJ17" s="8"/>
    </row>
    <row r="18" spans="1:36">
      <c r="A18" s="8"/>
      <c r="B18" s="274"/>
      <c r="C18" s="8"/>
      <c r="D18" s="313" t="s">
        <v>563</v>
      </c>
      <c r="E18" s="298"/>
      <c r="F18" s="298"/>
      <c r="G18" s="320">
        <f>'Base de Dados'!AV2</f>
        <v>8</v>
      </c>
      <c r="H18" s="298"/>
      <c r="I18" s="298"/>
      <c r="J18" s="320">
        <f>'Base de Dados'!AY2</f>
        <v>11</v>
      </c>
      <c r="K18" s="298"/>
      <c r="L18" s="298"/>
      <c r="M18" s="320">
        <f>G18+J18</f>
        <v>19</v>
      </c>
      <c r="N18" s="298"/>
      <c r="O18" s="298"/>
      <c r="P18" s="8"/>
      <c r="Q18" s="274"/>
      <c r="R18" s="8"/>
      <c r="S18" s="8"/>
      <c r="T18" s="8"/>
      <c r="U18" s="8"/>
      <c r="V18" s="8"/>
      <c r="W18" s="8"/>
      <c r="X18" s="8"/>
      <c r="Y18" s="8"/>
      <c r="Z18" s="8"/>
      <c r="AA18" s="8"/>
      <c r="AB18" s="8"/>
      <c r="AC18" s="8"/>
      <c r="AD18" s="8"/>
      <c r="AE18" s="8"/>
      <c r="AF18" s="8"/>
      <c r="AG18" s="8"/>
      <c r="AH18" s="8"/>
      <c r="AI18" s="8"/>
      <c r="AJ18" s="8"/>
    </row>
    <row r="19" spans="1:36">
      <c r="A19" s="8"/>
      <c r="B19" s="274"/>
      <c r="C19" s="8"/>
      <c r="D19" s="298"/>
      <c r="E19" s="298"/>
      <c r="F19" s="298"/>
      <c r="G19" s="298"/>
      <c r="H19" s="298"/>
      <c r="I19" s="298"/>
      <c r="J19" s="298"/>
      <c r="K19" s="298"/>
      <c r="L19" s="298"/>
      <c r="M19" s="298"/>
      <c r="N19" s="298"/>
      <c r="O19" s="298"/>
      <c r="P19" s="8"/>
      <c r="Q19" s="274"/>
      <c r="R19" s="8"/>
      <c r="S19" s="8"/>
      <c r="T19" s="8"/>
      <c r="U19" s="8"/>
      <c r="V19" s="8"/>
      <c r="W19" s="8"/>
      <c r="X19" s="8"/>
      <c r="Y19" s="8"/>
      <c r="Z19" s="8"/>
      <c r="AA19" s="8"/>
      <c r="AB19" s="8"/>
      <c r="AC19" s="8"/>
      <c r="AD19" s="8"/>
      <c r="AE19" s="8"/>
      <c r="AF19" s="8"/>
      <c r="AG19" s="8"/>
      <c r="AH19" s="8"/>
      <c r="AI19" s="8"/>
      <c r="AJ19" s="8"/>
    </row>
    <row r="20" spans="1:36">
      <c r="A20" s="8"/>
      <c r="B20" s="274"/>
      <c r="C20" s="8"/>
      <c r="D20" s="313" t="s">
        <v>1330</v>
      </c>
      <c r="E20" s="298"/>
      <c r="F20" s="298"/>
      <c r="G20" s="320">
        <f>'Base de Dados'!BH2</f>
        <v>80</v>
      </c>
      <c r="H20" s="298"/>
      <c r="I20" s="298"/>
      <c r="J20" s="320">
        <f>'Base de Dados'!BK2</f>
        <v>51</v>
      </c>
      <c r="K20" s="298"/>
      <c r="L20" s="298"/>
      <c r="M20" s="320">
        <f>G20+J20</f>
        <v>131</v>
      </c>
      <c r="N20" s="298"/>
      <c r="O20" s="298"/>
      <c r="P20" s="8"/>
      <c r="Q20" s="274"/>
      <c r="R20" s="8"/>
      <c r="S20" s="8"/>
      <c r="T20" s="8"/>
      <c r="U20" s="8"/>
      <c r="V20" s="8"/>
      <c r="W20" s="8"/>
      <c r="X20" s="8"/>
      <c r="Y20" s="8"/>
      <c r="Z20" s="8"/>
      <c r="AA20" s="8"/>
      <c r="AB20" s="8"/>
      <c r="AC20" s="8"/>
      <c r="AD20" s="8"/>
      <c r="AE20" s="8"/>
      <c r="AF20" s="8"/>
      <c r="AG20" s="8"/>
      <c r="AH20" s="8"/>
      <c r="AI20" s="8"/>
      <c r="AJ20" s="8"/>
    </row>
    <row r="21" spans="1:36">
      <c r="A21" s="8"/>
      <c r="B21" s="274"/>
      <c r="C21" s="8"/>
      <c r="D21" s="298"/>
      <c r="E21" s="298"/>
      <c r="F21" s="298"/>
      <c r="G21" s="298"/>
      <c r="H21" s="298"/>
      <c r="I21" s="298"/>
      <c r="J21" s="298"/>
      <c r="K21" s="298"/>
      <c r="L21" s="298"/>
      <c r="M21" s="298"/>
      <c r="N21" s="298"/>
      <c r="O21" s="298"/>
      <c r="P21" s="8"/>
      <c r="Q21" s="274"/>
      <c r="R21" s="8"/>
      <c r="S21" s="8"/>
      <c r="T21" s="8"/>
      <c r="U21" s="8"/>
      <c r="V21" s="8"/>
      <c r="W21" s="8"/>
      <c r="X21" s="8"/>
      <c r="Y21" s="8"/>
      <c r="Z21" s="8"/>
      <c r="AA21" s="8"/>
      <c r="AB21" s="8"/>
      <c r="AC21" s="8"/>
      <c r="AD21" s="8"/>
      <c r="AE21" s="8"/>
      <c r="AF21" s="8"/>
      <c r="AG21" s="8"/>
      <c r="AH21" s="8"/>
      <c r="AI21" s="8"/>
      <c r="AJ21" s="8"/>
    </row>
    <row r="22" spans="1:36">
      <c r="A22" s="8"/>
      <c r="B22" s="274"/>
      <c r="C22" s="7"/>
      <c r="D22" s="7"/>
      <c r="E22" s="7"/>
      <c r="F22" s="7"/>
      <c r="G22" s="7"/>
      <c r="H22" s="7"/>
      <c r="I22" s="7"/>
      <c r="J22" s="7"/>
      <c r="K22" s="7"/>
      <c r="L22" s="7"/>
      <c r="M22" s="7"/>
      <c r="N22" s="7"/>
      <c r="O22" s="7"/>
      <c r="P22" s="8"/>
      <c r="Q22" s="274"/>
      <c r="R22" s="8"/>
      <c r="S22" s="8"/>
      <c r="T22" s="8"/>
      <c r="U22" s="8"/>
      <c r="V22" s="8"/>
      <c r="W22" s="8"/>
      <c r="X22" s="8"/>
      <c r="Y22" s="8"/>
      <c r="Z22" s="8"/>
      <c r="AA22" s="8"/>
      <c r="AB22" s="8"/>
      <c r="AC22" s="8"/>
      <c r="AD22" s="8"/>
      <c r="AE22" s="8"/>
      <c r="AF22" s="8"/>
      <c r="AG22" s="8"/>
      <c r="AH22" s="8"/>
      <c r="AI22" s="8"/>
      <c r="AJ22" s="8"/>
    </row>
    <row r="23" spans="1:36">
      <c r="A23" s="8"/>
      <c r="B23" s="274"/>
      <c r="C23" s="7"/>
      <c r="D23" s="7"/>
      <c r="E23" s="7"/>
      <c r="F23" s="7"/>
      <c r="G23" s="7"/>
      <c r="H23" s="7"/>
      <c r="I23" s="7"/>
      <c r="J23" s="7"/>
      <c r="K23" s="7"/>
      <c r="L23" s="7"/>
      <c r="M23" s="7"/>
      <c r="N23" s="7"/>
      <c r="O23" s="7"/>
      <c r="P23" s="8"/>
      <c r="Q23" s="274"/>
      <c r="R23" s="8"/>
      <c r="S23" s="8"/>
      <c r="T23" s="8"/>
      <c r="U23" s="8"/>
      <c r="V23" s="8"/>
      <c r="W23" s="8"/>
      <c r="X23" s="8"/>
      <c r="Y23" s="8"/>
      <c r="Z23" s="8"/>
      <c r="AA23" s="8"/>
      <c r="AB23" s="8"/>
      <c r="AC23" s="8"/>
      <c r="AD23" s="8"/>
      <c r="AE23" s="8"/>
      <c r="AF23" s="8"/>
      <c r="AG23" s="8"/>
      <c r="AH23" s="8"/>
      <c r="AI23" s="8"/>
      <c r="AJ23" s="8"/>
    </row>
    <row r="24" spans="1:36">
      <c r="A24" s="8"/>
      <c r="B24" s="274"/>
      <c r="C24" s="7"/>
      <c r="D24" s="317" t="s">
        <v>2566</v>
      </c>
      <c r="E24" s="298"/>
      <c r="F24" s="298"/>
      <c r="G24" s="321">
        <f>'Base de Dados'!L2</f>
        <v>48303863.349999979</v>
      </c>
      <c r="H24" s="298"/>
      <c r="I24" s="298"/>
      <c r="J24" s="321">
        <f>'Base de Dados'!O2</f>
        <v>125886488.85999998</v>
      </c>
      <c r="K24" s="298"/>
      <c r="L24" s="298"/>
      <c r="M24" s="321">
        <f>'Base de Dados'!I3</f>
        <v>174190352.20999998</v>
      </c>
      <c r="N24" s="298"/>
      <c r="O24" s="298"/>
      <c r="P24" s="8"/>
      <c r="Q24" s="274"/>
      <c r="R24" s="8"/>
      <c r="S24" s="8"/>
      <c r="T24" s="8"/>
      <c r="U24" s="8"/>
      <c r="V24" s="8"/>
      <c r="W24" s="8"/>
      <c r="X24" s="8"/>
      <c r="Y24" s="8"/>
      <c r="Z24" s="8"/>
      <c r="AA24" s="8"/>
      <c r="AB24" s="8"/>
      <c r="AC24" s="8"/>
      <c r="AD24" s="8"/>
      <c r="AE24" s="8"/>
      <c r="AF24" s="8"/>
      <c r="AG24" s="8"/>
      <c r="AH24" s="8"/>
      <c r="AI24" s="8"/>
      <c r="AJ24" s="8"/>
    </row>
    <row r="25" spans="1:36">
      <c r="A25" s="8"/>
      <c r="B25" s="274"/>
      <c r="C25" s="7"/>
      <c r="D25" s="298"/>
      <c r="E25" s="298"/>
      <c r="F25" s="298"/>
      <c r="G25" s="298"/>
      <c r="H25" s="298"/>
      <c r="I25" s="298"/>
      <c r="J25" s="298"/>
      <c r="K25" s="298"/>
      <c r="L25" s="298"/>
      <c r="M25" s="298"/>
      <c r="N25" s="298"/>
      <c r="O25" s="298"/>
      <c r="P25" s="8"/>
      <c r="Q25" s="274"/>
      <c r="R25" s="8"/>
      <c r="S25" s="8"/>
      <c r="T25" s="8"/>
      <c r="U25" s="8"/>
      <c r="V25" s="8"/>
      <c r="W25" s="8"/>
      <c r="X25" s="8"/>
      <c r="Y25" s="8"/>
      <c r="Z25" s="8"/>
      <c r="AA25" s="8"/>
      <c r="AB25" s="8"/>
      <c r="AC25" s="8"/>
      <c r="AD25" s="8"/>
      <c r="AE25" s="8"/>
      <c r="AF25" s="8"/>
      <c r="AG25" s="8"/>
      <c r="AH25" s="8"/>
      <c r="AI25" s="8"/>
      <c r="AJ25" s="8"/>
    </row>
    <row r="26" spans="1:36">
      <c r="A26" s="8"/>
      <c r="B26" s="274"/>
      <c r="C26" s="7"/>
      <c r="D26" s="313" t="s">
        <v>481</v>
      </c>
      <c r="E26" s="298"/>
      <c r="F26" s="298"/>
      <c r="G26" s="314">
        <f>'Base de Dados'!AD2</f>
        <v>38703752.770000003</v>
      </c>
      <c r="H26" s="298"/>
      <c r="I26" s="298"/>
      <c r="J26" s="314">
        <f>'Base de Dados'!AG2</f>
        <v>43505359.309999995</v>
      </c>
      <c r="K26" s="298"/>
      <c r="L26" s="298"/>
      <c r="M26" s="314">
        <f>G26+J26</f>
        <v>82209112.079999998</v>
      </c>
      <c r="N26" s="298"/>
      <c r="O26" s="298"/>
      <c r="P26" s="8"/>
      <c r="Q26" s="274"/>
      <c r="R26" s="8"/>
      <c r="S26" s="8"/>
      <c r="T26" s="8"/>
      <c r="U26" s="8"/>
      <c r="V26" s="8"/>
      <c r="W26" s="8"/>
      <c r="X26" s="8"/>
      <c r="Y26" s="8"/>
      <c r="Z26" s="8"/>
      <c r="AA26" s="8"/>
      <c r="AB26" s="8"/>
      <c r="AC26" s="8"/>
      <c r="AD26" s="8"/>
      <c r="AE26" s="8"/>
      <c r="AF26" s="8"/>
      <c r="AG26" s="8"/>
      <c r="AH26" s="8"/>
      <c r="AI26" s="8"/>
      <c r="AJ26" s="8"/>
    </row>
    <row r="27" spans="1:36">
      <c r="A27" s="8"/>
      <c r="B27" s="274"/>
      <c r="C27" s="7"/>
      <c r="D27" s="298"/>
      <c r="E27" s="298"/>
      <c r="F27" s="298"/>
      <c r="G27" s="298"/>
      <c r="H27" s="298"/>
      <c r="I27" s="298"/>
      <c r="J27" s="298"/>
      <c r="K27" s="298"/>
      <c r="L27" s="298"/>
      <c r="M27" s="298"/>
      <c r="N27" s="298"/>
      <c r="O27" s="298"/>
      <c r="P27" s="8"/>
      <c r="Q27" s="274"/>
      <c r="R27" s="8"/>
      <c r="S27" s="8"/>
      <c r="T27" s="8"/>
      <c r="U27" s="8"/>
      <c r="V27" s="8"/>
      <c r="W27" s="8"/>
      <c r="X27" s="8"/>
      <c r="Y27" s="8"/>
      <c r="Z27" s="8"/>
      <c r="AA27" s="8"/>
      <c r="AB27" s="8"/>
      <c r="AC27" s="8"/>
      <c r="AD27" s="8"/>
      <c r="AE27" s="8"/>
      <c r="AF27" s="8"/>
      <c r="AG27" s="8"/>
      <c r="AH27" s="8"/>
      <c r="AI27" s="8"/>
      <c r="AJ27" s="8"/>
    </row>
    <row r="28" spans="1:36">
      <c r="A28" s="8"/>
      <c r="B28" s="274"/>
      <c r="C28" s="7"/>
      <c r="D28" s="313" t="s">
        <v>2921</v>
      </c>
      <c r="E28" s="298"/>
      <c r="F28" s="298"/>
      <c r="G28" s="314">
        <f>'Base de Dados'!AP2</f>
        <v>415837.11</v>
      </c>
      <c r="H28" s="298"/>
      <c r="I28" s="298"/>
      <c r="J28" s="314">
        <f>'Base de Dados'!AS2</f>
        <v>221436.75999999998</v>
      </c>
      <c r="K28" s="298"/>
      <c r="L28" s="298"/>
      <c r="M28" s="314">
        <f>G28+J28</f>
        <v>637273.87</v>
      </c>
      <c r="N28" s="298"/>
      <c r="O28" s="298"/>
      <c r="P28" s="8"/>
      <c r="Q28" s="274"/>
      <c r="R28" s="8"/>
      <c r="S28" s="8"/>
      <c r="T28" s="8"/>
      <c r="U28" s="8"/>
      <c r="V28" s="8"/>
      <c r="W28" s="8"/>
      <c r="X28" s="8"/>
      <c r="Y28" s="8"/>
      <c r="Z28" s="8"/>
      <c r="AA28" s="8"/>
      <c r="AB28" s="8"/>
      <c r="AC28" s="8"/>
      <c r="AD28" s="8"/>
      <c r="AE28" s="8"/>
      <c r="AF28" s="8"/>
      <c r="AG28" s="8"/>
      <c r="AH28" s="8"/>
      <c r="AI28" s="8"/>
      <c r="AJ28" s="8"/>
    </row>
    <row r="29" spans="1:36">
      <c r="A29" s="8"/>
      <c r="B29" s="274"/>
      <c r="C29" s="7"/>
      <c r="D29" s="298"/>
      <c r="E29" s="298"/>
      <c r="F29" s="298"/>
      <c r="G29" s="298"/>
      <c r="H29" s="298"/>
      <c r="I29" s="298"/>
      <c r="J29" s="298"/>
      <c r="K29" s="298"/>
      <c r="L29" s="298"/>
      <c r="M29" s="298"/>
      <c r="N29" s="298"/>
      <c r="O29" s="298"/>
      <c r="P29" s="8"/>
      <c r="Q29" s="274"/>
      <c r="R29" s="8"/>
      <c r="S29" s="8"/>
      <c r="T29" s="8"/>
      <c r="U29" s="8"/>
      <c r="V29" s="8"/>
      <c r="W29" s="8"/>
      <c r="X29" s="8"/>
      <c r="Y29" s="8"/>
      <c r="Z29" s="8"/>
      <c r="AA29" s="8"/>
      <c r="AB29" s="8"/>
      <c r="AC29" s="8"/>
      <c r="AD29" s="8"/>
      <c r="AE29" s="8"/>
      <c r="AF29" s="8"/>
      <c r="AG29" s="8"/>
      <c r="AH29" s="8"/>
      <c r="AI29" s="8"/>
      <c r="AJ29" s="8"/>
    </row>
    <row r="30" spans="1:36">
      <c r="A30" s="8"/>
      <c r="B30" s="274"/>
      <c r="C30" s="8"/>
      <c r="D30" s="313" t="s">
        <v>563</v>
      </c>
      <c r="E30" s="298"/>
      <c r="F30" s="298"/>
      <c r="G30" s="314">
        <f>'Base de Dados'!BB2</f>
        <v>4272239.45</v>
      </c>
      <c r="H30" s="298"/>
      <c r="I30" s="298"/>
      <c r="J30" s="314">
        <f>'Base de Dados'!BE2</f>
        <v>27535064.859999999</v>
      </c>
      <c r="K30" s="298"/>
      <c r="L30" s="298"/>
      <c r="M30" s="314">
        <f>G30+J30</f>
        <v>31807304.309999999</v>
      </c>
      <c r="N30" s="298"/>
      <c r="O30" s="298"/>
      <c r="P30" s="8"/>
      <c r="Q30" s="274"/>
      <c r="R30" s="8"/>
      <c r="S30" s="8"/>
      <c r="T30" s="8"/>
      <c r="U30" s="8"/>
      <c r="V30" s="8"/>
      <c r="W30" s="8"/>
      <c r="X30" s="8"/>
      <c r="Y30" s="8"/>
      <c r="Z30" s="8"/>
      <c r="AA30" s="8"/>
      <c r="AB30" s="8"/>
      <c r="AC30" s="8"/>
      <c r="AD30" s="8"/>
      <c r="AE30" s="8"/>
      <c r="AF30" s="8"/>
      <c r="AG30" s="8"/>
      <c r="AH30" s="8"/>
      <c r="AI30" s="8"/>
      <c r="AJ30" s="8"/>
    </row>
    <row r="31" spans="1:36">
      <c r="A31" s="8"/>
      <c r="B31" s="274"/>
      <c r="C31" s="8"/>
      <c r="D31" s="298"/>
      <c r="E31" s="298"/>
      <c r="F31" s="298"/>
      <c r="G31" s="298"/>
      <c r="H31" s="298"/>
      <c r="I31" s="298"/>
      <c r="J31" s="298"/>
      <c r="K31" s="298"/>
      <c r="L31" s="298"/>
      <c r="M31" s="298"/>
      <c r="N31" s="298"/>
      <c r="O31" s="298"/>
      <c r="P31" s="8"/>
      <c r="Q31" s="274"/>
      <c r="R31" s="8"/>
      <c r="S31" s="8"/>
      <c r="T31" s="8"/>
      <c r="U31" s="8"/>
      <c r="V31" s="8"/>
      <c r="W31" s="8"/>
      <c r="X31" s="8"/>
      <c r="Y31" s="8"/>
      <c r="Z31" s="8"/>
      <c r="AA31" s="8"/>
      <c r="AB31" s="8"/>
      <c r="AC31" s="8"/>
      <c r="AD31" s="8"/>
      <c r="AE31" s="8"/>
      <c r="AF31" s="8"/>
      <c r="AG31" s="8"/>
      <c r="AH31" s="8"/>
      <c r="AI31" s="8"/>
      <c r="AJ31" s="8"/>
    </row>
    <row r="32" spans="1:36">
      <c r="A32" s="8"/>
      <c r="B32" s="274"/>
      <c r="C32" s="8"/>
      <c r="D32" s="313" t="s">
        <v>1330</v>
      </c>
      <c r="E32" s="298"/>
      <c r="F32" s="298"/>
      <c r="G32" s="314">
        <f>'Base de Dados'!BN2</f>
        <v>4912034.0200000005</v>
      </c>
      <c r="H32" s="298"/>
      <c r="I32" s="298"/>
      <c r="J32" s="314">
        <f>'Base de Dados'!BQ2</f>
        <v>54624627.93</v>
      </c>
      <c r="K32" s="298"/>
      <c r="L32" s="298"/>
      <c r="M32" s="314">
        <f>G32+J32</f>
        <v>59536661.950000003</v>
      </c>
      <c r="N32" s="298"/>
      <c r="O32" s="298"/>
      <c r="P32" s="8"/>
      <c r="Q32" s="274"/>
      <c r="R32" s="8"/>
      <c r="S32" s="8"/>
      <c r="T32" s="8"/>
      <c r="U32" s="8"/>
      <c r="V32" s="8"/>
      <c r="W32" s="8"/>
      <c r="X32" s="8"/>
      <c r="Y32" s="8"/>
      <c r="Z32" s="8"/>
      <c r="AA32" s="8"/>
      <c r="AB32" s="8"/>
      <c r="AC32" s="8"/>
      <c r="AD32" s="8"/>
      <c r="AE32" s="8"/>
      <c r="AF32" s="8"/>
      <c r="AG32" s="8"/>
      <c r="AH32" s="8"/>
      <c r="AI32" s="8"/>
      <c r="AJ32" s="8"/>
    </row>
    <row r="33" spans="1:36">
      <c r="A33" s="8"/>
      <c r="B33" s="274"/>
      <c r="C33" s="8"/>
      <c r="D33" s="298"/>
      <c r="E33" s="298"/>
      <c r="F33" s="298"/>
      <c r="G33" s="298"/>
      <c r="H33" s="298"/>
      <c r="I33" s="298"/>
      <c r="J33" s="298"/>
      <c r="K33" s="298"/>
      <c r="L33" s="298"/>
      <c r="M33" s="298"/>
      <c r="N33" s="298"/>
      <c r="O33" s="298"/>
      <c r="P33" s="8"/>
      <c r="Q33" s="274"/>
      <c r="R33" s="8"/>
      <c r="S33" s="8"/>
      <c r="T33" s="8"/>
      <c r="U33" s="8"/>
      <c r="V33" s="8"/>
      <c r="W33" s="8"/>
      <c r="X33" s="8"/>
      <c r="Y33" s="8"/>
      <c r="Z33" s="8"/>
      <c r="AA33" s="8"/>
      <c r="AB33" s="8"/>
      <c r="AC33" s="8"/>
      <c r="AD33" s="8"/>
      <c r="AE33" s="8"/>
      <c r="AF33" s="8"/>
      <c r="AG33" s="8"/>
      <c r="AH33" s="8"/>
      <c r="AI33" s="8"/>
      <c r="AJ33" s="8"/>
    </row>
    <row r="34" spans="1:36">
      <c r="A34" s="8"/>
      <c r="B34" s="274"/>
      <c r="C34" s="8"/>
      <c r="D34" s="315"/>
      <c r="E34" s="298"/>
      <c r="F34" s="298"/>
      <c r="G34" s="316"/>
      <c r="H34" s="298"/>
      <c r="I34" s="298"/>
      <c r="J34" s="316"/>
      <c r="K34" s="298"/>
      <c r="L34" s="298"/>
      <c r="M34" s="316"/>
      <c r="N34" s="298"/>
      <c r="O34" s="298"/>
      <c r="P34" s="8"/>
      <c r="Q34" s="274"/>
      <c r="R34" s="8"/>
      <c r="S34" s="8"/>
      <c r="T34" s="8"/>
      <c r="U34" s="8"/>
      <c r="V34" s="8"/>
      <c r="W34" s="8"/>
      <c r="X34" s="8"/>
      <c r="Y34" s="8"/>
      <c r="Z34" s="8"/>
      <c r="AA34" s="8"/>
      <c r="AB34" s="8"/>
      <c r="AC34" s="8"/>
      <c r="AD34" s="8"/>
      <c r="AE34" s="8"/>
      <c r="AF34" s="8"/>
      <c r="AG34" s="8"/>
      <c r="AH34" s="8"/>
      <c r="AI34" s="8"/>
      <c r="AJ34" s="8"/>
    </row>
    <row r="35" spans="1:36">
      <c r="A35" s="8"/>
      <c r="B35" s="274"/>
      <c r="C35" s="8"/>
      <c r="D35" s="298"/>
      <c r="E35" s="298"/>
      <c r="F35" s="298"/>
      <c r="G35" s="298"/>
      <c r="H35" s="298"/>
      <c r="I35" s="298"/>
      <c r="J35" s="298"/>
      <c r="K35" s="298"/>
      <c r="L35" s="298"/>
      <c r="M35" s="298"/>
      <c r="N35" s="298"/>
      <c r="O35" s="298"/>
      <c r="P35" s="8"/>
      <c r="Q35" s="274"/>
      <c r="R35" s="8"/>
      <c r="S35" s="8"/>
      <c r="T35" s="8"/>
      <c r="U35" s="8"/>
      <c r="V35" s="8"/>
      <c r="W35" s="8"/>
      <c r="X35" s="8"/>
      <c r="Y35" s="8"/>
      <c r="Z35" s="8"/>
      <c r="AA35" s="8"/>
      <c r="AB35" s="8"/>
      <c r="AC35" s="8"/>
      <c r="AD35" s="8"/>
      <c r="AE35" s="8"/>
      <c r="AF35" s="8"/>
      <c r="AG35" s="8"/>
      <c r="AH35" s="8"/>
      <c r="AI35" s="8"/>
      <c r="AJ35" s="8"/>
    </row>
    <row r="36" spans="1:36">
      <c r="A36" s="8"/>
      <c r="B36" s="274"/>
      <c r="C36" s="7"/>
      <c r="D36" s="317" t="s">
        <v>2922</v>
      </c>
      <c r="E36" s="298"/>
      <c r="F36" s="298"/>
      <c r="G36" s="318">
        <f>G12/M12</f>
        <v>0.56862745098039214</v>
      </c>
      <c r="H36" s="298"/>
      <c r="I36" s="298"/>
      <c r="J36" s="318">
        <f>J12/M12</f>
        <v>0.43137254901960786</v>
      </c>
      <c r="K36" s="298"/>
      <c r="L36" s="298"/>
      <c r="M36" s="318">
        <f>G36+J36</f>
        <v>1</v>
      </c>
      <c r="N36" s="298"/>
      <c r="O36" s="298"/>
      <c r="P36" s="8"/>
      <c r="Q36" s="274"/>
      <c r="R36" s="8"/>
      <c r="S36" s="8"/>
      <c r="T36" s="8"/>
      <c r="U36" s="8"/>
      <c r="V36" s="8"/>
      <c r="W36" s="8"/>
      <c r="X36" s="8"/>
      <c r="Y36" s="8"/>
      <c r="Z36" s="8"/>
      <c r="AA36" s="8"/>
      <c r="AB36" s="8"/>
      <c r="AC36" s="8"/>
      <c r="AD36" s="8"/>
      <c r="AE36" s="8"/>
      <c r="AF36" s="8"/>
      <c r="AG36" s="8"/>
      <c r="AH36" s="8"/>
      <c r="AI36" s="8"/>
      <c r="AJ36" s="8"/>
    </row>
    <row r="37" spans="1:36">
      <c r="A37" s="8"/>
      <c r="B37" s="274"/>
      <c r="C37" s="7"/>
      <c r="D37" s="298"/>
      <c r="E37" s="298"/>
      <c r="F37" s="298"/>
      <c r="G37" s="298"/>
      <c r="H37" s="298"/>
      <c r="I37" s="298"/>
      <c r="J37" s="298"/>
      <c r="K37" s="298"/>
      <c r="L37" s="298"/>
      <c r="M37" s="298"/>
      <c r="N37" s="298"/>
      <c r="O37" s="298"/>
      <c r="P37" s="8"/>
      <c r="Q37" s="274"/>
      <c r="R37" s="8"/>
      <c r="S37" s="8"/>
      <c r="T37" s="8"/>
      <c r="U37" s="8"/>
      <c r="V37" s="8"/>
      <c r="W37" s="8"/>
      <c r="X37" s="8"/>
      <c r="Y37" s="8"/>
      <c r="Z37" s="8"/>
      <c r="AA37" s="8"/>
      <c r="AB37" s="8"/>
      <c r="AC37" s="8"/>
      <c r="AD37" s="8"/>
      <c r="AE37" s="8"/>
      <c r="AF37" s="8"/>
      <c r="AG37" s="8"/>
      <c r="AH37" s="8"/>
      <c r="AI37" s="8"/>
      <c r="AJ37" s="8"/>
    </row>
    <row r="38" spans="1:36">
      <c r="A38" s="8"/>
      <c r="B38" s="274"/>
      <c r="C38" s="7"/>
      <c r="D38" s="317" t="s">
        <v>2923</v>
      </c>
      <c r="E38" s="298"/>
      <c r="F38" s="298"/>
      <c r="G38" s="318">
        <f>G24/M24</f>
        <v>0.27730504437907055</v>
      </c>
      <c r="H38" s="298"/>
      <c r="I38" s="298"/>
      <c r="J38" s="318">
        <f>J24/M24</f>
        <v>0.72269495562092934</v>
      </c>
      <c r="K38" s="298"/>
      <c r="L38" s="298"/>
      <c r="M38" s="318">
        <f>G38+J38</f>
        <v>0.99999999999999989</v>
      </c>
      <c r="N38" s="298"/>
      <c r="O38" s="298"/>
      <c r="P38" s="8"/>
      <c r="Q38" s="274"/>
      <c r="R38" s="8"/>
      <c r="S38" s="8"/>
      <c r="T38" s="8"/>
      <c r="U38" s="8"/>
      <c r="V38" s="8"/>
      <c r="W38" s="8"/>
      <c r="X38" s="8"/>
      <c r="Y38" s="8"/>
      <c r="Z38" s="8"/>
      <c r="AA38" s="8"/>
      <c r="AB38" s="8"/>
      <c r="AC38" s="8"/>
      <c r="AD38" s="8"/>
      <c r="AE38" s="8"/>
      <c r="AF38" s="8"/>
      <c r="AG38" s="8"/>
      <c r="AH38" s="8"/>
      <c r="AI38" s="8"/>
      <c r="AJ38" s="8"/>
    </row>
    <row r="39" spans="1:36">
      <c r="A39" s="8"/>
      <c r="B39" s="274"/>
      <c r="C39" s="7"/>
      <c r="D39" s="298"/>
      <c r="E39" s="298"/>
      <c r="F39" s="298"/>
      <c r="G39" s="298"/>
      <c r="H39" s="298"/>
      <c r="I39" s="298"/>
      <c r="J39" s="298"/>
      <c r="K39" s="298"/>
      <c r="L39" s="298"/>
      <c r="M39" s="298"/>
      <c r="N39" s="298"/>
      <c r="O39" s="298"/>
      <c r="P39" s="8"/>
      <c r="Q39" s="274"/>
      <c r="R39" s="8"/>
      <c r="S39" s="8"/>
      <c r="T39" s="8"/>
      <c r="U39" s="8"/>
      <c r="V39" s="8"/>
      <c r="W39" s="8"/>
      <c r="X39" s="8"/>
      <c r="Y39" s="8"/>
      <c r="Z39" s="8"/>
      <c r="AA39" s="8"/>
      <c r="AB39" s="8"/>
      <c r="AC39" s="8"/>
      <c r="AD39" s="8"/>
      <c r="AE39" s="8"/>
      <c r="AF39" s="8"/>
      <c r="AG39" s="8"/>
      <c r="AH39" s="8"/>
      <c r="AI39" s="8"/>
      <c r="AJ39" s="8"/>
    </row>
    <row r="40" spans="1:36">
      <c r="A40" s="8"/>
      <c r="B40" s="274"/>
      <c r="C40" s="8"/>
      <c r="D40" s="8"/>
      <c r="E40" s="8"/>
      <c r="F40" s="8"/>
      <c r="G40" s="8"/>
      <c r="H40" s="8"/>
      <c r="I40" s="8"/>
      <c r="J40" s="8"/>
      <c r="K40" s="8"/>
      <c r="L40" s="8"/>
      <c r="M40" s="8"/>
      <c r="N40" s="8"/>
      <c r="O40" s="8"/>
      <c r="P40" s="8"/>
      <c r="Q40" s="274"/>
      <c r="R40" s="8"/>
      <c r="S40" s="8"/>
      <c r="T40" s="8"/>
      <c r="U40" s="8"/>
      <c r="V40" s="8"/>
      <c r="W40" s="8"/>
      <c r="X40" s="8"/>
      <c r="Y40" s="8"/>
      <c r="Z40" s="8"/>
      <c r="AA40" s="8"/>
      <c r="AB40" s="8"/>
      <c r="AC40" s="8"/>
      <c r="AD40" s="8"/>
      <c r="AE40" s="8"/>
      <c r="AF40" s="8"/>
      <c r="AG40" s="8"/>
      <c r="AH40" s="8"/>
      <c r="AI40" s="8"/>
      <c r="AJ40" s="8"/>
    </row>
    <row r="41" spans="1:36">
      <c r="A41" s="8"/>
      <c r="B41" s="274"/>
      <c r="C41" s="7"/>
      <c r="D41" s="7"/>
      <c r="E41" s="7"/>
      <c r="F41" s="7"/>
      <c r="G41" s="7"/>
      <c r="H41" s="7"/>
      <c r="I41" s="7"/>
      <c r="J41" s="7"/>
      <c r="K41" s="7"/>
      <c r="L41" s="7"/>
      <c r="M41" s="7"/>
      <c r="N41" s="7"/>
      <c r="O41" s="7"/>
      <c r="P41" s="8"/>
      <c r="Q41" s="274"/>
      <c r="R41" s="8"/>
      <c r="S41" s="8"/>
      <c r="T41" s="8"/>
      <c r="U41" s="8"/>
      <c r="V41" s="8"/>
      <c r="W41" s="8"/>
      <c r="X41" s="8"/>
      <c r="Y41" s="8"/>
      <c r="Z41" s="8"/>
      <c r="AA41" s="8"/>
      <c r="AB41" s="8"/>
      <c r="AC41" s="8"/>
      <c r="AD41" s="8"/>
      <c r="AE41" s="8"/>
      <c r="AF41" s="8"/>
      <c r="AG41" s="8"/>
      <c r="AH41" s="8"/>
      <c r="AI41" s="8"/>
      <c r="AJ41" s="8"/>
    </row>
    <row r="42" spans="1:36">
      <c r="A42" s="8"/>
      <c r="B42" s="274"/>
      <c r="C42" s="7"/>
      <c r="D42" s="317" t="s">
        <v>27</v>
      </c>
      <c r="E42" s="298"/>
      <c r="F42" s="298"/>
      <c r="G42" s="319">
        <f>'Base de Dados'!BZ2</f>
        <v>47</v>
      </c>
      <c r="H42" s="298"/>
      <c r="I42" s="298"/>
      <c r="J42" s="319">
        <f>'Base de Dados'!CC2</f>
        <v>59</v>
      </c>
      <c r="K42" s="298"/>
      <c r="L42" s="298"/>
      <c r="M42" s="319">
        <f>G42+J42</f>
        <v>106</v>
      </c>
      <c r="N42" s="298"/>
      <c r="O42" s="298"/>
      <c r="P42" s="8"/>
      <c r="Q42" s="274"/>
      <c r="R42" s="8"/>
      <c r="S42" s="8"/>
      <c r="T42" s="8"/>
      <c r="U42" s="8"/>
      <c r="V42" s="8"/>
      <c r="W42" s="8"/>
      <c r="X42" s="8"/>
      <c r="Y42" s="8"/>
      <c r="Z42" s="8"/>
      <c r="AA42" s="8"/>
      <c r="AB42" s="8"/>
      <c r="AC42" s="8"/>
      <c r="AD42" s="8"/>
      <c r="AE42" s="8"/>
      <c r="AF42" s="8"/>
      <c r="AG42" s="8"/>
      <c r="AH42" s="8"/>
      <c r="AI42" s="8"/>
      <c r="AJ42" s="8"/>
    </row>
    <row r="43" spans="1:36">
      <c r="A43" s="8"/>
      <c r="B43" s="274"/>
      <c r="C43" s="7"/>
      <c r="D43" s="298"/>
      <c r="E43" s="298"/>
      <c r="F43" s="298"/>
      <c r="G43" s="298"/>
      <c r="H43" s="298"/>
      <c r="I43" s="298"/>
      <c r="J43" s="298"/>
      <c r="K43" s="298"/>
      <c r="L43" s="298"/>
      <c r="M43" s="298"/>
      <c r="N43" s="298"/>
      <c r="O43" s="298"/>
      <c r="P43" s="8"/>
      <c r="Q43" s="274"/>
      <c r="R43" s="8"/>
      <c r="S43" s="8"/>
      <c r="T43" s="8"/>
      <c r="U43" s="8"/>
      <c r="V43" s="8"/>
      <c r="W43" s="8"/>
      <c r="X43" s="8"/>
      <c r="Y43" s="8"/>
      <c r="Z43" s="8"/>
      <c r="AA43" s="8"/>
      <c r="AB43" s="8"/>
      <c r="AC43" s="8"/>
      <c r="AD43" s="8"/>
      <c r="AE43" s="8"/>
      <c r="AF43" s="8"/>
      <c r="AG43" s="8"/>
      <c r="AH43" s="8"/>
      <c r="AI43" s="8"/>
      <c r="AJ43" s="8"/>
    </row>
    <row r="44" spans="1:36">
      <c r="A44" s="8"/>
      <c r="B44" s="274"/>
      <c r="C44" s="7"/>
      <c r="D44" s="317" t="s">
        <v>2924</v>
      </c>
      <c r="E44" s="298"/>
      <c r="F44" s="298"/>
      <c r="G44" s="319">
        <f>'Base de Dados'!BT2</f>
        <v>10</v>
      </c>
      <c r="H44" s="298"/>
      <c r="I44" s="298"/>
      <c r="J44" s="319">
        <f>'Base de Dados'!BW2</f>
        <v>10</v>
      </c>
      <c r="K44" s="298"/>
      <c r="L44" s="298"/>
      <c r="M44" s="319">
        <f>G44+J44</f>
        <v>20</v>
      </c>
      <c r="N44" s="298"/>
      <c r="O44" s="298"/>
      <c r="P44" s="8"/>
      <c r="Q44" s="274"/>
      <c r="R44" s="8"/>
      <c r="S44" s="8"/>
      <c r="T44" s="8"/>
      <c r="U44" s="8"/>
      <c r="V44" s="8"/>
      <c r="W44" s="8"/>
      <c r="X44" s="8"/>
      <c r="Y44" s="8"/>
      <c r="Z44" s="8"/>
      <c r="AA44" s="8"/>
      <c r="AB44" s="8"/>
      <c r="AC44" s="8"/>
      <c r="AD44" s="8"/>
      <c r="AE44" s="8"/>
      <c r="AF44" s="8"/>
      <c r="AG44" s="8"/>
      <c r="AH44" s="8"/>
      <c r="AI44" s="8"/>
      <c r="AJ44" s="8"/>
    </row>
    <row r="45" spans="1:36">
      <c r="A45" s="8"/>
      <c r="B45" s="274"/>
      <c r="C45" s="7"/>
      <c r="D45" s="298"/>
      <c r="E45" s="298"/>
      <c r="F45" s="298"/>
      <c r="G45" s="298"/>
      <c r="H45" s="298"/>
      <c r="I45" s="298"/>
      <c r="J45" s="298"/>
      <c r="K45" s="298"/>
      <c r="L45" s="298"/>
      <c r="M45" s="298"/>
      <c r="N45" s="298"/>
      <c r="O45" s="298"/>
      <c r="P45" s="8"/>
      <c r="Q45" s="274"/>
      <c r="R45" s="8"/>
      <c r="S45" s="8"/>
      <c r="T45" s="8"/>
      <c r="U45" s="8"/>
      <c r="V45" s="8"/>
      <c r="W45" s="8"/>
      <c r="X45" s="8"/>
      <c r="Y45" s="8"/>
      <c r="Z45" s="8"/>
      <c r="AA45" s="8"/>
      <c r="AB45" s="8"/>
      <c r="AC45" s="8"/>
      <c r="AD45" s="8"/>
      <c r="AE45" s="8"/>
      <c r="AF45" s="8"/>
      <c r="AG45" s="8"/>
      <c r="AH45" s="8"/>
      <c r="AI45" s="8"/>
      <c r="AJ45" s="8"/>
    </row>
    <row r="46" spans="1:36">
      <c r="A46" s="8"/>
      <c r="B46" s="274"/>
      <c r="C46" s="7"/>
      <c r="D46" s="317" t="s">
        <v>2925</v>
      </c>
      <c r="E46" s="298"/>
      <c r="F46" s="298"/>
      <c r="G46" s="319">
        <f>'Base de Dados'!R2</f>
        <v>59</v>
      </c>
      <c r="H46" s="298"/>
      <c r="I46" s="298"/>
      <c r="J46" s="319">
        <f>'Base de Dados'!U2</f>
        <v>19</v>
      </c>
      <c r="K46" s="298"/>
      <c r="L46" s="298"/>
      <c r="M46" s="319">
        <f>G46+J46</f>
        <v>78</v>
      </c>
      <c r="N46" s="298"/>
      <c r="O46" s="298"/>
      <c r="P46" s="8"/>
      <c r="Q46" s="274"/>
      <c r="R46" s="8"/>
      <c r="S46" s="8"/>
      <c r="T46" s="8"/>
      <c r="U46" s="8"/>
      <c r="V46" s="8"/>
      <c r="W46" s="8"/>
      <c r="X46" s="8"/>
      <c r="Y46" s="8"/>
      <c r="Z46" s="8"/>
      <c r="AA46" s="8"/>
      <c r="AB46" s="8"/>
      <c r="AC46" s="8"/>
      <c r="AD46" s="8"/>
      <c r="AE46" s="8"/>
      <c r="AF46" s="8"/>
      <c r="AG46" s="8"/>
      <c r="AH46" s="8"/>
      <c r="AI46" s="8"/>
      <c r="AJ46" s="8"/>
    </row>
    <row r="47" spans="1:36">
      <c r="A47" s="8"/>
      <c r="B47" s="274"/>
      <c r="C47" s="7"/>
      <c r="D47" s="298"/>
      <c r="E47" s="298"/>
      <c r="F47" s="298"/>
      <c r="G47" s="298"/>
      <c r="H47" s="298"/>
      <c r="I47" s="298"/>
      <c r="J47" s="298"/>
      <c r="K47" s="298"/>
      <c r="L47" s="298"/>
      <c r="M47" s="298"/>
      <c r="N47" s="298"/>
      <c r="O47" s="298"/>
      <c r="P47" s="8"/>
      <c r="Q47" s="274"/>
      <c r="R47" s="8"/>
      <c r="S47" s="8"/>
      <c r="T47" s="8"/>
      <c r="U47" s="8"/>
      <c r="V47" s="8"/>
      <c r="W47" s="8"/>
      <c r="X47" s="8"/>
      <c r="Y47" s="8"/>
      <c r="Z47" s="8"/>
      <c r="AA47" s="8"/>
      <c r="AB47" s="8"/>
      <c r="AC47" s="8"/>
      <c r="AD47" s="8"/>
      <c r="AE47" s="8"/>
      <c r="AF47" s="8"/>
      <c r="AG47" s="8"/>
      <c r="AH47" s="8"/>
      <c r="AI47" s="8"/>
      <c r="AJ47" s="8"/>
    </row>
    <row r="48" spans="1:36">
      <c r="A48" s="8"/>
      <c r="B48" s="274"/>
      <c r="C48" s="7"/>
      <c r="D48" s="317" t="s">
        <v>2926</v>
      </c>
      <c r="E48" s="298"/>
      <c r="F48" s="298"/>
      <c r="G48" s="322">
        <f>G46/(M12-G44)</f>
        <v>0.30412371134020616</v>
      </c>
      <c r="H48" s="298"/>
      <c r="I48" s="298"/>
      <c r="J48" s="322">
        <f>J46/(M12-J44)</f>
        <v>9.7938144329896906E-2</v>
      </c>
      <c r="K48" s="298"/>
      <c r="L48" s="298"/>
      <c r="M48" s="322">
        <f>M46/(M12-M44)</f>
        <v>0.42391304347826086</v>
      </c>
      <c r="N48" s="298"/>
      <c r="O48" s="298"/>
      <c r="P48" s="8"/>
      <c r="Q48" s="274"/>
      <c r="R48" s="8"/>
      <c r="S48" s="8"/>
      <c r="T48" s="8"/>
      <c r="U48" s="8"/>
      <c r="V48" s="8"/>
      <c r="W48" s="8"/>
      <c r="X48" s="8"/>
      <c r="Y48" s="8"/>
      <c r="Z48" s="8"/>
      <c r="AA48" s="8"/>
      <c r="AB48" s="8"/>
      <c r="AC48" s="8"/>
      <c r="AD48" s="8"/>
      <c r="AE48" s="8"/>
      <c r="AF48" s="8"/>
      <c r="AG48" s="8"/>
      <c r="AH48" s="8"/>
      <c r="AI48" s="8"/>
      <c r="AJ48" s="8"/>
    </row>
    <row r="49" spans="1:36">
      <c r="A49" s="8"/>
      <c r="B49" s="274"/>
      <c r="C49" s="7"/>
      <c r="D49" s="298"/>
      <c r="E49" s="298"/>
      <c r="F49" s="298"/>
      <c r="G49" s="298"/>
      <c r="H49" s="298"/>
      <c r="I49" s="298"/>
      <c r="J49" s="298"/>
      <c r="K49" s="298"/>
      <c r="L49" s="298"/>
      <c r="M49" s="298"/>
      <c r="N49" s="298"/>
      <c r="O49" s="298"/>
      <c r="P49" s="8"/>
      <c r="Q49" s="274"/>
      <c r="R49" s="8"/>
      <c r="S49" s="8"/>
      <c r="T49" s="8"/>
      <c r="U49" s="8"/>
      <c r="V49" s="8"/>
      <c r="W49" s="8"/>
      <c r="X49" s="8"/>
      <c r="Y49" s="8"/>
      <c r="Z49" s="8"/>
      <c r="AA49" s="8"/>
      <c r="AB49" s="8"/>
      <c r="AC49" s="8"/>
      <c r="AD49" s="8"/>
      <c r="AE49" s="8"/>
      <c r="AF49" s="8"/>
      <c r="AG49" s="8"/>
      <c r="AH49" s="8"/>
      <c r="AI49" s="8"/>
      <c r="AJ49" s="8"/>
    </row>
    <row r="50" spans="1:36">
      <c r="A50" s="8"/>
      <c r="B50" s="274"/>
      <c r="C50" s="218"/>
      <c r="D50" s="218"/>
      <c r="E50" s="218"/>
      <c r="F50" s="218"/>
      <c r="G50" s="218"/>
      <c r="H50" s="218"/>
      <c r="I50" s="218"/>
      <c r="J50" s="218"/>
      <c r="K50" s="218"/>
      <c r="L50" s="218"/>
      <c r="M50" s="218"/>
      <c r="N50" s="218"/>
      <c r="O50" s="218"/>
      <c r="P50" s="218"/>
      <c r="Q50" s="16"/>
      <c r="R50" s="8"/>
      <c r="S50" s="8"/>
      <c r="T50" s="8"/>
      <c r="U50" s="8"/>
      <c r="V50" s="8"/>
      <c r="W50" s="8"/>
      <c r="X50" s="8"/>
      <c r="Y50" s="8"/>
      <c r="Z50" s="8"/>
      <c r="AA50" s="8"/>
      <c r="AB50" s="8"/>
      <c r="AC50" s="8"/>
      <c r="AD50" s="8"/>
      <c r="AE50" s="8"/>
      <c r="AF50" s="8"/>
      <c r="AG50" s="8"/>
      <c r="AH50" s="8"/>
      <c r="AI50" s="8"/>
      <c r="AJ50" s="8"/>
    </row>
    <row r="51" spans="1:36">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row>
    <row r="52" spans="1:36">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row>
    <row r="53" spans="1:36">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row>
    <row r="54" spans="1:36">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row>
    <row r="55" spans="1:36">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row>
    <row r="56" spans="1:3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row>
    <row r="57" spans="1:36">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row>
    <row r="58" spans="1:36">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row>
    <row r="59" spans="1:36">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row>
    <row r="60" spans="1:36">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spans="1:36">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row>
    <row r="62" spans="1:36">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row>
    <row r="63" spans="1:36">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row>
    <row r="64" spans="1:36">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row>
    <row r="65" spans="1:36">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row>
    <row r="66" spans="1:3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row>
    <row r="67" spans="1:36">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row>
    <row r="68" spans="1:36">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row>
    <row r="69" spans="1:36">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row>
    <row r="70" spans="1:36">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row>
    <row r="71" spans="1:36">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row>
    <row r="72" spans="1:36">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row>
    <row r="73" spans="1:36">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row>
    <row r="74" spans="1:36">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row>
    <row r="75" spans="1:36">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row>
    <row r="76" spans="1:3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row>
    <row r="77" spans="1:36">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row>
    <row r="78" spans="1:36">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row>
    <row r="79" spans="1:36">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row>
    <row r="80" spans="1:36">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row>
    <row r="81" spans="1:36">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row>
    <row r="82" spans="1:36">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spans="1:36">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row>
    <row r="84" spans="1:36">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spans="1:36">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row>
    <row r="86" spans="1:3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spans="1:36">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spans="1:36">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spans="1:36">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spans="1:36">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spans="1:36">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spans="1:36">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spans="1:36">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spans="1:36">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row>
    <row r="95" spans="1:36">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spans="1:3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row>
    <row r="97" spans="1:36">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row>
    <row r="98" spans="1:36">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spans="1:36">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row>
    <row r="100" spans="1:36">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row>
    <row r="101" spans="1:36">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row>
    <row r="102" spans="1:36">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row>
    <row r="103" spans="1:36">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row>
    <row r="104" spans="1:36">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row>
    <row r="105" spans="1:36">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row>
    <row r="106" spans="1:3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row>
    <row r="107" spans="1:36">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row>
    <row r="108" spans="1:36">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row>
    <row r="109" spans="1:36">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row>
    <row r="110" spans="1:36">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row>
    <row r="111" spans="1:36">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row>
    <row r="112" spans="1:36">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row>
    <row r="113" spans="1:36">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row>
    <row r="114" spans="1:36">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row>
    <row r="115" spans="1:36">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row>
    <row r="116" spans="1:3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row>
    <row r="117" spans="1:36">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row>
    <row r="118" spans="1:36">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row>
    <row r="119" spans="1:36">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spans="1:36">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row>
    <row r="121" spans="1:36">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row>
    <row r="122" spans="1:36">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row>
    <row r="123" spans="1:36">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row>
    <row r="124" spans="1:36">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row>
    <row r="125" spans="1:36">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row>
    <row r="126" spans="1:3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row>
    <row r="127" spans="1:36">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row>
    <row r="128" spans="1:36">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row>
    <row r="129" spans="1:36">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row>
    <row r="130" spans="1:36">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row>
    <row r="131" spans="1:36">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row>
    <row r="132" spans="1:36">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row>
    <row r="133" spans="1:36">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row>
    <row r="134" spans="1:36">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row>
    <row r="135" spans="1:36">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row>
    <row r="136" spans="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row>
    <row r="137" spans="1:36">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row>
    <row r="138" spans="1:36">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row>
    <row r="139" spans="1:36">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row>
    <row r="140" spans="1:36">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row>
    <row r="141" spans="1:36">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row>
    <row r="142" spans="1:36">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row>
    <row r="143" spans="1:36">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spans="1:36">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row>
    <row r="145" spans="1:36">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spans="1:3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spans="1:36">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row>
    <row r="148" spans="1:36">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row>
    <row r="149" spans="1:36">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row>
    <row r="150" spans="1:36">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row>
    <row r="151" spans="1:36">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spans="1:36">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spans="1:36">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row>
    <row r="154" spans="1:36">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row>
    <row r="155" spans="1:36">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row>
    <row r="156" spans="1:3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row>
    <row r="157" spans="1:36">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row>
    <row r="158" spans="1:36">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row>
    <row r="159" spans="1:36">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row>
    <row r="160" spans="1:36">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spans="1:36">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spans="1:36">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row>
    <row r="163" spans="1:36">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row>
    <row r="164" spans="1:36">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row>
    <row r="165" spans="1:36">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row>
    <row r="166" spans="1:3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row>
    <row r="167" spans="1:36">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row>
    <row r="168" spans="1:36">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row>
    <row r="169" spans="1:36">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row>
    <row r="170" spans="1:36">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row>
    <row r="171" spans="1:36">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spans="1:36">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row>
    <row r="173" spans="1:36">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row>
    <row r="174" spans="1:36">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row>
    <row r="175" spans="1:36">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row>
    <row r="176" spans="1:3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row>
    <row r="177" spans="1:36">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row>
    <row r="178" spans="1:36">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row>
    <row r="179" spans="1:36">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spans="1:36">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row>
    <row r="181" spans="1:36">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row>
    <row r="182" spans="1:36">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row>
    <row r="183" spans="1:36">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row>
    <row r="184" spans="1:36">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row>
    <row r="185" spans="1:36">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row>
    <row r="186" spans="1:3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row>
    <row r="187" spans="1:36">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spans="1:36">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row>
    <row r="189" spans="1:36">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row>
    <row r="190" spans="1:36">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row>
    <row r="191" spans="1:36">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row>
    <row r="192" spans="1:36">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row>
    <row r="193" spans="1:36">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row>
    <row r="194" spans="1:36">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row>
    <row r="195" spans="1:36">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spans="1:3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row>
    <row r="197" spans="1:36">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spans="1:36">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row>
    <row r="199" spans="1:36">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row>
    <row r="200" spans="1:36">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row>
    <row r="201" spans="1:36">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row>
    <row r="202" spans="1:36">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row>
    <row r="203" spans="1:36">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row>
    <row r="204" spans="1:36">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row>
    <row r="205" spans="1:3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row>
    <row r="206" spans="1:3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row>
    <row r="207" spans="1:3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row>
    <row r="208" spans="1:3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row>
    <row r="209" spans="1:3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row>
    <row r="210" spans="1:3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row>
    <row r="211" spans="1:3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row>
    <row r="212" spans="1:3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row>
    <row r="213" spans="1:3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row>
    <row r="214" spans="1:3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row>
    <row r="215" spans="1:3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row>
    <row r="216" spans="1:3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row>
    <row r="217" spans="1:3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row>
    <row r="218" spans="1:3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row>
    <row r="219" spans="1:3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row>
    <row r="220" spans="1:3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row>
    <row r="221" spans="1:3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spans="1:3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row>
    <row r="223" spans="1:3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spans="1:3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row>
    <row r="225" spans="1:3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row>
    <row r="226" spans="1:3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row>
    <row r="227" spans="1:3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spans="1:3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spans="1:3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row>
    <row r="230" spans="1:3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spans="1:3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row>
    <row r="232" spans="1:3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row>
    <row r="233" spans="1:3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row>
    <row r="234" spans="1:3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row>
    <row r="235" spans="1:3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row>
    <row r="236" spans="1: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spans="1:3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spans="1:3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spans="1:3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spans="1:3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spans="1:3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spans="1:3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spans="1:3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spans="1:3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spans="1:3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spans="1:3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spans="1:3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spans="1:3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spans="1:3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spans="1:3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spans="1:3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spans="1:3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spans="1:3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spans="1:3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spans="1:3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spans="1:3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spans="1:3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spans="1:3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spans="1:3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spans="1:3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spans="1:3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spans="1:3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spans="1:36">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spans="1:36">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spans="1:36">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spans="1:3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spans="1:36">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spans="1:36">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spans="1:36">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spans="1:36">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spans="1:36">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spans="1:36">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spans="1:36">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spans="1:36">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spans="1:36">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spans="1:3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spans="1:36">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spans="1:36">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spans="1:36">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spans="1:36">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spans="1:36">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spans="1:36">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spans="1:36">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spans="1:36">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spans="1:36">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spans="1:3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spans="1:36">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spans="1:36">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spans="1:36">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spans="1:36">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spans="1:36">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spans="1:36">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spans="1:36">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spans="1:36">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spans="1:36">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spans="1:3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spans="1:36">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spans="1:36">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spans="1:36">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spans="1:36">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spans="1:36">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spans="1:36">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spans="1:36">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spans="1:36">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spans="1:36">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spans="1:3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spans="1:36">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spans="1:36">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spans="1:36">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spans="1:36">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spans="1:36">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spans="1:36">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spans="1:36">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spans="1:36">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spans="1:36">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spans="1:3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spans="1:36">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spans="1:36">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spans="1:36">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spans="1:36">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spans="1:36">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spans="1:36">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spans="1:36">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spans="1:36">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spans="1:36">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spans="1:3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spans="1:36">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spans="1:36">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spans="1:36">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spans="1:36">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spans="1:36">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spans="1:36">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spans="1:36">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spans="1:36">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spans="1:36">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spans="1: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spans="1:36">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spans="1:36">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spans="1:36">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spans="1:36">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spans="1:36">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spans="1:36">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spans="1:36">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spans="1:36">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spans="1:36">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spans="1:3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spans="1:36">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spans="1:36">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spans="1:36">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spans="1:36">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spans="1:36">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spans="1:36">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spans="1:36">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spans="1:36">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spans="1:36">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spans="1:3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spans="1:36">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spans="1:36">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spans="1:36">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spans="1:36">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spans="1:36">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spans="1:36">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spans="1:36">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spans="1:36">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spans="1:36">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spans="1:3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spans="1:36">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spans="1:36">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spans="1:36">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spans="1:36">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spans="1:36">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spans="1:36">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spans="1:36">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spans="1:36">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spans="1:36">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spans="1:3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spans="1:36">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spans="1:36">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spans="1:36">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spans="1:36">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spans="1:36">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spans="1:36">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spans="1:36">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spans="1:36">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spans="1:36">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spans="1:3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spans="1:36">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spans="1:36">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spans="1:36">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spans="1:36">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spans="1:36">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spans="1:36">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spans="1:36">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spans="1:36">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spans="1:36">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spans="1:3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spans="1:36">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spans="1:36">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spans="1:36">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spans="1:36">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spans="1:36">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spans="1:36">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spans="1:36">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spans="1:36">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spans="1:36">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spans="1:3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spans="1:36">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spans="1:36">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spans="1:36">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spans="1:36">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spans="1:36">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spans="1:36">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spans="1:36">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spans="1:36">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spans="1:36">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spans="1:3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spans="1:36">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spans="1:36">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spans="1:36">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spans="1:36">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spans="1:36">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spans="1:36">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spans="1:36">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spans="1:36">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spans="1:36">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spans="1:3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spans="1:36">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spans="1:36">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spans="1:36">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spans="1:36">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spans="1:36">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spans="1:36">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spans="1:36">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spans="1:36">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spans="1:36">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spans="1: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spans="1:36">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spans="1:36">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spans="1:36">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spans="1:36">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spans="1:36">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spans="1:36">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spans="1:36">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spans="1:36">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spans="1:36">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spans="1:3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spans="1:36">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spans="1:36">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spans="1:36">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spans="1:36">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spans="1:36">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spans="1:36">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spans="1:36">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spans="1:36">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spans="1:36">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spans="1:3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spans="1:36">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spans="1:36">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spans="1:36">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spans="1:36">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spans="1:36">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spans="1:36">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spans="1:36">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spans="1:36">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spans="1:36">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spans="1:3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spans="1:36">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spans="1:36">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spans="1:36">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spans="1:36">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spans="1:36">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spans="1:36">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spans="1:36">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spans="1:36">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spans="1:36">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spans="1:3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spans="1:36">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spans="1:36">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spans="1:36">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spans="1:36">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spans="1:36">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spans="1:36">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spans="1:36">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spans="1:36">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spans="1:36">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spans="1:3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spans="1:36">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spans="1:36">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spans="1:36">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spans="1:36">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spans="1:36">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spans="1:36">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spans="1:36">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spans="1:36">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spans="1:36">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spans="1:3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spans="1:36">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spans="1:36">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spans="1:36">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spans="1:36">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spans="1:36">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spans="1:36">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spans="1:36">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spans="1:36">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spans="1:36">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spans="1:3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spans="1:36">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spans="1:36">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spans="1:36">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spans="1:36">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spans="1:36">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spans="1:36">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spans="1:36">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spans="1:36">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spans="1:36">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spans="1:3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spans="1:36">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spans="1:36">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spans="1:36">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spans="1:36">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spans="1:36">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spans="1:36">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spans="1:36">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spans="1:36">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spans="1:36">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spans="1:3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spans="1:36">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spans="1:36">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spans="1:36">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spans="1:36">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spans="1:36">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spans="1:36">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spans="1:36">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spans="1:36">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spans="1:36">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spans="1: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spans="1:36">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spans="1:36">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spans="1:36">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spans="1:36">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spans="1:36">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spans="1:36">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spans="1:36">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spans="1:36">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spans="1:36">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spans="1:3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spans="1:36">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spans="1:36">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spans="1:36">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spans="1:36">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spans="1:36">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spans="1:36">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spans="1:36">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spans="1:36">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spans="1:36">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spans="1:3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spans="1:36">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spans="1:36">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spans="1:36">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spans="1:36">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spans="1:36">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spans="1:36">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spans="1:36">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spans="1:36">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spans="1:36">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spans="1:3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spans="1:36">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spans="1:36">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spans="1:36">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spans="1:36">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spans="1:36">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spans="1:36">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spans="1:36">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spans="1:36">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spans="1:36">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spans="1:3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spans="1:36">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spans="1:36">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spans="1:36">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spans="1:36">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spans="1:36">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spans="1:36">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spans="1:36">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spans="1:36">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spans="1:36">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spans="1:3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spans="1:36">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spans="1:36">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spans="1:36">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spans="1:36">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spans="1:36">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spans="1:36">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spans="1:36">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spans="1:36">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spans="1:36">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spans="1:3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spans="1:36">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spans="1:36">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spans="1:36">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spans="1:36">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spans="1:36">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spans="1:36">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spans="1:36">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spans="1:36">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spans="1:36">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spans="1:3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spans="1:36">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spans="1:36">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spans="1:36">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spans="1:36">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spans="1:36">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spans="1:36">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spans="1:36">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spans="1:36">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spans="1:36">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spans="1:3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spans="1:36">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spans="1:36">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spans="1:36">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spans="1:36">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spans="1:36">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spans="1:36">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spans="1:36">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spans="1:36">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spans="1:36">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spans="1:3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spans="1:36">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spans="1:36">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spans="1:36">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spans="1:36">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spans="1:36">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spans="1:36">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spans="1:36">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spans="1:36">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spans="1:36">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spans="1: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spans="1:36">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spans="1:36">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spans="1:36">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spans="1:36">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spans="1:36">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spans="1:36">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spans="1:36">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spans="1:36">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spans="1:36">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spans="1:3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spans="1:36">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spans="1:36">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spans="1:36">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spans="1:36">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spans="1:36">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spans="1:36">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spans="1:36">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spans="1:36">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spans="1:36">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spans="1:3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spans="1:36">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spans="1:36">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spans="1:36">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spans="1:36">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spans="1:36">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spans="1:36">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spans="1:36">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spans="1:36">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spans="1:36">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spans="1:3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spans="1:36">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spans="1:36">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spans="1:36">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spans="1:36">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spans="1:36">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spans="1:36">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spans="1:36">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spans="1:36">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spans="1:36">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spans="1:3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spans="1:36">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spans="1:36">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spans="1:36">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spans="1:36">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spans="1:36">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spans="1:36">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spans="1:36">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spans="1:36">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spans="1:36">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spans="1:3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spans="1:36">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spans="1:36">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spans="1:36">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spans="1:36">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spans="1:36">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spans="1:36">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spans="1:36">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spans="1:36">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spans="1:36">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spans="1:3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spans="1:36">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spans="1:36">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spans="1:36">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spans="1:36">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spans="1:36">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spans="1:36">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spans="1:36">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spans="1:36">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spans="1:36">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spans="1:3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spans="1:36">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spans="1:36">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spans="1:36">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spans="1:36">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spans="1:36">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spans="1:36">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spans="1:36">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spans="1:36">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spans="1:36">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spans="1:3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spans="1:36">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spans="1:36">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spans="1:36">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spans="1:36">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spans="1:36">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spans="1:36">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spans="1:36">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spans="1:36">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spans="1:36">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spans="1:3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spans="1:36">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spans="1:36">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spans="1:36">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spans="1:36">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spans="1:36">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spans="1:36">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spans="1:36">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spans="1:36">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spans="1:36">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spans="1: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spans="1:36">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spans="1:36">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spans="1:36">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spans="1:36">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spans="1:36">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spans="1:36">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spans="1:36">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spans="1:36">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spans="1:36">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spans="1:3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spans="1:36">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spans="1:36">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spans="1:36">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spans="1:36">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spans="1:36">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spans="1:36">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spans="1:36">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spans="1:36">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spans="1:36">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spans="1:3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spans="1:36">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spans="1:36">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spans="1:36">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spans="1:36">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spans="1:36">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spans="1:36">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spans="1:36">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spans="1:36">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spans="1:36">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spans="1:3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spans="1:36">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spans="1:36">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spans="1:36">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spans="1:36">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spans="1:36">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spans="1:36">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spans="1:36">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spans="1:36">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spans="1:36">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spans="1:3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spans="1:36">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spans="1:36">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spans="1:36">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spans="1:36">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spans="1:36">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spans="1:36">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spans="1:36">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spans="1:36">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spans="1:36">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spans="1:3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spans="1:36">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spans="1:36">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spans="1:36">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spans="1:36">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spans="1:36">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spans="1:36">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spans="1:36">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spans="1:36">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spans="1:36">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spans="1:3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spans="1:36">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spans="1:36">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spans="1:36">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spans="1:36">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spans="1:36">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spans="1:36">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spans="1:36">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spans="1:36">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spans="1:36">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spans="1:3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spans="1:36">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spans="1:36">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spans="1:36">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spans="1:36">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spans="1:36">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spans="1:36">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spans="1:36">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spans="1:36">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spans="1:36">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spans="1:3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spans="1:36">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spans="1:36">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spans="1:36">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spans="1:36">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spans="1:36">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spans="1:36">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spans="1:36">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spans="1:36">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spans="1:36">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spans="1:3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spans="1:36">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spans="1:36">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spans="1:36">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spans="1:36">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spans="1:36">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spans="1:36">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spans="1:36">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spans="1:36">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spans="1:36">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spans="1: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spans="1:36">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spans="1:36">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spans="1:36">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spans="1:36">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spans="1:36">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spans="1:36">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spans="1:36">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spans="1:36">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spans="1:36">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spans="1:3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spans="1:36">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spans="1:36">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spans="1:36">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spans="1:36">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spans="1:36">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spans="1:36">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spans="1:36">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spans="1:36">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spans="1:36">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spans="1:3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spans="1:36">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spans="1:36">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spans="1:36">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spans="1:36">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spans="1:36">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spans="1:36">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spans="1:36">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spans="1:36">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spans="1:36">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spans="1:3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spans="1:36">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spans="1:36">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spans="1:36">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spans="1:36">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spans="1:36">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spans="1:36">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spans="1:36">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spans="1:36">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spans="1:36">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spans="1:3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spans="1:36">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spans="1:36">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spans="1:36">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spans="1:36">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spans="1:36">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spans="1:36">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spans="1:36">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spans="1:36">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spans="1:36">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spans="1:3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spans="1:36">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spans="1:36">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spans="1:36">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spans="1:36">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spans="1:36">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spans="1:36">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spans="1:36">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spans="1:36">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spans="1:36">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spans="1:3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spans="1:36">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spans="1:36">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spans="1:36">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spans="1:36">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spans="1:36">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spans="1:36">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spans="1:36">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spans="1:36">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spans="1:36">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spans="1:3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spans="1:36">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spans="1:36">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spans="1:36">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spans="1:36">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spans="1:36">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spans="1:36">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spans="1:36">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spans="1:36">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spans="1:36">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spans="1:3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spans="1:36">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spans="1:36">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spans="1:36">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spans="1:36">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spans="1:36">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spans="1:36">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spans="1:36">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spans="1:36">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spans="1:36">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spans="1:3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spans="1:36">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spans="1:36">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spans="1:36">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spans="1:36">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spans="1:36">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spans="1:36">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spans="1:36">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spans="1:36">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spans="1:36">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spans="1: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spans="1:36">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spans="1:36">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spans="1:36">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spans="1:36">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spans="1:36">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spans="1:36">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spans="1:36">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spans="1:36">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spans="1:36">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spans="1:3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spans="1:36">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spans="1:36">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spans="1:36">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spans="1:36">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spans="1:36">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spans="1:36">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spans="1:36">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spans="1:36">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spans="1:36">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spans="1:3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spans="1:36">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spans="1:36">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spans="1:36">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spans="1:36">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spans="1:36">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spans="1:36">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spans="1:36">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spans="1:36">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spans="1:36">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spans="1:3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spans="1:36">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spans="1:36">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spans="1:36">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spans="1:36">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spans="1:36">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spans="1:36">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spans="1:36">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spans="1:36">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spans="1:36">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spans="1:3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spans="1:36">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spans="1:36">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spans="1:36">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spans="1:36">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spans="1:36">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spans="1:36">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spans="1:36">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spans="1:36">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spans="1:36">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spans="1:3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spans="1:36">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spans="1:36">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spans="1:36">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spans="1:36">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spans="1:36">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spans="1:36">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spans="1:36">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spans="1:36">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spans="1:36">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spans="1:3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spans="1:36">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spans="1:36">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spans="1:36">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spans="1:36">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row r="1001" spans="1:36">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c r="AJ1001" s="8"/>
    </row>
    <row r="1002" spans="1:36">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c r="AJ1002" s="8"/>
    </row>
    <row r="1003" spans="1:36">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c r="AJ1003" s="8"/>
    </row>
    <row r="1004" spans="1:36">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c r="AJ1004" s="8"/>
    </row>
    <row r="1005" spans="1:36">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c r="AJ1005" s="8"/>
    </row>
    <row r="1006" spans="1:36">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c r="AJ1006" s="8"/>
    </row>
    <row r="1007" spans="1:36">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c r="AJ1007" s="8"/>
    </row>
    <row r="1008" spans="1:36">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row>
    <row r="1009" spans="1:36">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row>
    <row r="1010" spans="1:36">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c r="AJ1010" s="8"/>
    </row>
    <row r="1011" spans="1:36">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c r="AJ1011" s="8"/>
    </row>
    <row r="1012" spans="1:36">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c r="AJ1012" s="8"/>
    </row>
  </sheetData>
  <mergeCells count="68">
    <mergeCell ref="D48:F49"/>
    <mergeCell ref="G48:I49"/>
    <mergeCell ref="J48:L49"/>
    <mergeCell ref="M48:O49"/>
    <mergeCell ref="J28:L29"/>
    <mergeCell ref="M28:O29"/>
    <mergeCell ref="D24:F25"/>
    <mergeCell ref="D26:F27"/>
    <mergeCell ref="G26:I27"/>
    <mergeCell ref="J26:L27"/>
    <mergeCell ref="M26:O27"/>
    <mergeCell ref="D28:F29"/>
    <mergeCell ref="G28:I29"/>
    <mergeCell ref="D20:F21"/>
    <mergeCell ref="G20:I21"/>
    <mergeCell ref="J20:L21"/>
    <mergeCell ref="M20:O21"/>
    <mergeCell ref="G24:I25"/>
    <mergeCell ref="J24:L25"/>
    <mergeCell ref="M24:O25"/>
    <mergeCell ref="J18:L19"/>
    <mergeCell ref="M18:O19"/>
    <mergeCell ref="D14:F15"/>
    <mergeCell ref="D16:F17"/>
    <mergeCell ref="G16:I17"/>
    <mergeCell ref="J16:L17"/>
    <mergeCell ref="M16:O17"/>
    <mergeCell ref="D18:F19"/>
    <mergeCell ref="G18:I19"/>
    <mergeCell ref="D12:F13"/>
    <mergeCell ref="G12:I13"/>
    <mergeCell ref="J12:L13"/>
    <mergeCell ref="M12:O13"/>
    <mergeCell ref="G14:I15"/>
    <mergeCell ref="J14:L15"/>
    <mergeCell ref="M14:O15"/>
    <mergeCell ref="J46:L47"/>
    <mergeCell ref="M46:O47"/>
    <mergeCell ref="D42:F43"/>
    <mergeCell ref="D44:F45"/>
    <mergeCell ref="G44:I45"/>
    <mergeCell ref="J44:L45"/>
    <mergeCell ref="M44:O45"/>
    <mergeCell ref="D46:F47"/>
    <mergeCell ref="G46:I47"/>
    <mergeCell ref="G42:I43"/>
    <mergeCell ref="J42:L43"/>
    <mergeCell ref="J36:L37"/>
    <mergeCell ref="M36:O37"/>
    <mergeCell ref="D38:F39"/>
    <mergeCell ref="G38:I39"/>
    <mergeCell ref="J38:L39"/>
    <mergeCell ref="M38:O39"/>
    <mergeCell ref="M42:O43"/>
    <mergeCell ref="D34:F35"/>
    <mergeCell ref="G34:I35"/>
    <mergeCell ref="J34:L35"/>
    <mergeCell ref="M34:O35"/>
    <mergeCell ref="D36:F37"/>
    <mergeCell ref="G36:I37"/>
    <mergeCell ref="D30:F31"/>
    <mergeCell ref="G30:I31"/>
    <mergeCell ref="J30:L31"/>
    <mergeCell ref="M30:O31"/>
    <mergeCell ref="G32:I33"/>
    <mergeCell ref="J32:L33"/>
    <mergeCell ref="M32:O33"/>
    <mergeCell ref="D32:F33"/>
  </mergeCell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C208"/>
  <sheetViews>
    <sheetView showGridLines="0" workbookViewId="0"/>
  </sheetViews>
  <sheetFormatPr defaultColWidth="12.5703125" defaultRowHeight="15.75" customHeight="1"/>
  <cols>
    <col min="9" max="9" width="18" customWidth="1"/>
    <col min="12" max="12" width="14.28515625" customWidth="1"/>
    <col min="15" max="15" width="15.28515625" customWidth="1"/>
    <col min="23" max="23" width="16.5703125" customWidth="1"/>
    <col min="26" max="26" width="16.5703125" customWidth="1"/>
    <col min="29" max="29" width="16.5703125" customWidth="1"/>
    <col min="30" max="30" width="14.28515625" customWidth="1"/>
    <col min="32" max="32" width="16.5703125" customWidth="1"/>
    <col min="33" max="33" width="14.28515625" customWidth="1"/>
    <col min="35" max="35" width="16.5703125" customWidth="1"/>
    <col min="38" max="38" width="16.5703125" customWidth="1"/>
    <col min="41" max="41" width="16.5703125" customWidth="1"/>
    <col min="44" max="44" width="16.5703125" customWidth="1"/>
    <col min="47" max="47" width="16.5703125" customWidth="1"/>
    <col min="50" max="50" width="16.5703125" customWidth="1"/>
    <col min="53" max="53" width="16.5703125" customWidth="1"/>
    <col min="54" max="54" width="13.42578125" customWidth="1"/>
    <col min="56" max="56" width="16.5703125" customWidth="1"/>
    <col min="57" max="57" width="14.28515625" customWidth="1"/>
    <col min="59" max="59" width="16.5703125" customWidth="1"/>
    <col min="62" max="62" width="16.5703125" customWidth="1"/>
    <col min="65" max="65" width="16.5703125" customWidth="1"/>
    <col min="66" max="66" width="13.42578125" customWidth="1"/>
    <col min="68" max="68" width="16.5703125" customWidth="1"/>
    <col min="69" max="69" width="14.28515625" customWidth="1"/>
    <col min="71" max="71" width="16.5703125" customWidth="1"/>
    <col min="74" max="74" width="16.5703125" customWidth="1"/>
    <col min="77" max="77" width="16.5703125" customWidth="1"/>
    <col min="80" max="80" width="16.5703125" customWidth="1"/>
  </cols>
  <sheetData>
    <row r="1" spans="1:81">
      <c r="A1" s="323" t="s">
        <v>2927</v>
      </c>
      <c r="B1" s="298"/>
      <c r="D1" s="323" t="s">
        <v>2928</v>
      </c>
      <c r="E1" s="298"/>
      <c r="G1" s="323" t="s">
        <v>2566</v>
      </c>
      <c r="H1" s="298"/>
      <c r="J1" s="323" t="s">
        <v>2929</v>
      </c>
      <c r="K1" s="298"/>
      <c r="M1" s="323" t="s">
        <v>2930</v>
      </c>
      <c r="N1" s="298"/>
      <c r="P1" s="323" t="s">
        <v>2931</v>
      </c>
      <c r="Q1" s="298"/>
      <c r="S1" s="323" t="s">
        <v>2932</v>
      </c>
      <c r="T1" s="298"/>
      <c r="V1" s="323" t="s">
        <v>2933</v>
      </c>
      <c r="W1" s="298"/>
      <c r="Y1" s="323" t="s">
        <v>2934</v>
      </c>
      <c r="Z1" s="298"/>
      <c r="AB1" s="323" t="s">
        <v>2935</v>
      </c>
      <c r="AC1" s="298"/>
      <c r="AE1" s="323" t="s">
        <v>2936</v>
      </c>
      <c r="AF1" s="298"/>
      <c r="AH1" s="323" t="s">
        <v>2937</v>
      </c>
      <c r="AI1" s="298"/>
      <c r="AK1" s="323" t="s">
        <v>2938</v>
      </c>
      <c r="AL1" s="298"/>
      <c r="AN1" s="323" t="s">
        <v>2939</v>
      </c>
      <c r="AO1" s="298"/>
      <c r="AQ1" s="323" t="s">
        <v>2940</v>
      </c>
      <c r="AR1" s="298"/>
      <c r="AT1" s="323" t="s">
        <v>2941</v>
      </c>
      <c r="AU1" s="298"/>
      <c r="AW1" s="323" t="s">
        <v>2942</v>
      </c>
      <c r="AX1" s="298"/>
      <c r="AZ1" s="323" t="s">
        <v>2943</v>
      </c>
      <c r="BA1" s="298"/>
      <c r="BC1" s="323" t="s">
        <v>2944</v>
      </c>
      <c r="BD1" s="298"/>
      <c r="BF1" s="323" t="s">
        <v>2945</v>
      </c>
      <c r="BG1" s="298"/>
      <c r="BI1" s="323" t="s">
        <v>2946</v>
      </c>
      <c r="BJ1" s="298"/>
      <c r="BL1" s="323" t="s">
        <v>2947</v>
      </c>
      <c r="BM1" s="298"/>
      <c r="BO1" s="323" t="s">
        <v>2948</v>
      </c>
      <c r="BP1" s="298"/>
      <c r="BR1" s="323" t="s">
        <v>2949</v>
      </c>
      <c r="BS1" s="298"/>
      <c r="BU1" s="323" t="s">
        <v>2950</v>
      </c>
      <c r="BV1" s="298"/>
      <c r="BX1" s="323" t="s">
        <v>2951</v>
      </c>
      <c r="BY1" s="298"/>
      <c r="CA1" s="323" t="s">
        <v>2952</v>
      </c>
      <c r="CB1" s="298"/>
    </row>
    <row r="2" spans="1:81">
      <c r="A2" s="332" t="s">
        <v>4</v>
      </c>
      <c r="B2" s="333" t="s">
        <v>18</v>
      </c>
      <c r="C2" s="286">
        <f>SUM(B:B)</f>
        <v>116</v>
      </c>
      <c r="D2" s="332" t="s">
        <v>4</v>
      </c>
      <c r="E2" s="333" t="s">
        <v>30</v>
      </c>
      <c r="F2" s="286">
        <f>SUM(E:E)</f>
        <v>88</v>
      </c>
      <c r="G2" s="332" t="s">
        <v>3</v>
      </c>
      <c r="H2" s="333" t="s">
        <v>2958</v>
      </c>
      <c r="I2" s="287">
        <f>SUM(H3:H500)-I3</f>
        <v>174190352.21000004</v>
      </c>
      <c r="J2" s="332" t="s">
        <v>4</v>
      </c>
      <c r="K2" s="333" t="s">
        <v>18</v>
      </c>
      <c r="L2" s="287">
        <f>SUM(K:K)</f>
        <v>48303863.349999979</v>
      </c>
      <c r="M2" s="332" t="s">
        <v>4</v>
      </c>
      <c r="N2" s="333" t="s">
        <v>30</v>
      </c>
      <c r="O2" s="287">
        <f>SUM(N:N)</f>
        <v>125886488.85999998</v>
      </c>
      <c r="P2" s="332" t="s">
        <v>4</v>
      </c>
      <c r="Q2" s="333" t="s">
        <v>18</v>
      </c>
      <c r="R2" s="286">
        <f>SUM(Q:Q)</f>
        <v>59</v>
      </c>
      <c r="S2" s="332" t="s">
        <v>4</v>
      </c>
      <c r="T2" s="333" t="s">
        <v>30</v>
      </c>
      <c r="U2" s="286">
        <f>SUM(T:T)</f>
        <v>19</v>
      </c>
      <c r="V2" s="332" t="s">
        <v>5</v>
      </c>
      <c r="W2" s="333" t="s">
        <v>23</v>
      </c>
      <c r="X2" s="286">
        <f>SUM(W:W)</f>
        <v>7</v>
      </c>
      <c r="Y2" s="332" t="s">
        <v>5</v>
      </c>
      <c r="Z2" s="333" t="s">
        <v>23</v>
      </c>
      <c r="AA2" s="286">
        <f>SUM(Z:Z)</f>
        <v>20</v>
      </c>
      <c r="AB2" s="332" t="s">
        <v>5</v>
      </c>
      <c r="AC2" s="333" t="s">
        <v>23</v>
      </c>
      <c r="AD2" s="287">
        <f>SUM(AC:AC)</f>
        <v>38703752.770000003</v>
      </c>
      <c r="AE2" s="332" t="s">
        <v>5</v>
      </c>
      <c r="AF2" s="333" t="s">
        <v>23</v>
      </c>
      <c r="AG2" s="287">
        <f>SUM(AF:AF)</f>
        <v>43505359.309999995</v>
      </c>
      <c r="AH2" s="332" t="s">
        <v>5</v>
      </c>
      <c r="AI2" s="333" t="s">
        <v>19</v>
      </c>
      <c r="AJ2" s="288">
        <f>SUM(AI:AI)</f>
        <v>21</v>
      </c>
      <c r="AK2" s="332" t="s">
        <v>5</v>
      </c>
      <c r="AL2" s="333" t="s">
        <v>19</v>
      </c>
      <c r="AM2" s="286">
        <f>SUM(AL:AL)</f>
        <v>6</v>
      </c>
      <c r="AN2" s="332" t="s">
        <v>5</v>
      </c>
      <c r="AO2" s="333" t="s">
        <v>19</v>
      </c>
      <c r="AP2" s="287">
        <f>SUM(AO:AO)</f>
        <v>415837.11</v>
      </c>
      <c r="AQ2" s="332" t="s">
        <v>5</v>
      </c>
      <c r="AR2" s="333" t="s">
        <v>19</v>
      </c>
      <c r="AS2" s="287">
        <f>SUM(AR:AR)</f>
        <v>221436.75999999998</v>
      </c>
      <c r="AT2" s="332" t="s">
        <v>5</v>
      </c>
      <c r="AU2" s="333" t="s">
        <v>26</v>
      </c>
      <c r="AV2" s="289">
        <f>SUM(AU:AU)</f>
        <v>8</v>
      </c>
      <c r="AW2" s="332" t="s">
        <v>5</v>
      </c>
      <c r="AX2" s="333" t="s">
        <v>26</v>
      </c>
      <c r="AY2" s="289">
        <f>SUM(AX:AX)</f>
        <v>11</v>
      </c>
      <c r="AZ2" s="332" t="s">
        <v>5</v>
      </c>
      <c r="BA2" s="333" t="s">
        <v>26</v>
      </c>
      <c r="BB2" s="287">
        <f>SUM(BA:BA)</f>
        <v>4272239.45</v>
      </c>
      <c r="BC2" s="332" t="s">
        <v>5</v>
      </c>
      <c r="BD2" s="333" t="s">
        <v>26</v>
      </c>
      <c r="BE2" s="287">
        <f>SUM(BD:BD)</f>
        <v>27535064.859999999</v>
      </c>
      <c r="BF2" s="332" t="s">
        <v>5</v>
      </c>
      <c r="BG2" s="333" t="s">
        <v>2956</v>
      </c>
      <c r="BH2" s="286">
        <f>SUM(BG:BG)</f>
        <v>80</v>
      </c>
      <c r="BI2" s="332" t="s">
        <v>5</v>
      </c>
      <c r="BJ2" s="333" t="s">
        <v>2956</v>
      </c>
      <c r="BK2" s="289">
        <f>SUM(BJ:BJ)</f>
        <v>51</v>
      </c>
      <c r="BL2" s="332" t="s">
        <v>5</v>
      </c>
      <c r="BM2" s="333" t="s">
        <v>2956</v>
      </c>
      <c r="BN2" s="287">
        <f>SUM(BM:BM)</f>
        <v>4912034.0200000005</v>
      </c>
      <c r="BO2" s="332" t="s">
        <v>5</v>
      </c>
      <c r="BP2" s="333" t="s">
        <v>2956</v>
      </c>
      <c r="BQ2" s="287">
        <f>SUM(BP:BP)</f>
        <v>54624627.93</v>
      </c>
      <c r="BR2" s="332" t="s">
        <v>4</v>
      </c>
      <c r="BS2" s="333" t="s">
        <v>18</v>
      </c>
      <c r="BT2" s="289">
        <f>SUM(BS:BS)</f>
        <v>10</v>
      </c>
      <c r="BU2" s="332" t="s">
        <v>4</v>
      </c>
      <c r="BV2" s="333" t="s">
        <v>30</v>
      </c>
      <c r="BW2" s="289">
        <f>SUM(BV:BV)</f>
        <v>10</v>
      </c>
      <c r="BX2" s="332" t="s">
        <v>4</v>
      </c>
      <c r="BY2" s="333" t="s">
        <v>18</v>
      </c>
      <c r="BZ2" s="289">
        <f>SUM(BY:BY)</f>
        <v>47</v>
      </c>
      <c r="CA2" s="332" t="s">
        <v>4</v>
      </c>
      <c r="CB2" s="333" t="s">
        <v>30</v>
      </c>
      <c r="CC2" s="289">
        <f>SUM(CB:CB)</f>
        <v>59</v>
      </c>
    </row>
    <row r="3" spans="1:81">
      <c r="C3" s="286">
        <f>C2+F2</f>
        <v>204</v>
      </c>
      <c r="I3" s="287">
        <f>'Compras 2025'!D1</f>
        <v>174190352.20999998</v>
      </c>
      <c r="P3" s="332" t="s">
        <v>13</v>
      </c>
      <c r="Q3" s="333" t="s">
        <v>2958</v>
      </c>
      <c r="R3" s="286">
        <f>R2+U2</f>
        <v>78</v>
      </c>
      <c r="S3" s="332" t="s">
        <v>13</v>
      </c>
      <c r="T3" s="333" t="s">
        <v>2958</v>
      </c>
      <c r="V3" s="332" t="s">
        <v>4</v>
      </c>
      <c r="W3" s="333" t="s">
        <v>18</v>
      </c>
      <c r="Y3" s="332" t="s">
        <v>4</v>
      </c>
      <c r="Z3" s="333" t="s">
        <v>30</v>
      </c>
      <c r="AB3" s="332" t="s">
        <v>4</v>
      </c>
      <c r="AC3" s="333" t="s">
        <v>18</v>
      </c>
      <c r="AE3" s="332" t="s">
        <v>4</v>
      </c>
      <c r="AF3" s="333" t="s">
        <v>30</v>
      </c>
      <c r="AH3" s="332" t="s">
        <v>4</v>
      </c>
      <c r="AI3" s="333" t="s">
        <v>18</v>
      </c>
      <c r="AK3" s="332" t="s">
        <v>4</v>
      </c>
      <c r="AL3" s="333" t="s">
        <v>30</v>
      </c>
      <c r="AN3" s="332" t="s">
        <v>4</v>
      </c>
      <c r="AO3" s="333" t="s">
        <v>18</v>
      </c>
      <c r="AQ3" s="332" t="s">
        <v>4</v>
      </c>
      <c r="AR3" s="333" t="s">
        <v>30</v>
      </c>
      <c r="AT3" s="332" t="s">
        <v>4</v>
      </c>
      <c r="AU3" s="333" t="s">
        <v>18</v>
      </c>
      <c r="AW3" s="332" t="s">
        <v>4</v>
      </c>
      <c r="AX3" s="333" t="s">
        <v>30</v>
      </c>
      <c r="AZ3" s="332" t="s">
        <v>4</v>
      </c>
      <c r="BA3" s="333" t="s">
        <v>18</v>
      </c>
      <c r="BC3" s="332" t="s">
        <v>4</v>
      </c>
      <c r="BD3" s="333" t="s">
        <v>30</v>
      </c>
      <c r="BF3" s="332" t="s">
        <v>4</v>
      </c>
      <c r="BG3" s="333" t="s">
        <v>18</v>
      </c>
      <c r="BI3" s="332" t="s">
        <v>4</v>
      </c>
      <c r="BJ3" s="333" t="s">
        <v>30</v>
      </c>
      <c r="BL3" s="332" t="s">
        <v>4</v>
      </c>
      <c r="BM3" s="333" t="s">
        <v>18</v>
      </c>
      <c r="BO3" s="332" t="s">
        <v>4</v>
      </c>
      <c r="BP3" s="333" t="s">
        <v>30</v>
      </c>
      <c r="BR3" s="332" t="s">
        <v>14</v>
      </c>
      <c r="BS3" s="333" t="s">
        <v>47</v>
      </c>
      <c r="BU3" s="332" t="s">
        <v>14</v>
      </c>
      <c r="BV3" s="333" t="s">
        <v>47</v>
      </c>
      <c r="BX3" s="332" t="s">
        <v>14</v>
      </c>
      <c r="BY3" s="333" t="s">
        <v>27</v>
      </c>
      <c r="CA3" s="332" t="s">
        <v>14</v>
      </c>
      <c r="CB3" s="333" t="s">
        <v>27</v>
      </c>
    </row>
    <row r="4" spans="1:81">
      <c r="A4" s="324" t="s">
        <v>0</v>
      </c>
      <c r="B4" s="325" t="s">
        <v>2954</v>
      </c>
      <c r="D4" s="324" t="s">
        <v>0</v>
      </c>
      <c r="E4" s="325" t="s">
        <v>2954</v>
      </c>
      <c r="G4" s="324" t="s">
        <v>0</v>
      </c>
      <c r="H4" s="325" t="s">
        <v>2953</v>
      </c>
      <c r="J4" s="324" t="s">
        <v>0</v>
      </c>
      <c r="K4" s="325" t="s">
        <v>2953</v>
      </c>
      <c r="M4" s="324" t="s">
        <v>0</v>
      </c>
      <c r="N4" s="325" t="s">
        <v>2953</v>
      </c>
    </row>
    <row r="5" spans="1:81">
      <c r="A5" s="326" t="s">
        <v>210</v>
      </c>
      <c r="B5" s="327">
        <v>1</v>
      </c>
      <c r="D5" s="326" t="s">
        <v>104</v>
      </c>
      <c r="E5" s="327">
        <v>1</v>
      </c>
      <c r="G5" s="326" t="s">
        <v>104</v>
      </c>
      <c r="H5" s="327">
        <v>0</v>
      </c>
      <c r="J5" s="326" t="s">
        <v>210</v>
      </c>
      <c r="K5" s="327">
        <v>2192989.56</v>
      </c>
      <c r="M5" s="326" t="s">
        <v>104</v>
      </c>
      <c r="N5" s="327">
        <v>0</v>
      </c>
      <c r="P5" s="324" t="s">
        <v>0</v>
      </c>
      <c r="Q5" s="325" t="s">
        <v>2957</v>
      </c>
      <c r="S5" s="324" t="s">
        <v>0</v>
      </c>
      <c r="T5" s="325" t="s">
        <v>2957</v>
      </c>
      <c r="V5" s="324" t="s">
        <v>0</v>
      </c>
      <c r="W5" s="325" t="s">
        <v>2955</v>
      </c>
      <c r="Y5" s="324" t="s">
        <v>0</v>
      </c>
      <c r="Z5" s="325" t="s">
        <v>2955</v>
      </c>
      <c r="AB5" s="324" t="s">
        <v>0</v>
      </c>
      <c r="AC5" s="325" t="s">
        <v>2953</v>
      </c>
      <c r="AE5" s="324" t="s">
        <v>0</v>
      </c>
      <c r="AF5" s="325" t="s">
        <v>2953</v>
      </c>
      <c r="AH5" s="324" t="s">
        <v>0</v>
      </c>
      <c r="AI5" s="325" t="s">
        <v>2955</v>
      </c>
      <c r="AK5" s="324" t="s">
        <v>0</v>
      </c>
      <c r="AL5" s="325" t="s">
        <v>2955</v>
      </c>
      <c r="AN5" s="324" t="s">
        <v>0</v>
      </c>
      <c r="AO5" s="325" t="s">
        <v>2953</v>
      </c>
      <c r="AQ5" s="324" t="s">
        <v>0</v>
      </c>
      <c r="AR5" s="325" t="s">
        <v>2953</v>
      </c>
      <c r="AT5" s="324" t="s">
        <v>0</v>
      </c>
      <c r="AU5" s="325" t="s">
        <v>2955</v>
      </c>
      <c r="AW5" s="324" t="s">
        <v>0</v>
      </c>
      <c r="AX5" s="325" t="s">
        <v>2955</v>
      </c>
      <c r="AZ5" s="324" t="s">
        <v>0</v>
      </c>
      <c r="BA5" s="325" t="s">
        <v>2953</v>
      </c>
      <c r="BC5" s="324" t="s">
        <v>0</v>
      </c>
      <c r="BD5" s="325" t="s">
        <v>2953</v>
      </c>
      <c r="BF5" s="324" t="s">
        <v>0</v>
      </c>
      <c r="BG5" s="325" t="s">
        <v>2955</v>
      </c>
      <c r="BI5" s="324" t="s">
        <v>0</v>
      </c>
      <c r="BJ5" s="325" t="s">
        <v>2955</v>
      </c>
      <c r="BL5" s="324" t="s">
        <v>0</v>
      </c>
      <c r="BM5" s="325" t="s">
        <v>2953</v>
      </c>
      <c r="BO5" s="324" t="s">
        <v>0</v>
      </c>
      <c r="BP5" s="325" t="s">
        <v>2953</v>
      </c>
      <c r="BR5" s="324" t="s">
        <v>0</v>
      </c>
      <c r="BS5" s="325" t="s">
        <v>2954</v>
      </c>
      <c r="BU5" s="324" t="s">
        <v>0</v>
      </c>
      <c r="BV5" s="325" t="s">
        <v>2954</v>
      </c>
      <c r="BX5" s="324" t="s">
        <v>0</v>
      </c>
      <c r="BY5" s="325" t="s">
        <v>2954</v>
      </c>
      <c r="CA5" s="324" t="s">
        <v>0</v>
      </c>
      <c r="CB5" s="325" t="s">
        <v>2954</v>
      </c>
    </row>
    <row r="6" spans="1:81">
      <c r="A6" s="328" t="s">
        <v>150</v>
      </c>
      <c r="B6" s="329">
        <v>1</v>
      </c>
      <c r="D6" s="328" t="s">
        <v>308</v>
      </c>
      <c r="E6" s="329">
        <v>1</v>
      </c>
      <c r="G6" s="328" t="s">
        <v>308</v>
      </c>
      <c r="H6" s="329">
        <v>2503120.12</v>
      </c>
      <c r="J6" s="328" t="s">
        <v>150</v>
      </c>
      <c r="K6" s="329">
        <v>9301.9500000000007</v>
      </c>
      <c r="M6" s="328" t="s">
        <v>308</v>
      </c>
      <c r="N6" s="329">
        <v>2503120.12</v>
      </c>
      <c r="P6" s="326" t="s">
        <v>210</v>
      </c>
      <c r="Q6" s="327">
        <v>1</v>
      </c>
      <c r="S6" s="326" t="s">
        <v>104</v>
      </c>
      <c r="T6" s="327"/>
      <c r="V6" s="326" t="s">
        <v>210</v>
      </c>
      <c r="W6" s="327">
        <v>1</v>
      </c>
      <c r="Y6" s="326" t="s">
        <v>308</v>
      </c>
      <c r="Z6" s="327">
        <v>1</v>
      </c>
      <c r="AB6" s="326" t="s">
        <v>210</v>
      </c>
      <c r="AC6" s="327">
        <v>2192989.56</v>
      </c>
      <c r="AE6" s="326" t="s">
        <v>308</v>
      </c>
      <c r="AF6" s="327">
        <v>2503120.12</v>
      </c>
      <c r="AH6" s="326" t="s">
        <v>150</v>
      </c>
      <c r="AI6" s="327">
        <v>1</v>
      </c>
      <c r="AK6" s="326" t="s">
        <v>128</v>
      </c>
      <c r="AL6" s="327">
        <v>1</v>
      </c>
      <c r="AN6" s="326" t="s">
        <v>150</v>
      </c>
      <c r="AO6" s="327">
        <v>9301.9500000000007</v>
      </c>
      <c r="AQ6" s="326" t="s">
        <v>128</v>
      </c>
      <c r="AR6" s="327">
        <v>9904.2000000000007</v>
      </c>
      <c r="AT6" s="326" t="s">
        <v>24</v>
      </c>
      <c r="AU6" s="327">
        <v>1</v>
      </c>
      <c r="AW6" s="326" t="s">
        <v>208</v>
      </c>
      <c r="AX6" s="327">
        <v>1</v>
      </c>
      <c r="AZ6" s="326" t="s">
        <v>24</v>
      </c>
      <c r="BA6" s="327">
        <v>531310</v>
      </c>
      <c r="BC6" s="326" t="s">
        <v>208</v>
      </c>
      <c r="BD6" s="327">
        <v>4768676.76</v>
      </c>
      <c r="BF6" s="326" t="s">
        <v>262</v>
      </c>
      <c r="BG6" s="327">
        <v>1</v>
      </c>
      <c r="BI6" s="326" t="s">
        <v>104</v>
      </c>
      <c r="BJ6" s="327">
        <v>1</v>
      </c>
      <c r="BL6" s="326" t="s">
        <v>262</v>
      </c>
      <c r="BM6" s="327">
        <v>2817</v>
      </c>
      <c r="BO6" s="326" t="s">
        <v>104</v>
      </c>
      <c r="BP6" s="327">
        <v>0</v>
      </c>
      <c r="BR6" s="326" t="s">
        <v>45</v>
      </c>
      <c r="BS6" s="327">
        <v>1</v>
      </c>
      <c r="BU6" s="326" t="s">
        <v>164</v>
      </c>
      <c r="BV6" s="327">
        <v>1</v>
      </c>
      <c r="BX6" s="326" t="s">
        <v>135</v>
      </c>
      <c r="BY6" s="327">
        <v>1</v>
      </c>
      <c r="CA6" s="326" t="s">
        <v>104</v>
      </c>
      <c r="CB6" s="327">
        <v>1</v>
      </c>
    </row>
    <row r="7" spans="1:81">
      <c r="A7" s="328" t="s">
        <v>190</v>
      </c>
      <c r="B7" s="329">
        <v>1</v>
      </c>
      <c r="D7" s="328" t="s">
        <v>237</v>
      </c>
      <c r="E7" s="329">
        <v>1</v>
      </c>
      <c r="G7" s="328" t="s">
        <v>237</v>
      </c>
      <c r="H7" s="329">
        <v>113955.01</v>
      </c>
      <c r="J7" s="328" t="s">
        <v>190</v>
      </c>
      <c r="K7" s="329">
        <v>29093</v>
      </c>
      <c r="M7" s="328" t="s">
        <v>237</v>
      </c>
      <c r="N7" s="329">
        <v>113955.01</v>
      </c>
      <c r="P7" s="328" t="s">
        <v>150</v>
      </c>
      <c r="Q7" s="329">
        <v>1</v>
      </c>
      <c r="S7" s="328" t="s">
        <v>308</v>
      </c>
      <c r="T7" s="329"/>
      <c r="V7" s="328" t="s">
        <v>135</v>
      </c>
      <c r="W7" s="329">
        <v>1</v>
      </c>
      <c r="Y7" s="328" t="s">
        <v>237</v>
      </c>
      <c r="Z7" s="329">
        <v>1</v>
      </c>
      <c r="AB7" s="328" t="s">
        <v>135</v>
      </c>
      <c r="AC7" s="329">
        <v>98295.8</v>
      </c>
      <c r="AE7" s="328" t="s">
        <v>237</v>
      </c>
      <c r="AF7" s="329">
        <v>113955.01</v>
      </c>
      <c r="AH7" s="328" t="s">
        <v>190</v>
      </c>
      <c r="AI7" s="329">
        <v>1</v>
      </c>
      <c r="AK7" s="328" t="s">
        <v>28</v>
      </c>
      <c r="AL7" s="329">
        <v>1</v>
      </c>
      <c r="AN7" s="328" t="s">
        <v>190</v>
      </c>
      <c r="AO7" s="329">
        <v>29093</v>
      </c>
      <c r="AQ7" s="328" t="s">
        <v>28</v>
      </c>
      <c r="AR7" s="329">
        <v>106123</v>
      </c>
      <c r="AT7" s="328" t="s">
        <v>70</v>
      </c>
      <c r="AU7" s="329">
        <v>1</v>
      </c>
      <c r="AW7" s="328" t="s">
        <v>241</v>
      </c>
      <c r="AX7" s="329">
        <v>1</v>
      </c>
      <c r="AZ7" s="328" t="s">
        <v>70</v>
      </c>
      <c r="BA7" s="329">
        <v>360551.24</v>
      </c>
      <c r="BC7" s="328" t="s">
        <v>241</v>
      </c>
      <c r="BD7" s="329">
        <v>465017.4</v>
      </c>
      <c r="BF7" s="328" t="s">
        <v>90</v>
      </c>
      <c r="BG7" s="329">
        <v>1</v>
      </c>
      <c r="BI7" s="328" t="s">
        <v>180</v>
      </c>
      <c r="BJ7" s="329">
        <v>1</v>
      </c>
      <c r="BL7" s="328" t="s">
        <v>90</v>
      </c>
      <c r="BM7" s="329">
        <v>7000</v>
      </c>
      <c r="BO7" s="328" t="s">
        <v>180</v>
      </c>
      <c r="BP7" s="329">
        <v>40970</v>
      </c>
      <c r="BR7" s="328" t="s">
        <v>126</v>
      </c>
      <c r="BS7" s="329">
        <v>1</v>
      </c>
      <c r="BU7" s="328" t="s">
        <v>145</v>
      </c>
      <c r="BV7" s="329">
        <v>1</v>
      </c>
      <c r="BX7" s="328" t="s">
        <v>114</v>
      </c>
      <c r="BY7" s="329">
        <v>1</v>
      </c>
      <c r="CA7" s="328" t="s">
        <v>308</v>
      </c>
      <c r="CB7" s="329">
        <v>1</v>
      </c>
    </row>
    <row r="8" spans="1:81">
      <c r="A8" s="328" t="s">
        <v>262</v>
      </c>
      <c r="B8" s="329">
        <v>1</v>
      </c>
      <c r="D8" s="328" t="s">
        <v>141</v>
      </c>
      <c r="E8" s="329">
        <v>1</v>
      </c>
      <c r="G8" s="328" t="s">
        <v>141</v>
      </c>
      <c r="H8" s="329">
        <v>642413</v>
      </c>
      <c r="J8" s="328" t="s">
        <v>262</v>
      </c>
      <c r="K8" s="329">
        <v>2817</v>
      </c>
      <c r="M8" s="328" t="s">
        <v>141</v>
      </c>
      <c r="N8" s="329">
        <v>642413</v>
      </c>
      <c r="P8" s="328" t="s">
        <v>190</v>
      </c>
      <c r="Q8" s="329">
        <v>1</v>
      </c>
      <c r="S8" s="328" t="s">
        <v>237</v>
      </c>
      <c r="T8" s="329"/>
      <c r="V8" s="328" t="s">
        <v>31</v>
      </c>
      <c r="W8" s="329">
        <v>1</v>
      </c>
      <c r="Y8" s="328" t="s">
        <v>141</v>
      </c>
      <c r="Z8" s="329">
        <v>1</v>
      </c>
      <c r="AB8" s="328" t="s">
        <v>31</v>
      </c>
      <c r="AC8" s="329">
        <v>171111.52</v>
      </c>
      <c r="AE8" s="328" t="s">
        <v>141</v>
      </c>
      <c r="AF8" s="329">
        <v>642413</v>
      </c>
      <c r="AH8" s="328" t="s">
        <v>126</v>
      </c>
      <c r="AI8" s="329">
        <v>1</v>
      </c>
      <c r="AK8" s="328" t="s">
        <v>234</v>
      </c>
      <c r="AL8" s="329">
        <v>1</v>
      </c>
      <c r="AN8" s="328" t="s">
        <v>126</v>
      </c>
      <c r="AO8" s="329">
        <v>4504</v>
      </c>
      <c r="AQ8" s="328" t="s">
        <v>234</v>
      </c>
      <c r="AR8" s="329">
        <v>72642.789999999994</v>
      </c>
      <c r="AT8" s="328" t="s">
        <v>106</v>
      </c>
      <c r="AU8" s="329">
        <v>1</v>
      </c>
      <c r="AW8" s="328" t="s">
        <v>39</v>
      </c>
      <c r="AX8" s="329">
        <v>1</v>
      </c>
      <c r="AZ8" s="328" t="s">
        <v>106</v>
      </c>
      <c r="BA8" s="329">
        <v>110000</v>
      </c>
      <c r="BC8" s="328" t="s">
        <v>39</v>
      </c>
      <c r="BD8" s="329">
        <v>990000</v>
      </c>
      <c r="BF8" s="328" t="s">
        <v>45</v>
      </c>
      <c r="BG8" s="329">
        <v>1</v>
      </c>
      <c r="BI8" s="328" t="s">
        <v>302</v>
      </c>
      <c r="BJ8" s="329">
        <v>1</v>
      </c>
      <c r="BL8" s="328" t="s">
        <v>45</v>
      </c>
      <c r="BM8" s="329">
        <v>233.25</v>
      </c>
      <c r="BO8" s="328" t="s">
        <v>302</v>
      </c>
      <c r="BP8" s="329">
        <v>21711.599999999999</v>
      </c>
      <c r="BR8" s="328" t="s">
        <v>131</v>
      </c>
      <c r="BS8" s="329">
        <v>1</v>
      </c>
      <c r="BU8" s="328" t="s">
        <v>219</v>
      </c>
      <c r="BV8" s="329">
        <v>1</v>
      </c>
      <c r="BX8" s="328" t="s">
        <v>24</v>
      </c>
      <c r="BY8" s="329">
        <v>1</v>
      </c>
      <c r="CA8" s="328" t="s">
        <v>237</v>
      </c>
      <c r="CB8" s="329">
        <v>1</v>
      </c>
    </row>
    <row r="9" spans="1:81">
      <c r="A9" s="328" t="s">
        <v>90</v>
      </c>
      <c r="B9" s="329">
        <v>1</v>
      </c>
      <c r="D9" s="328" t="s">
        <v>139</v>
      </c>
      <c r="E9" s="329">
        <v>1</v>
      </c>
      <c r="G9" s="328" t="s">
        <v>139</v>
      </c>
      <c r="H9" s="329">
        <v>75039.399999999994</v>
      </c>
      <c r="J9" s="328" t="s">
        <v>90</v>
      </c>
      <c r="K9" s="329">
        <v>7000</v>
      </c>
      <c r="M9" s="328" t="s">
        <v>139</v>
      </c>
      <c r="N9" s="329">
        <v>75039.399999999994</v>
      </c>
      <c r="P9" s="328" t="s">
        <v>262</v>
      </c>
      <c r="Q9" s="329">
        <v>1</v>
      </c>
      <c r="S9" s="328" t="s">
        <v>141</v>
      </c>
      <c r="T9" s="329">
        <v>1</v>
      </c>
      <c r="V9" s="328" t="s">
        <v>114</v>
      </c>
      <c r="W9" s="329">
        <v>1</v>
      </c>
      <c r="Y9" s="328" t="s">
        <v>139</v>
      </c>
      <c r="Z9" s="329">
        <v>1</v>
      </c>
      <c r="AB9" s="328" t="s">
        <v>114</v>
      </c>
      <c r="AC9" s="329">
        <v>838189.8</v>
      </c>
      <c r="AE9" s="328" t="s">
        <v>139</v>
      </c>
      <c r="AF9" s="329">
        <v>75039.399999999994</v>
      </c>
      <c r="AH9" s="328" t="s">
        <v>102</v>
      </c>
      <c r="AI9" s="329">
        <v>1</v>
      </c>
      <c r="AK9" s="328" t="s">
        <v>297</v>
      </c>
      <c r="AL9" s="329">
        <v>1</v>
      </c>
      <c r="AN9" s="328" t="s">
        <v>102</v>
      </c>
      <c r="AO9" s="329">
        <v>2600</v>
      </c>
      <c r="AQ9" s="328" t="s">
        <v>297</v>
      </c>
      <c r="AR9" s="329">
        <v>1361</v>
      </c>
      <c r="AT9" s="328" t="s">
        <v>74</v>
      </c>
      <c r="AU9" s="329">
        <v>1</v>
      </c>
      <c r="AW9" s="328" t="s">
        <v>228</v>
      </c>
      <c r="AX9" s="329">
        <v>1</v>
      </c>
      <c r="AZ9" s="328" t="s">
        <v>74</v>
      </c>
      <c r="BA9" s="329">
        <v>434305.84</v>
      </c>
      <c r="BC9" s="328" t="s">
        <v>228</v>
      </c>
      <c r="BD9" s="329">
        <v>1952460.71</v>
      </c>
      <c r="BF9" s="328" t="s">
        <v>42</v>
      </c>
      <c r="BG9" s="329">
        <v>1</v>
      </c>
      <c r="BI9" s="328" t="s">
        <v>300</v>
      </c>
      <c r="BJ9" s="329">
        <v>1</v>
      </c>
      <c r="BL9" s="328" t="s">
        <v>42</v>
      </c>
      <c r="BM9" s="329">
        <v>50000</v>
      </c>
      <c r="BO9" s="328" t="s">
        <v>300</v>
      </c>
      <c r="BP9" s="329">
        <v>23600</v>
      </c>
      <c r="BR9" s="328" t="s">
        <v>57</v>
      </c>
      <c r="BS9" s="329">
        <v>1</v>
      </c>
      <c r="BU9" s="328" t="s">
        <v>245</v>
      </c>
      <c r="BV9" s="329">
        <v>1</v>
      </c>
      <c r="BX9" s="328" t="s">
        <v>70</v>
      </c>
      <c r="BY9" s="329">
        <v>1</v>
      </c>
      <c r="CA9" s="328" t="s">
        <v>188</v>
      </c>
      <c r="CB9" s="329">
        <v>1</v>
      </c>
    </row>
    <row r="10" spans="1:81">
      <c r="A10" s="328" t="s">
        <v>135</v>
      </c>
      <c r="B10" s="329">
        <v>1</v>
      </c>
      <c r="D10" s="328" t="s">
        <v>212</v>
      </c>
      <c r="E10" s="329">
        <v>1</v>
      </c>
      <c r="G10" s="328" t="s">
        <v>212</v>
      </c>
      <c r="H10" s="329">
        <v>697746</v>
      </c>
      <c r="J10" s="328" t="s">
        <v>135</v>
      </c>
      <c r="K10" s="329">
        <v>98295.8</v>
      </c>
      <c r="M10" s="328" t="s">
        <v>212</v>
      </c>
      <c r="N10" s="329">
        <v>697746</v>
      </c>
      <c r="P10" s="328" t="s">
        <v>90</v>
      </c>
      <c r="Q10" s="329">
        <v>1</v>
      </c>
      <c r="S10" s="328" t="s">
        <v>139</v>
      </c>
      <c r="T10" s="329">
        <v>1</v>
      </c>
      <c r="V10" s="328" t="s">
        <v>21</v>
      </c>
      <c r="W10" s="329">
        <v>1</v>
      </c>
      <c r="Y10" s="328" t="s">
        <v>212</v>
      </c>
      <c r="Z10" s="329">
        <v>1</v>
      </c>
      <c r="AB10" s="328" t="s">
        <v>21</v>
      </c>
      <c r="AC10" s="329">
        <v>1778400</v>
      </c>
      <c r="AE10" s="328" t="s">
        <v>212</v>
      </c>
      <c r="AF10" s="329">
        <v>697746</v>
      </c>
      <c r="AH10" s="328" t="s">
        <v>131</v>
      </c>
      <c r="AI10" s="329">
        <v>1</v>
      </c>
      <c r="AK10" s="328" t="s">
        <v>345</v>
      </c>
      <c r="AL10" s="329">
        <v>1</v>
      </c>
      <c r="AN10" s="328" t="s">
        <v>131</v>
      </c>
      <c r="AO10" s="329">
        <v>11160</v>
      </c>
      <c r="AQ10" s="328" t="s">
        <v>345</v>
      </c>
      <c r="AR10" s="329">
        <v>30044.77</v>
      </c>
      <c r="AT10" s="328" t="s">
        <v>72</v>
      </c>
      <c r="AU10" s="329">
        <v>1</v>
      </c>
      <c r="AW10" s="328" t="s">
        <v>162</v>
      </c>
      <c r="AX10" s="329">
        <v>1</v>
      </c>
      <c r="AZ10" s="328" t="s">
        <v>72</v>
      </c>
      <c r="BA10" s="329">
        <v>1538000</v>
      </c>
      <c r="BC10" s="328" t="s">
        <v>162</v>
      </c>
      <c r="BD10" s="329">
        <v>798231</v>
      </c>
      <c r="BF10" s="328" t="s">
        <v>48</v>
      </c>
      <c r="BG10" s="329">
        <v>1</v>
      </c>
      <c r="BI10" s="328" t="s">
        <v>415</v>
      </c>
      <c r="BJ10" s="329">
        <v>1</v>
      </c>
      <c r="BL10" s="328" t="s">
        <v>48</v>
      </c>
      <c r="BM10" s="329">
        <v>17473</v>
      </c>
      <c r="BO10" s="328" t="s">
        <v>415</v>
      </c>
      <c r="BP10" s="329">
        <v>92601</v>
      </c>
      <c r="BR10" s="328" t="s">
        <v>121</v>
      </c>
      <c r="BS10" s="329">
        <v>1</v>
      </c>
      <c r="BU10" s="328" t="s">
        <v>247</v>
      </c>
      <c r="BV10" s="329">
        <v>1</v>
      </c>
      <c r="BX10" s="328" t="s">
        <v>200</v>
      </c>
      <c r="BY10" s="329">
        <v>1</v>
      </c>
      <c r="CA10" s="328" t="s">
        <v>214</v>
      </c>
      <c r="CB10" s="329">
        <v>1</v>
      </c>
    </row>
    <row r="11" spans="1:81">
      <c r="A11" s="328" t="s">
        <v>31</v>
      </c>
      <c r="B11" s="329">
        <v>1</v>
      </c>
      <c r="D11" s="328" t="s">
        <v>204</v>
      </c>
      <c r="E11" s="329">
        <v>1</v>
      </c>
      <c r="G11" s="328" t="s">
        <v>204</v>
      </c>
      <c r="H11" s="329">
        <v>1436816.34</v>
      </c>
      <c r="J11" s="328" t="s">
        <v>31</v>
      </c>
      <c r="K11" s="329">
        <v>171111.52</v>
      </c>
      <c r="M11" s="328" t="s">
        <v>204</v>
      </c>
      <c r="N11" s="329">
        <v>1436816.34</v>
      </c>
      <c r="P11" s="328" t="s">
        <v>135</v>
      </c>
      <c r="Q11" s="329"/>
      <c r="S11" s="328" t="s">
        <v>212</v>
      </c>
      <c r="T11" s="329">
        <v>1</v>
      </c>
      <c r="V11" s="328" t="s">
        <v>37</v>
      </c>
      <c r="W11" s="329">
        <v>1</v>
      </c>
      <c r="Y11" s="328" t="s">
        <v>204</v>
      </c>
      <c r="Z11" s="329">
        <v>1</v>
      </c>
      <c r="AB11" s="328" t="s">
        <v>37</v>
      </c>
      <c r="AC11" s="329">
        <v>33480720</v>
      </c>
      <c r="AE11" s="328" t="s">
        <v>204</v>
      </c>
      <c r="AF11" s="329">
        <v>1436816.34</v>
      </c>
      <c r="AH11" s="328" t="s">
        <v>64</v>
      </c>
      <c r="AI11" s="329">
        <v>1</v>
      </c>
      <c r="AK11" s="330" t="s">
        <v>384</v>
      </c>
      <c r="AL11" s="331">
        <v>1</v>
      </c>
      <c r="AN11" s="328" t="s">
        <v>64</v>
      </c>
      <c r="AO11" s="329">
        <v>53179.5</v>
      </c>
      <c r="AQ11" s="330" t="s">
        <v>384</v>
      </c>
      <c r="AR11" s="331">
        <v>1361</v>
      </c>
      <c r="AT11" s="328" t="s">
        <v>110</v>
      </c>
      <c r="AU11" s="329">
        <v>1</v>
      </c>
      <c r="AW11" s="328" t="s">
        <v>385</v>
      </c>
      <c r="AX11" s="329">
        <v>1</v>
      </c>
      <c r="AZ11" s="328" t="s">
        <v>110</v>
      </c>
      <c r="BA11" s="329">
        <v>113526</v>
      </c>
      <c r="BC11" s="328" t="s">
        <v>385</v>
      </c>
      <c r="BD11" s="329">
        <v>3965128</v>
      </c>
      <c r="BF11" s="328" t="s">
        <v>96</v>
      </c>
      <c r="BG11" s="329">
        <v>1</v>
      </c>
      <c r="BI11" s="328" t="s">
        <v>52</v>
      </c>
      <c r="BJ11" s="329">
        <v>1</v>
      </c>
      <c r="BL11" s="328" t="s">
        <v>96</v>
      </c>
      <c r="BM11" s="329">
        <v>2862</v>
      </c>
      <c r="BO11" s="328" t="s">
        <v>52</v>
      </c>
      <c r="BP11" s="329">
        <v>292600</v>
      </c>
      <c r="BR11" s="328" t="s">
        <v>168</v>
      </c>
      <c r="BS11" s="329">
        <v>1</v>
      </c>
      <c r="BU11" s="328" t="s">
        <v>316</v>
      </c>
      <c r="BV11" s="329">
        <v>1</v>
      </c>
      <c r="BX11" s="328" t="s">
        <v>74</v>
      </c>
      <c r="BY11" s="329">
        <v>1</v>
      </c>
      <c r="CA11" s="328" t="s">
        <v>176</v>
      </c>
      <c r="CB11" s="329">
        <v>1</v>
      </c>
    </row>
    <row r="12" spans="1:81">
      <c r="A12" s="328" t="s">
        <v>45</v>
      </c>
      <c r="B12" s="329">
        <v>1</v>
      </c>
      <c r="D12" s="328" t="s">
        <v>198</v>
      </c>
      <c r="E12" s="329">
        <v>1</v>
      </c>
      <c r="G12" s="328" t="s">
        <v>210</v>
      </c>
      <c r="H12" s="329">
        <v>2192989.56</v>
      </c>
      <c r="J12" s="328" t="s">
        <v>45</v>
      </c>
      <c r="K12" s="329">
        <v>233.25</v>
      </c>
      <c r="M12" s="328" t="s">
        <v>198</v>
      </c>
      <c r="N12" s="329">
        <v>8432255.9100000001</v>
      </c>
      <c r="P12" s="328" t="s">
        <v>31</v>
      </c>
      <c r="Q12" s="329">
        <v>1</v>
      </c>
      <c r="S12" s="328" t="s">
        <v>204</v>
      </c>
      <c r="T12" s="329">
        <v>1</v>
      </c>
      <c r="V12" s="330" t="s">
        <v>108</v>
      </c>
      <c r="W12" s="331">
        <v>1</v>
      </c>
      <c r="Y12" s="328" t="s">
        <v>198</v>
      </c>
      <c r="Z12" s="329">
        <v>1</v>
      </c>
      <c r="AB12" s="330" t="s">
        <v>108</v>
      </c>
      <c r="AC12" s="331">
        <v>144046.09</v>
      </c>
      <c r="AE12" s="328" t="s">
        <v>198</v>
      </c>
      <c r="AF12" s="329">
        <v>8432255.9100000001</v>
      </c>
      <c r="AH12" s="328" t="s">
        <v>16</v>
      </c>
      <c r="AI12" s="329">
        <v>1</v>
      </c>
      <c r="AN12" s="328" t="s">
        <v>16</v>
      </c>
      <c r="AO12" s="329">
        <v>10560</v>
      </c>
      <c r="AT12" s="328" t="s">
        <v>143</v>
      </c>
      <c r="AU12" s="329">
        <v>1</v>
      </c>
      <c r="AW12" s="328" t="s">
        <v>334</v>
      </c>
      <c r="AX12" s="329">
        <v>1</v>
      </c>
      <c r="AZ12" s="328" t="s">
        <v>143</v>
      </c>
      <c r="BA12" s="329">
        <v>147814.9</v>
      </c>
      <c r="BC12" s="328" t="s">
        <v>334</v>
      </c>
      <c r="BD12" s="329">
        <v>990000</v>
      </c>
      <c r="BF12" s="328" t="s">
        <v>100</v>
      </c>
      <c r="BG12" s="329">
        <v>1</v>
      </c>
      <c r="BI12" s="328" t="s">
        <v>166</v>
      </c>
      <c r="BJ12" s="329">
        <v>1</v>
      </c>
      <c r="BL12" s="328" t="s">
        <v>100</v>
      </c>
      <c r="BM12" s="329">
        <v>99500.4</v>
      </c>
      <c r="BO12" s="328" t="s">
        <v>166</v>
      </c>
      <c r="BP12" s="329">
        <v>7650</v>
      </c>
      <c r="BR12" s="328" t="s">
        <v>154</v>
      </c>
      <c r="BS12" s="329">
        <v>1</v>
      </c>
      <c r="BU12" s="328" t="s">
        <v>297</v>
      </c>
      <c r="BV12" s="329">
        <v>1</v>
      </c>
      <c r="BX12" s="328" t="s">
        <v>72</v>
      </c>
      <c r="BY12" s="329">
        <v>1</v>
      </c>
      <c r="CA12" s="328" t="s">
        <v>415</v>
      </c>
      <c r="CB12" s="329">
        <v>1</v>
      </c>
    </row>
    <row r="13" spans="1:81">
      <c r="A13" s="328" t="s">
        <v>114</v>
      </c>
      <c r="B13" s="329">
        <v>1</v>
      </c>
      <c r="D13" s="328" t="s">
        <v>188</v>
      </c>
      <c r="E13" s="329">
        <v>1</v>
      </c>
      <c r="G13" s="328" t="s">
        <v>198</v>
      </c>
      <c r="H13" s="329">
        <v>8432255.9100000001</v>
      </c>
      <c r="J13" s="328" t="s">
        <v>114</v>
      </c>
      <c r="K13" s="329">
        <v>838189.8</v>
      </c>
      <c r="M13" s="328" t="s">
        <v>188</v>
      </c>
      <c r="N13" s="329">
        <v>5922423.1200000001</v>
      </c>
      <c r="P13" s="328" t="s">
        <v>45</v>
      </c>
      <c r="Q13" s="329"/>
      <c r="S13" s="328" t="s">
        <v>198</v>
      </c>
      <c r="T13" s="329">
        <v>1</v>
      </c>
      <c r="Y13" s="328" t="s">
        <v>188</v>
      </c>
      <c r="Z13" s="329">
        <v>1</v>
      </c>
      <c r="AE13" s="328" t="s">
        <v>188</v>
      </c>
      <c r="AF13" s="329">
        <v>5922423.1200000001</v>
      </c>
      <c r="AH13" s="328" t="s">
        <v>66</v>
      </c>
      <c r="AI13" s="329">
        <v>1</v>
      </c>
      <c r="AN13" s="328" t="s">
        <v>66</v>
      </c>
      <c r="AO13" s="329">
        <v>51776</v>
      </c>
      <c r="AT13" s="330" t="s">
        <v>368</v>
      </c>
      <c r="AU13" s="331">
        <v>1</v>
      </c>
      <c r="AW13" s="328" t="s">
        <v>436</v>
      </c>
      <c r="AX13" s="329">
        <v>1</v>
      </c>
      <c r="AZ13" s="330" t="s">
        <v>368</v>
      </c>
      <c r="BA13" s="331">
        <v>1036731.47</v>
      </c>
      <c r="BC13" s="328" t="s">
        <v>436</v>
      </c>
      <c r="BD13" s="329">
        <v>325000</v>
      </c>
      <c r="BF13" s="328" t="s">
        <v>92</v>
      </c>
      <c r="BG13" s="329">
        <v>1</v>
      </c>
      <c r="BI13" s="328" t="s">
        <v>124</v>
      </c>
      <c r="BJ13" s="329">
        <v>1</v>
      </c>
      <c r="BL13" s="328" t="s">
        <v>92</v>
      </c>
      <c r="BM13" s="329">
        <v>3078.15</v>
      </c>
      <c r="BO13" s="328" t="s">
        <v>124</v>
      </c>
      <c r="BP13" s="329">
        <v>835200</v>
      </c>
      <c r="BR13" s="328" t="s">
        <v>173</v>
      </c>
      <c r="BS13" s="329">
        <v>1</v>
      </c>
      <c r="BU13" s="328" t="s">
        <v>320</v>
      </c>
      <c r="BV13" s="329">
        <v>1</v>
      </c>
      <c r="BX13" s="328" t="s">
        <v>110</v>
      </c>
      <c r="BY13" s="329">
        <v>1</v>
      </c>
      <c r="CA13" s="328" t="s">
        <v>33</v>
      </c>
      <c r="CB13" s="329">
        <v>1</v>
      </c>
    </row>
    <row r="14" spans="1:81">
      <c r="A14" s="328" t="s">
        <v>126</v>
      </c>
      <c r="B14" s="329">
        <v>1</v>
      </c>
      <c r="D14" s="328" t="s">
        <v>193</v>
      </c>
      <c r="E14" s="329">
        <v>1</v>
      </c>
      <c r="G14" s="328" t="s">
        <v>150</v>
      </c>
      <c r="H14" s="329">
        <v>9301.9500000000007</v>
      </c>
      <c r="J14" s="328" t="s">
        <v>126</v>
      </c>
      <c r="K14" s="329">
        <v>4504</v>
      </c>
      <c r="M14" s="328" t="s">
        <v>193</v>
      </c>
      <c r="N14" s="329">
        <v>7879099.6699999999</v>
      </c>
      <c r="P14" s="328" t="s">
        <v>114</v>
      </c>
      <c r="Q14" s="329"/>
      <c r="S14" s="328" t="s">
        <v>188</v>
      </c>
      <c r="T14" s="329"/>
      <c r="Y14" s="328" t="s">
        <v>193</v>
      </c>
      <c r="Z14" s="329">
        <v>1</v>
      </c>
      <c r="AE14" s="328" t="s">
        <v>193</v>
      </c>
      <c r="AF14" s="329">
        <v>7879099.6699999999</v>
      </c>
      <c r="AH14" s="328" t="s">
        <v>68</v>
      </c>
      <c r="AI14" s="329">
        <v>1</v>
      </c>
      <c r="AN14" s="328" t="s">
        <v>68</v>
      </c>
      <c r="AO14" s="329">
        <v>16271.44</v>
      </c>
      <c r="AW14" s="328" t="s">
        <v>428</v>
      </c>
      <c r="AX14" s="329">
        <v>1</v>
      </c>
      <c r="BC14" s="328" t="s">
        <v>428</v>
      </c>
      <c r="BD14" s="329">
        <v>8465785</v>
      </c>
      <c r="BF14" s="328" t="s">
        <v>112</v>
      </c>
      <c r="BG14" s="329">
        <v>1</v>
      </c>
      <c r="BI14" s="328" t="s">
        <v>145</v>
      </c>
      <c r="BJ14" s="329">
        <v>1</v>
      </c>
      <c r="BL14" s="328" t="s">
        <v>112</v>
      </c>
      <c r="BM14" s="329">
        <v>16234</v>
      </c>
      <c r="BO14" s="328" t="s">
        <v>145</v>
      </c>
      <c r="BP14" s="329">
        <v>18161.650000000001</v>
      </c>
      <c r="BR14" s="328" t="s">
        <v>269</v>
      </c>
      <c r="BS14" s="329">
        <v>1</v>
      </c>
      <c r="BU14" s="328" t="s">
        <v>323</v>
      </c>
      <c r="BV14" s="329">
        <v>1</v>
      </c>
      <c r="BX14" s="328" t="s">
        <v>37</v>
      </c>
      <c r="BY14" s="329">
        <v>1</v>
      </c>
      <c r="CA14" s="328" t="s">
        <v>133</v>
      </c>
      <c r="CB14" s="329">
        <v>1</v>
      </c>
    </row>
    <row r="15" spans="1:81">
      <c r="A15" s="328" t="s">
        <v>42</v>
      </c>
      <c r="B15" s="329">
        <v>1</v>
      </c>
      <c r="D15" s="328" t="s">
        <v>214</v>
      </c>
      <c r="E15" s="329">
        <v>1</v>
      </c>
      <c r="G15" s="328" t="s">
        <v>188</v>
      </c>
      <c r="H15" s="329">
        <v>5922423.1200000001</v>
      </c>
      <c r="J15" s="328" t="s">
        <v>42</v>
      </c>
      <c r="K15" s="329">
        <v>50000</v>
      </c>
      <c r="M15" s="328" t="s">
        <v>214</v>
      </c>
      <c r="N15" s="329">
        <v>1439800</v>
      </c>
      <c r="P15" s="328" t="s">
        <v>126</v>
      </c>
      <c r="Q15" s="329"/>
      <c r="S15" s="328" t="s">
        <v>193</v>
      </c>
      <c r="T15" s="329">
        <v>1</v>
      </c>
      <c r="Y15" s="328" t="s">
        <v>214</v>
      </c>
      <c r="Z15" s="329">
        <v>1</v>
      </c>
      <c r="AE15" s="328" t="s">
        <v>214</v>
      </c>
      <c r="AF15" s="329">
        <v>1439800</v>
      </c>
      <c r="AH15" s="328" t="s">
        <v>253</v>
      </c>
      <c r="AI15" s="329">
        <v>1</v>
      </c>
      <c r="AN15" s="328" t="s">
        <v>253</v>
      </c>
      <c r="AO15" s="329">
        <v>5340</v>
      </c>
      <c r="AW15" s="328" t="s">
        <v>424</v>
      </c>
      <c r="AX15" s="329">
        <v>1</v>
      </c>
      <c r="BC15" s="328" t="s">
        <v>424</v>
      </c>
      <c r="BD15" s="329">
        <v>4417765.99</v>
      </c>
      <c r="BF15" s="328" t="s">
        <v>76</v>
      </c>
      <c r="BG15" s="329">
        <v>1</v>
      </c>
      <c r="BI15" s="328" t="s">
        <v>148</v>
      </c>
      <c r="BJ15" s="329">
        <v>1</v>
      </c>
      <c r="BL15" s="328" t="s">
        <v>76</v>
      </c>
      <c r="BM15" s="329">
        <v>6480</v>
      </c>
      <c r="BO15" s="328" t="s">
        <v>148</v>
      </c>
      <c r="BP15" s="329">
        <v>274500</v>
      </c>
      <c r="BR15" s="330" t="s">
        <v>440</v>
      </c>
      <c r="BS15" s="331">
        <v>1</v>
      </c>
      <c r="BU15" s="330" t="s">
        <v>355</v>
      </c>
      <c r="BV15" s="331">
        <v>1</v>
      </c>
      <c r="BX15" s="328" t="s">
        <v>143</v>
      </c>
      <c r="BY15" s="329">
        <v>1</v>
      </c>
      <c r="CA15" s="328" t="s">
        <v>128</v>
      </c>
      <c r="CB15" s="329">
        <v>1</v>
      </c>
    </row>
    <row r="16" spans="1:81">
      <c r="A16" s="328" t="s">
        <v>48</v>
      </c>
      <c r="B16" s="329">
        <v>1</v>
      </c>
      <c r="D16" s="328" t="s">
        <v>208</v>
      </c>
      <c r="E16" s="329">
        <v>1</v>
      </c>
      <c r="G16" s="328" t="s">
        <v>193</v>
      </c>
      <c r="H16" s="329">
        <v>7879099.6699999999</v>
      </c>
      <c r="J16" s="328" t="s">
        <v>48</v>
      </c>
      <c r="K16" s="329">
        <v>17473</v>
      </c>
      <c r="M16" s="328" t="s">
        <v>208</v>
      </c>
      <c r="N16" s="329">
        <v>4768676.76</v>
      </c>
      <c r="P16" s="328" t="s">
        <v>42</v>
      </c>
      <c r="Q16" s="329">
        <v>1</v>
      </c>
      <c r="S16" s="328" t="s">
        <v>214</v>
      </c>
      <c r="T16" s="329"/>
      <c r="Y16" s="328" t="s">
        <v>176</v>
      </c>
      <c r="Z16" s="329">
        <v>1</v>
      </c>
      <c r="AE16" s="328" t="s">
        <v>176</v>
      </c>
      <c r="AF16" s="329">
        <v>6793984.1699999999</v>
      </c>
      <c r="AH16" s="328" t="s">
        <v>117</v>
      </c>
      <c r="AI16" s="329">
        <v>1</v>
      </c>
      <c r="AN16" s="328" t="s">
        <v>117</v>
      </c>
      <c r="AO16" s="329">
        <v>7960</v>
      </c>
      <c r="AW16" s="330" t="s">
        <v>432</v>
      </c>
      <c r="AX16" s="331">
        <v>1</v>
      </c>
      <c r="BC16" s="330" t="s">
        <v>432</v>
      </c>
      <c r="BD16" s="331">
        <v>397000</v>
      </c>
      <c r="BF16" s="328" t="s">
        <v>98</v>
      </c>
      <c r="BG16" s="329">
        <v>1</v>
      </c>
      <c r="BI16" s="328" t="s">
        <v>156</v>
      </c>
      <c r="BJ16" s="329">
        <v>1</v>
      </c>
      <c r="BL16" s="328" t="s">
        <v>98</v>
      </c>
      <c r="BM16" s="329">
        <v>2847.5</v>
      </c>
      <c r="BO16" s="328" t="s">
        <v>156</v>
      </c>
      <c r="BP16" s="329">
        <v>69200</v>
      </c>
      <c r="BX16" s="328" t="s">
        <v>108</v>
      </c>
      <c r="BY16" s="329">
        <v>1</v>
      </c>
      <c r="CA16" s="328" t="s">
        <v>166</v>
      </c>
      <c r="CB16" s="329">
        <v>1</v>
      </c>
    </row>
    <row r="17" spans="1:80">
      <c r="A17" s="328" t="s">
        <v>24</v>
      </c>
      <c r="B17" s="329">
        <v>1</v>
      </c>
      <c r="D17" s="328" t="s">
        <v>176</v>
      </c>
      <c r="E17" s="329">
        <v>1</v>
      </c>
      <c r="G17" s="328" t="s">
        <v>214</v>
      </c>
      <c r="H17" s="329">
        <v>1439800</v>
      </c>
      <c r="J17" s="328" t="s">
        <v>24</v>
      </c>
      <c r="K17" s="329">
        <v>531310</v>
      </c>
      <c r="M17" s="328" t="s">
        <v>176</v>
      </c>
      <c r="N17" s="329">
        <v>6793984.1699999999</v>
      </c>
      <c r="P17" s="328" t="s">
        <v>48</v>
      </c>
      <c r="Q17" s="329">
        <v>1</v>
      </c>
      <c r="S17" s="328" t="s">
        <v>208</v>
      </c>
      <c r="T17" s="329">
        <v>1</v>
      </c>
      <c r="Y17" s="328" t="s">
        <v>164</v>
      </c>
      <c r="Z17" s="329">
        <v>1</v>
      </c>
      <c r="AE17" s="328" t="s">
        <v>164</v>
      </c>
      <c r="AF17" s="329">
        <v>121371.5</v>
      </c>
      <c r="AH17" s="328" t="s">
        <v>154</v>
      </c>
      <c r="AI17" s="329">
        <v>1</v>
      </c>
      <c r="AN17" s="328" t="s">
        <v>154</v>
      </c>
      <c r="AO17" s="329">
        <v>26808</v>
      </c>
      <c r="BF17" s="328" t="s">
        <v>94</v>
      </c>
      <c r="BG17" s="329">
        <v>1</v>
      </c>
      <c r="BI17" s="328" t="s">
        <v>182</v>
      </c>
      <c r="BJ17" s="329">
        <v>1</v>
      </c>
      <c r="BL17" s="328" t="s">
        <v>94</v>
      </c>
      <c r="BM17" s="329">
        <v>1301.9100000000001</v>
      </c>
      <c r="BO17" s="328" t="s">
        <v>182</v>
      </c>
      <c r="BP17" s="329">
        <v>30802722</v>
      </c>
      <c r="BX17" s="328" t="s">
        <v>443</v>
      </c>
      <c r="BY17" s="329">
        <v>1</v>
      </c>
      <c r="CA17" s="328" t="s">
        <v>35</v>
      </c>
      <c r="CB17" s="329">
        <v>1</v>
      </c>
    </row>
    <row r="18" spans="1:80">
      <c r="A18" s="328" t="s">
        <v>96</v>
      </c>
      <c r="B18" s="329">
        <v>1</v>
      </c>
      <c r="D18" s="328" t="s">
        <v>241</v>
      </c>
      <c r="E18" s="329">
        <v>1</v>
      </c>
      <c r="G18" s="328" t="s">
        <v>208</v>
      </c>
      <c r="H18" s="329">
        <v>4768676.76</v>
      </c>
      <c r="J18" s="328" t="s">
        <v>96</v>
      </c>
      <c r="K18" s="329">
        <v>2862</v>
      </c>
      <c r="M18" s="328" t="s">
        <v>241</v>
      </c>
      <c r="N18" s="329">
        <v>465017.4</v>
      </c>
      <c r="P18" s="328" t="s">
        <v>24</v>
      </c>
      <c r="Q18" s="329"/>
      <c r="S18" s="328" t="s">
        <v>176</v>
      </c>
      <c r="T18" s="329"/>
      <c r="Y18" s="328" t="s">
        <v>33</v>
      </c>
      <c r="Z18" s="329">
        <v>1</v>
      </c>
      <c r="AE18" s="328" t="s">
        <v>33</v>
      </c>
      <c r="AF18" s="329">
        <v>193026.4</v>
      </c>
      <c r="AH18" s="328" t="s">
        <v>152</v>
      </c>
      <c r="AI18" s="329">
        <v>1</v>
      </c>
      <c r="AN18" s="328" t="s">
        <v>152</v>
      </c>
      <c r="AO18" s="329">
        <v>8059.06</v>
      </c>
      <c r="BF18" s="328" t="s">
        <v>78</v>
      </c>
      <c r="BG18" s="329">
        <v>1</v>
      </c>
      <c r="BI18" s="328" t="s">
        <v>171</v>
      </c>
      <c r="BJ18" s="329">
        <v>1</v>
      </c>
      <c r="BL18" s="328" t="s">
        <v>78</v>
      </c>
      <c r="BM18" s="329">
        <v>25816.46</v>
      </c>
      <c r="BO18" s="328" t="s">
        <v>171</v>
      </c>
      <c r="BP18" s="329">
        <v>150480</v>
      </c>
      <c r="BX18" s="328" t="s">
        <v>285</v>
      </c>
      <c r="BY18" s="329">
        <v>1</v>
      </c>
      <c r="CA18" s="328" t="s">
        <v>28</v>
      </c>
      <c r="CB18" s="329">
        <v>1</v>
      </c>
    </row>
    <row r="19" spans="1:80">
      <c r="A19" s="328" t="s">
        <v>70</v>
      </c>
      <c r="B19" s="329">
        <v>1</v>
      </c>
      <c r="D19" s="328" t="s">
        <v>180</v>
      </c>
      <c r="E19" s="329">
        <v>1</v>
      </c>
      <c r="G19" s="328" t="s">
        <v>190</v>
      </c>
      <c r="H19" s="329">
        <v>29093</v>
      </c>
      <c r="J19" s="328" t="s">
        <v>70</v>
      </c>
      <c r="K19" s="329">
        <v>360551.24</v>
      </c>
      <c r="M19" s="328" t="s">
        <v>180</v>
      </c>
      <c r="N19" s="329">
        <v>40970</v>
      </c>
      <c r="P19" s="328" t="s">
        <v>96</v>
      </c>
      <c r="Q19" s="329">
        <v>1</v>
      </c>
      <c r="S19" s="328" t="s">
        <v>241</v>
      </c>
      <c r="T19" s="329">
        <v>1</v>
      </c>
      <c r="Y19" s="328" t="s">
        <v>133</v>
      </c>
      <c r="Z19" s="329">
        <v>1</v>
      </c>
      <c r="AE19" s="328" t="s">
        <v>133</v>
      </c>
      <c r="AF19" s="329">
        <v>152155.20000000001</v>
      </c>
      <c r="AH19" s="328" t="s">
        <v>255</v>
      </c>
      <c r="AI19" s="329">
        <v>1</v>
      </c>
      <c r="AN19" s="328" t="s">
        <v>255</v>
      </c>
      <c r="AO19" s="329">
        <v>19954.560000000001</v>
      </c>
      <c r="BF19" s="328" t="s">
        <v>50</v>
      </c>
      <c r="BG19" s="329">
        <v>1</v>
      </c>
      <c r="BI19" s="328" t="s">
        <v>219</v>
      </c>
      <c r="BJ19" s="329">
        <v>1</v>
      </c>
      <c r="BL19" s="328" t="s">
        <v>50</v>
      </c>
      <c r="BM19" s="329">
        <v>68276.399999999994</v>
      </c>
      <c r="BO19" s="328" t="s">
        <v>219</v>
      </c>
      <c r="BP19" s="329">
        <v>255509.8</v>
      </c>
      <c r="BX19" s="328" t="s">
        <v>287</v>
      </c>
      <c r="BY19" s="329">
        <v>1</v>
      </c>
      <c r="CA19" s="328" t="s">
        <v>39</v>
      </c>
      <c r="CB19" s="329">
        <v>1</v>
      </c>
    </row>
    <row r="20" spans="1:80">
      <c r="A20" s="328" t="s">
        <v>102</v>
      </c>
      <c r="B20" s="329">
        <v>1</v>
      </c>
      <c r="D20" s="328" t="s">
        <v>302</v>
      </c>
      <c r="E20" s="329">
        <v>1</v>
      </c>
      <c r="G20" s="328" t="s">
        <v>176</v>
      </c>
      <c r="H20" s="329">
        <v>6793984.1699999999</v>
      </c>
      <c r="J20" s="328" t="s">
        <v>102</v>
      </c>
      <c r="K20" s="329">
        <v>2600</v>
      </c>
      <c r="M20" s="328" t="s">
        <v>302</v>
      </c>
      <c r="N20" s="329">
        <v>21711.599999999999</v>
      </c>
      <c r="P20" s="328" t="s">
        <v>70</v>
      </c>
      <c r="Q20" s="329"/>
      <c r="S20" s="328" t="s">
        <v>180</v>
      </c>
      <c r="T20" s="329">
        <v>1</v>
      </c>
      <c r="Y20" s="328" t="s">
        <v>35</v>
      </c>
      <c r="Z20" s="329">
        <v>1</v>
      </c>
      <c r="AE20" s="328" t="s">
        <v>35</v>
      </c>
      <c r="AF20" s="329">
        <v>85981.41</v>
      </c>
      <c r="AH20" s="328" t="s">
        <v>266</v>
      </c>
      <c r="AI20" s="329">
        <v>1</v>
      </c>
      <c r="AN20" s="328" t="s">
        <v>266</v>
      </c>
      <c r="AO20" s="329">
        <v>44054</v>
      </c>
      <c r="BF20" s="328" t="s">
        <v>137</v>
      </c>
      <c r="BG20" s="329">
        <v>1</v>
      </c>
      <c r="BI20" s="328" t="s">
        <v>184</v>
      </c>
      <c r="BJ20" s="329">
        <v>1</v>
      </c>
      <c r="BL20" s="328" t="s">
        <v>137</v>
      </c>
      <c r="BM20" s="329">
        <v>22453.8</v>
      </c>
      <c r="BO20" s="328" t="s">
        <v>184</v>
      </c>
      <c r="BP20" s="329">
        <v>104850</v>
      </c>
      <c r="BX20" s="328" t="s">
        <v>283</v>
      </c>
      <c r="BY20" s="329">
        <v>1</v>
      </c>
      <c r="CA20" s="328" t="s">
        <v>186</v>
      </c>
      <c r="CB20" s="329">
        <v>1</v>
      </c>
    </row>
    <row r="21" spans="1:80">
      <c r="A21" s="328" t="s">
        <v>100</v>
      </c>
      <c r="B21" s="329">
        <v>1</v>
      </c>
      <c r="D21" s="328" t="s">
        <v>300</v>
      </c>
      <c r="E21" s="329">
        <v>1</v>
      </c>
      <c r="G21" s="328" t="s">
        <v>241</v>
      </c>
      <c r="H21" s="329">
        <v>465017.4</v>
      </c>
      <c r="J21" s="328" t="s">
        <v>100</v>
      </c>
      <c r="K21" s="329">
        <v>99500.4</v>
      </c>
      <c r="M21" s="328" t="s">
        <v>300</v>
      </c>
      <c r="N21" s="329">
        <v>23600</v>
      </c>
      <c r="P21" s="328" t="s">
        <v>102</v>
      </c>
      <c r="Q21" s="329">
        <v>1</v>
      </c>
      <c r="S21" s="328" t="s">
        <v>302</v>
      </c>
      <c r="T21" s="329">
        <v>1</v>
      </c>
      <c r="Y21" s="328" t="s">
        <v>186</v>
      </c>
      <c r="Z21" s="329">
        <v>1</v>
      </c>
      <c r="AE21" s="328" t="s">
        <v>186</v>
      </c>
      <c r="AF21" s="329">
        <v>4382364</v>
      </c>
      <c r="AH21" s="328" t="s">
        <v>280</v>
      </c>
      <c r="AI21" s="329">
        <v>1</v>
      </c>
      <c r="AN21" s="328" t="s">
        <v>280</v>
      </c>
      <c r="AO21" s="329">
        <v>5600</v>
      </c>
      <c r="BF21" s="328" t="s">
        <v>88</v>
      </c>
      <c r="BG21" s="329">
        <v>1</v>
      </c>
      <c r="BI21" s="328" t="s">
        <v>195</v>
      </c>
      <c r="BJ21" s="329">
        <v>1</v>
      </c>
      <c r="BL21" s="328" t="s">
        <v>88</v>
      </c>
      <c r="BM21" s="329">
        <v>11757.8</v>
      </c>
      <c r="BO21" s="328" t="s">
        <v>195</v>
      </c>
      <c r="BP21" s="329">
        <v>579575.06000000006</v>
      </c>
      <c r="BX21" s="328" t="s">
        <v>445</v>
      </c>
      <c r="BY21" s="329">
        <v>1</v>
      </c>
      <c r="CA21" s="328" t="s">
        <v>228</v>
      </c>
      <c r="CB21" s="329">
        <v>1</v>
      </c>
    </row>
    <row r="22" spans="1:80">
      <c r="A22" s="328" t="s">
        <v>92</v>
      </c>
      <c r="B22" s="329">
        <v>1</v>
      </c>
      <c r="D22" s="328" t="s">
        <v>415</v>
      </c>
      <c r="E22" s="329">
        <v>1</v>
      </c>
      <c r="G22" s="328" t="s">
        <v>180</v>
      </c>
      <c r="H22" s="329">
        <v>40970</v>
      </c>
      <c r="J22" s="328" t="s">
        <v>92</v>
      </c>
      <c r="K22" s="329">
        <v>3078.15</v>
      </c>
      <c r="M22" s="328" t="s">
        <v>415</v>
      </c>
      <c r="N22" s="329">
        <v>92601</v>
      </c>
      <c r="P22" s="328" t="s">
        <v>100</v>
      </c>
      <c r="Q22" s="329">
        <v>1</v>
      </c>
      <c r="S22" s="328" t="s">
        <v>300</v>
      </c>
      <c r="T22" s="329">
        <v>1</v>
      </c>
      <c r="Y22" s="328" t="s">
        <v>258</v>
      </c>
      <c r="Z22" s="329">
        <v>1</v>
      </c>
      <c r="AE22" s="328" t="s">
        <v>258</v>
      </c>
      <c r="AF22" s="329">
        <v>176179.26</v>
      </c>
      <c r="AH22" s="328" t="s">
        <v>332</v>
      </c>
      <c r="AI22" s="329">
        <v>1</v>
      </c>
      <c r="AN22" s="328" t="s">
        <v>332</v>
      </c>
      <c r="AO22" s="329">
        <v>49913.69</v>
      </c>
      <c r="BF22" s="328" t="s">
        <v>80</v>
      </c>
      <c r="BG22" s="329">
        <v>1</v>
      </c>
      <c r="BI22" s="328" t="s">
        <v>206</v>
      </c>
      <c r="BJ22" s="329">
        <v>1</v>
      </c>
      <c r="BL22" s="328" t="s">
        <v>80</v>
      </c>
      <c r="BM22" s="329">
        <v>4666</v>
      </c>
      <c r="BO22" s="328" t="s">
        <v>206</v>
      </c>
      <c r="BP22" s="329">
        <v>83360</v>
      </c>
      <c r="BX22" s="328" t="s">
        <v>293</v>
      </c>
      <c r="BY22" s="329">
        <v>1</v>
      </c>
      <c r="CA22" s="328" t="s">
        <v>124</v>
      </c>
      <c r="CB22" s="329">
        <v>1</v>
      </c>
    </row>
    <row r="23" spans="1:80">
      <c r="A23" s="328" t="s">
        <v>112</v>
      </c>
      <c r="B23" s="329">
        <v>1</v>
      </c>
      <c r="D23" s="328" t="s">
        <v>164</v>
      </c>
      <c r="E23" s="329">
        <v>1</v>
      </c>
      <c r="G23" s="328" t="s">
        <v>302</v>
      </c>
      <c r="H23" s="329">
        <v>21711.599999999999</v>
      </c>
      <c r="J23" s="328" t="s">
        <v>112</v>
      </c>
      <c r="K23" s="329">
        <v>16234</v>
      </c>
      <c r="M23" s="328" t="s">
        <v>164</v>
      </c>
      <c r="N23" s="329">
        <v>121371.5</v>
      </c>
      <c r="P23" s="328" t="s">
        <v>92</v>
      </c>
      <c r="Q23" s="329">
        <v>1</v>
      </c>
      <c r="S23" s="328" t="s">
        <v>415</v>
      </c>
      <c r="T23" s="329"/>
      <c r="Y23" s="328" t="s">
        <v>217</v>
      </c>
      <c r="Z23" s="329">
        <v>1</v>
      </c>
      <c r="AE23" s="328" t="s">
        <v>217</v>
      </c>
      <c r="AF23" s="329">
        <v>87471</v>
      </c>
      <c r="AH23" s="328" t="s">
        <v>364</v>
      </c>
      <c r="AI23" s="329">
        <v>1</v>
      </c>
      <c r="AN23" s="328" t="s">
        <v>364</v>
      </c>
      <c r="AO23" s="329">
        <v>24981.91</v>
      </c>
      <c r="BF23" s="328" t="s">
        <v>86</v>
      </c>
      <c r="BG23" s="329">
        <v>1</v>
      </c>
      <c r="BI23" s="328" t="s">
        <v>251</v>
      </c>
      <c r="BJ23" s="329">
        <v>1</v>
      </c>
      <c r="BL23" s="328" t="s">
        <v>86</v>
      </c>
      <c r="BM23" s="329">
        <v>1631.75</v>
      </c>
      <c r="BO23" s="328" t="s">
        <v>251</v>
      </c>
      <c r="BP23" s="329">
        <v>284631.71000000002</v>
      </c>
      <c r="BX23" s="328" t="s">
        <v>295</v>
      </c>
      <c r="BY23" s="329">
        <v>1</v>
      </c>
      <c r="CA23" s="328" t="s">
        <v>258</v>
      </c>
      <c r="CB23" s="329">
        <v>1</v>
      </c>
    </row>
    <row r="24" spans="1:80">
      <c r="A24" s="328" t="s">
        <v>131</v>
      </c>
      <c r="B24" s="329">
        <v>1</v>
      </c>
      <c r="D24" s="328" t="s">
        <v>33</v>
      </c>
      <c r="E24" s="329">
        <v>1</v>
      </c>
      <c r="G24" s="328" t="s">
        <v>300</v>
      </c>
      <c r="H24" s="329">
        <v>23600</v>
      </c>
      <c r="J24" s="328" t="s">
        <v>131</v>
      </c>
      <c r="K24" s="329">
        <v>11160</v>
      </c>
      <c r="M24" s="328" t="s">
        <v>33</v>
      </c>
      <c r="N24" s="329">
        <v>193026.4</v>
      </c>
      <c r="P24" s="328" t="s">
        <v>112</v>
      </c>
      <c r="Q24" s="329">
        <v>1</v>
      </c>
      <c r="S24" s="328" t="s">
        <v>164</v>
      </c>
      <c r="T24" s="329"/>
      <c r="Y24" s="328" t="s">
        <v>316</v>
      </c>
      <c r="Z24" s="329">
        <v>1</v>
      </c>
      <c r="AE24" s="328" t="s">
        <v>316</v>
      </c>
      <c r="AF24" s="329">
        <v>1876357.8</v>
      </c>
      <c r="AH24" s="328" t="s">
        <v>358</v>
      </c>
      <c r="AI24" s="329">
        <v>1</v>
      </c>
      <c r="AN24" s="328" t="s">
        <v>358</v>
      </c>
      <c r="AO24" s="329">
        <v>9420</v>
      </c>
      <c r="BF24" s="328" t="s">
        <v>84</v>
      </c>
      <c r="BG24" s="329">
        <v>1</v>
      </c>
      <c r="BI24" s="328" t="s">
        <v>239</v>
      </c>
      <c r="BJ24" s="329">
        <v>1</v>
      </c>
      <c r="BL24" s="328" t="s">
        <v>84</v>
      </c>
      <c r="BM24" s="329">
        <v>976.92</v>
      </c>
      <c r="BO24" s="328" t="s">
        <v>239</v>
      </c>
      <c r="BP24" s="329">
        <v>208720</v>
      </c>
      <c r="BX24" s="328" t="s">
        <v>289</v>
      </c>
      <c r="BY24" s="329">
        <v>1</v>
      </c>
      <c r="CA24" s="328" t="s">
        <v>182</v>
      </c>
      <c r="CB24" s="329">
        <v>1</v>
      </c>
    </row>
    <row r="25" spans="1:80">
      <c r="A25" s="328" t="s">
        <v>76</v>
      </c>
      <c r="B25" s="329">
        <v>1</v>
      </c>
      <c r="D25" s="328" t="s">
        <v>133</v>
      </c>
      <c r="E25" s="329">
        <v>1</v>
      </c>
      <c r="G25" s="328" t="s">
        <v>415</v>
      </c>
      <c r="H25" s="329">
        <v>92601</v>
      </c>
      <c r="J25" s="328" t="s">
        <v>76</v>
      </c>
      <c r="K25" s="329">
        <v>6480</v>
      </c>
      <c r="M25" s="328" t="s">
        <v>133</v>
      </c>
      <c r="N25" s="329">
        <v>152155.20000000001</v>
      </c>
      <c r="P25" s="328" t="s">
        <v>131</v>
      </c>
      <c r="Q25" s="329"/>
      <c r="S25" s="328" t="s">
        <v>33</v>
      </c>
      <c r="T25" s="329"/>
      <c r="Y25" s="330" t="s">
        <v>401</v>
      </c>
      <c r="Z25" s="331">
        <v>1</v>
      </c>
      <c r="AE25" s="330" t="s">
        <v>401</v>
      </c>
      <c r="AF25" s="331">
        <v>493800</v>
      </c>
      <c r="AH25" s="328" t="s">
        <v>447</v>
      </c>
      <c r="AI25" s="329">
        <v>1</v>
      </c>
      <c r="AN25" s="328" t="s">
        <v>447</v>
      </c>
      <c r="AO25" s="329">
        <v>19800</v>
      </c>
      <c r="BF25" s="328" t="s">
        <v>200</v>
      </c>
      <c r="BG25" s="329">
        <v>1</v>
      </c>
      <c r="BI25" s="328" t="s">
        <v>224</v>
      </c>
      <c r="BJ25" s="329">
        <v>1</v>
      </c>
      <c r="BL25" s="328" t="s">
        <v>200</v>
      </c>
      <c r="BM25" s="329">
        <v>116360.88</v>
      </c>
      <c r="BO25" s="328" t="s">
        <v>224</v>
      </c>
      <c r="BP25" s="329">
        <v>2072</v>
      </c>
      <c r="BX25" s="328" t="s">
        <v>291</v>
      </c>
      <c r="BY25" s="329">
        <v>1</v>
      </c>
      <c r="CA25" s="328" t="s">
        <v>171</v>
      </c>
      <c r="CB25" s="329">
        <v>1</v>
      </c>
    </row>
    <row r="26" spans="1:80">
      <c r="A26" s="328" t="s">
        <v>98</v>
      </c>
      <c r="B26" s="329">
        <v>1</v>
      </c>
      <c r="D26" s="328" t="s">
        <v>128</v>
      </c>
      <c r="E26" s="329">
        <v>1</v>
      </c>
      <c r="G26" s="328" t="s">
        <v>262</v>
      </c>
      <c r="H26" s="329">
        <v>2817</v>
      </c>
      <c r="J26" s="328" t="s">
        <v>98</v>
      </c>
      <c r="K26" s="329">
        <v>2847.5</v>
      </c>
      <c r="M26" s="328" t="s">
        <v>128</v>
      </c>
      <c r="N26" s="329">
        <v>9904.2000000000007</v>
      </c>
      <c r="P26" s="328" t="s">
        <v>76</v>
      </c>
      <c r="Q26" s="329">
        <v>1</v>
      </c>
      <c r="S26" s="328" t="s">
        <v>133</v>
      </c>
      <c r="T26" s="329"/>
      <c r="AH26" s="330" t="s">
        <v>430</v>
      </c>
      <c r="AI26" s="331">
        <v>1</v>
      </c>
      <c r="AN26" s="330" t="s">
        <v>430</v>
      </c>
      <c r="AO26" s="331">
        <v>5500</v>
      </c>
      <c r="BF26" s="328" t="s">
        <v>82</v>
      </c>
      <c r="BG26" s="329">
        <v>1</v>
      </c>
      <c r="BI26" s="328" t="s">
        <v>245</v>
      </c>
      <c r="BJ26" s="329">
        <v>1</v>
      </c>
      <c r="BL26" s="328" t="s">
        <v>82</v>
      </c>
      <c r="BM26" s="329">
        <v>192</v>
      </c>
      <c r="BO26" s="328" t="s">
        <v>245</v>
      </c>
      <c r="BP26" s="329">
        <v>1650000</v>
      </c>
      <c r="BX26" s="328" t="s">
        <v>338</v>
      </c>
      <c r="BY26" s="329">
        <v>1</v>
      </c>
      <c r="CA26" s="328" t="s">
        <v>251</v>
      </c>
      <c r="CB26" s="329">
        <v>1</v>
      </c>
    </row>
    <row r="27" spans="1:80">
      <c r="A27" s="328" t="s">
        <v>94</v>
      </c>
      <c r="B27" s="329">
        <v>1</v>
      </c>
      <c r="D27" s="328" t="s">
        <v>52</v>
      </c>
      <c r="E27" s="329">
        <v>1</v>
      </c>
      <c r="G27" s="328" t="s">
        <v>164</v>
      </c>
      <c r="H27" s="329">
        <v>121371.5</v>
      </c>
      <c r="J27" s="328" t="s">
        <v>94</v>
      </c>
      <c r="K27" s="329">
        <v>1301.9100000000001</v>
      </c>
      <c r="M27" s="328" t="s">
        <v>52</v>
      </c>
      <c r="N27" s="329">
        <v>292600</v>
      </c>
      <c r="P27" s="328" t="s">
        <v>98</v>
      </c>
      <c r="Q27" s="329">
        <v>1</v>
      </c>
      <c r="S27" s="328" t="s">
        <v>128</v>
      </c>
      <c r="T27" s="329"/>
      <c r="BF27" s="328" t="s">
        <v>55</v>
      </c>
      <c r="BG27" s="329">
        <v>1</v>
      </c>
      <c r="BI27" s="328" t="s">
        <v>243</v>
      </c>
      <c r="BJ27" s="329">
        <v>1</v>
      </c>
      <c r="BL27" s="328" t="s">
        <v>55</v>
      </c>
      <c r="BM27" s="329">
        <v>19470</v>
      </c>
      <c r="BO27" s="328" t="s">
        <v>243</v>
      </c>
      <c r="BP27" s="329">
        <v>26700</v>
      </c>
      <c r="BX27" s="328" t="s">
        <v>360</v>
      </c>
      <c r="BY27" s="329">
        <v>1</v>
      </c>
      <c r="CA27" s="328" t="s">
        <v>217</v>
      </c>
      <c r="CB27" s="329">
        <v>1</v>
      </c>
    </row>
    <row r="28" spans="1:80">
      <c r="A28" s="328" t="s">
        <v>64</v>
      </c>
      <c r="B28" s="329">
        <v>1</v>
      </c>
      <c r="D28" s="328" t="s">
        <v>166</v>
      </c>
      <c r="E28" s="329">
        <v>1</v>
      </c>
      <c r="G28" s="328" t="s">
        <v>90</v>
      </c>
      <c r="H28" s="329">
        <v>7000</v>
      </c>
      <c r="J28" s="328" t="s">
        <v>64</v>
      </c>
      <c r="K28" s="329">
        <v>53179.5</v>
      </c>
      <c r="M28" s="328" t="s">
        <v>166</v>
      </c>
      <c r="N28" s="329">
        <v>7650</v>
      </c>
      <c r="P28" s="328" t="s">
        <v>94</v>
      </c>
      <c r="Q28" s="329">
        <v>1</v>
      </c>
      <c r="S28" s="328" t="s">
        <v>52</v>
      </c>
      <c r="T28" s="329">
        <v>1</v>
      </c>
      <c r="BF28" s="328" t="s">
        <v>61</v>
      </c>
      <c r="BG28" s="329">
        <v>1</v>
      </c>
      <c r="BI28" s="328" t="s">
        <v>247</v>
      </c>
      <c r="BJ28" s="329">
        <v>1</v>
      </c>
      <c r="BL28" s="328" t="s">
        <v>61</v>
      </c>
      <c r="BM28" s="329">
        <v>2375</v>
      </c>
      <c r="BO28" s="328" t="s">
        <v>247</v>
      </c>
      <c r="BP28" s="329">
        <v>1102063</v>
      </c>
      <c r="BX28" s="328" t="s">
        <v>249</v>
      </c>
      <c r="BY28" s="329">
        <v>1</v>
      </c>
      <c r="CA28" s="328" t="s">
        <v>239</v>
      </c>
      <c r="CB28" s="329">
        <v>1</v>
      </c>
    </row>
    <row r="29" spans="1:80">
      <c r="A29" s="328" t="s">
        <v>16</v>
      </c>
      <c r="B29" s="329">
        <v>1</v>
      </c>
      <c r="D29" s="328" t="s">
        <v>35</v>
      </c>
      <c r="E29" s="329">
        <v>1</v>
      </c>
      <c r="G29" s="328" t="s">
        <v>135</v>
      </c>
      <c r="H29" s="329">
        <v>98295.8</v>
      </c>
      <c r="J29" s="328" t="s">
        <v>16</v>
      </c>
      <c r="K29" s="329">
        <v>10560</v>
      </c>
      <c r="M29" s="328" t="s">
        <v>35</v>
      </c>
      <c r="N29" s="329">
        <v>85981.41</v>
      </c>
      <c r="P29" s="328" t="s">
        <v>64</v>
      </c>
      <c r="Q29" s="329">
        <v>1</v>
      </c>
      <c r="S29" s="328" t="s">
        <v>166</v>
      </c>
      <c r="T29" s="329"/>
      <c r="BF29" s="328" t="s">
        <v>202</v>
      </c>
      <c r="BG29" s="329">
        <v>1</v>
      </c>
      <c r="BI29" s="328" t="s">
        <v>260</v>
      </c>
      <c r="BJ29" s="329">
        <v>1</v>
      </c>
      <c r="BL29" s="328" t="s">
        <v>202</v>
      </c>
      <c r="BM29" s="329">
        <v>9744.27</v>
      </c>
      <c r="BO29" s="328" t="s">
        <v>260</v>
      </c>
      <c r="BP29" s="329">
        <v>323572.09999999998</v>
      </c>
      <c r="BX29" s="328" t="s">
        <v>278</v>
      </c>
      <c r="BY29" s="329">
        <v>1</v>
      </c>
      <c r="CA29" s="328" t="s">
        <v>224</v>
      </c>
      <c r="CB29" s="329">
        <v>1</v>
      </c>
    </row>
    <row r="30" spans="1:80">
      <c r="A30" s="328" t="s">
        <v>78</v>
      </c>
      <c r="B30" s="329">
        <v>1</v>
      </c>
      <c r="D30" s="328" t="s">
        <v>28</v>
      </c>
      <c r="E30" s="329">
        <v>1</v>
      </c>
      <c r="G30" s="328" t="s">
        <v>31</v>
      </c>
      <c r="H30" s="329">
        <v>171111.52</v>
      </c>
      <c r="J30" s="328" t="s">
        <v>78</v>
      </c>
      <c r="K30" s="329">
        <v>25816.46</v>
      </c>
      <c r="M30" s="328" t="s">
        <v>28</v>
      </c>
      <c r="N30" s="329">
        <v>106123</v>
      </c>
      <c r="P30" s="328" t="s">
        <v>16</v>
      </c>
      <c r="Q30" s="329">
        <v>1</v>
      </c>
      <c r="S30" s="328" t="s">
        <v>35</v>
      </c>
      <c r="T30" s="329"/>
      <c r="BF30" s="328" t="s">
        <v>57</v>
      </c>
      <c r="BG30" s="329">
        <v>1</v>
      </c>
      <c r="BI30" s="328" t="s">
        <v>264</v>
      </c>
      <c r="BJ30" s="329">
        <v>1</v>
      </c>
      <c r="BL30" s="328" t="s">
        <v>57</v>
      </c>
      <c r="BM30" s="329">
        <v>57317.760000000002</v>
      </c>
      <c r="BO30" s="328" t="s">
        <v>264</v>
      </c>
      <c r="BP30" s="329">
        <v>1650000</v>
      </c>
      <c r="BX30" s="328" t="s">
        <v>280</v>
      </c>
      <c r="BY30" s="329">
        <v>1</v>
      </c>
      <c r="CA30" s="328" t="s">
        <v>243</v>
      </c>
      <c r="CB30" s="329">
        <v>1</v>
      </c>
    </row>
    <row r="31" spans="1:80">
      <c r="A31" s="328" t="s">
        <v>50</v>
      </c>
      <c r="B31" s="329">
        <v>1</v>
      </c>
      <c r="D31" s="328" t="s">
        <v>39</v>
      </c>
      <c r="E31" s="329">
        <v>1</v>
      </c>
      <c r="G31" s="328" t="s">
        <v>33</v>
      </c>
      <c r="H31" s="329">
        <v>193026.4</v>
      </c>
      <c r="J31" s="328" t="s">
        <v>50</v>
      </c>
      <c r="K31" s="329">
        <v>68276.399999999994</v>
      </c>
      <c r="M31" s="328" t="s">
        <v>39</v>
      </c>
      <c r="N31" s="329">
        <v>990000</v>
      </c>
      <c r="P31" s="328" t="s">
        <v>78</v>
      </c>
      <c r="Q31" s="329">
        <v>1</v>
      </c>
      <c r="S31" s="328" t="s">
        <v>28</v>
      </c>
      <c r="T31" s="329"/>
      <c r="BF31" s="328" t="s">
        <v>121</v>
      </c>
      <c r="BG31" s="329">
        <v>1</v>
      </c>
      <c r="BI31" s="328" t="s">
        <v>304</v>
      </c>
      <c r="BJ31" s="329">
        <v>1</v>
      </c>
      <c r="BL31" s="328" t="s">
        <v>121</v>
      </c>
      <c r="BM31" s="329">
        <v>196096.08</v>
      </c>
      <c r="BO31" s="328" t="s">
        <v>304</v>
      </c>
      <c r="BP31" s="329">
        <v>6790</v>
      </c>
      <c r="BX31" s="328" t="s">
        <v>310</v>
      </c>
      <c r="BY31" s="329">
        <v>1</v>
      </c>
      <c r="CA31" s="328" t="s">
        <v>385</v>
      </c>
      <c r="CB31" s="329">
        <v>1</v>
      </c>
    </row>
    <row r="32" spans="1:80">
      <c r="A32" s="328" t="s">
        <v>66</v>
      </c>
      <c r="B32" s="329">
        <v>1</v>
      </c>
      <c r="D32" s="328" t="s">
        <v>186</v>
      </c>
      <c r="E32" s="329">
        <v>1</v>
      </c>
      <c r="G32" s="328" t="s">
        <v>133</v>
      </c>
      <c r="H32" s="329">
        <v>152155.20000000001</v>
      </c>
      <c r="J32" s="328" t="s">
        <v>66</v>
      </c>
      <c r="K32" s="329">
        <v>51776</v>
      </c>
      <c r="M32" s="328" t="s">
        <v>186</v>
      </c>
      <c r="N32" s="329">
        <v>4382364</v>
      </c>
      <c r="P32" s="328" t="s">
        <v>50</v>
      </c>
      <c r="Q32" s="329">
        <v>1</v>
      </c>
      <c r="S32" s="328" t="s">
        <v>39</v>
      </c>
      <c r="T32" s="329"/>
      <c r="BF32" s="328" t="s">
        <v>168</v>
      </c>
      <c r="BG32" s="329">
        <v>1</v>
      </c>
      <c r="BI32" s="328" t="s">
        <v>328</v>
      </c>
      <c r="BJ32" s="329">
        <v>1</v>
      </c>
      <c r="BL32" s="328" t="s">
        <v>168</v>
      </c>
      <c r="BM32" s="329">
        <v>820</v>
      </c>
      <c r="BO32" s="328" t="s">
        <v>328</v>
      </c>
      <c r="BP32" s="329">
        <v>681597.98</v>
      </c>
      <c r="BX32" s="328" t="s">
        <v>368</v>
      </c>
      <c r="BY32" s="329">
        <v>1</v>
      </c>
      <c r="CA32" s="328" t="s">
        <v>260</v>
      </c>
      <c r="CB32" s="329">
        <v>1</v>
      </c>
    </row>
    <row r="33" spans="1:80">
      <c r="A33" s="328" t="s">
        <v>106</v>
      </c>
      <c r="B33" s="329">
        <v>1</v>
      </c>
      <c r="D33" s="328" t="s">
        <v>228</v>
      </c>
      <c r="E33" s="329">
        <v>1</v>
      </c>
      <c r="G33" s="328" t="s">
        <v>45</v>
      </c>
      <c r="H33" s="329">
        <v>233.25</v>
      </c>
      <c r="J33" s="328" t="s">
        <v>106</v>
      </c>
      <c r="K33" s="329">
        <v>110000</v>
      </c>
      <c r="M33" s="328" t="s">
        <v>228</v>
      </c>
      <c r="N33" s="329">
        <v>1952460.71</v>
      </c>
      <c r="P33" s="328" t="s">
        <v>66</v>
      </c>
      <c r="Q33" s="329">
        <v>1</v>
      </c>
      <c r="S33" s="328" t="s">
        <v>186</v>
      </c>
      <c r="T33" s="329"/>
      <c r="BF33" s="328" t="s">
        <v>59</v>
      </c>
      <c r="BG33" s="329">
        <v>1</v>
      </c>
      <c r="BI33" s="328" t="s">
        <v>320</v>
      </c>
      <c r="BJ33" s="329">
        <v>1</v>
      </c>
      <c r="BL33" s="328" t="s">
        <v>59</v>
      </c>
      <c r="BM33" s="329">
        <v>89853.91</v>
      </c>
      <c r="BO33" s="328" t="s">
        <v>320</v>
      </c>
      <c r="BP33" s="329">
        <v>1685780</v>
      </c>
      <c r="BX33" s="328" t="s">
        <v>332</v>
      </c>
      <c r="BY33" s="329">
        <v>1</v>
      </c>
      <c r="CA33" s="328" t="s">
        <v>264</v>
      </c>
      <c r="CB33" s="329">
        <v>1</v>
      </c>
    </row>
    <row r="34" spans="1:80">
      <c r="A34" s="328" t="s">
        <v>137</v>
      </c>
      <c r="B34" s="329">
        <v>1</v>
      </c>
      <c r="D34" s="328" t="s">
        <v>124</v>
      </c>
      <c r="E34" s="329">
        <v>1</v>
      </c>
      <c r="G34" s="328" t="s">
        <v>114</v>
      </c>
      <c r="H34" s="329">
        <v>838189.8</v>
      </c>
      <c r="J34" s="328" t="s">
        <v>137</v>
      </c>
      <c r="K34" s="329">
        <v>22453.8</v>
      </c>
      <c r="M34" s="328" t="s">
        <v>124</v>
      </c>
      <c r="N34" s="329">
        <v>835200</v>
      </c>
      <c r="P34" s="328" t="s">
        <v>106</v>
      </c>
      <c r="Q34" s="329">
        <v>1</v>
      </c>
      <c r="S34" s="328" t="s">
        <v>228</v>
      </c>
      <c r="T34" s="329"/>
      <c r="BF34" s="328" t="s">
        <v>119</v>
      </c>
      <c r="BG34" s="329">
        <v>1</v>
      </c>
      <c r="BI34" s="328" t="s">
        <v>323</v>
      </c>
      <c r="BJ34" s="329">
        <v>1</v>
      </c>
      <c r="BL34" s="328" t="s">
        <v>119</v>
      </c>
      <c r="BM34" s="329">
        <v>11407</v>
      </c>
      <c r="BO34" s="328" t="s">
        <v>323</v>
      </c>
      <c r="BP34" s="329">
        <v>1005957.3</v>
      </c>
      <c r="BX34" s="328" t="s">
        <v>336</v>
      </c>
      <c r="BY34" s="329">
        <v>1</v>
      </c>
      <c r="CA34" s="328" t="s">
        <v>304</v>
      </c>
      <c r="CB34" s="329">
        <v>1</v>
      </c>
    </row>
    <row r="35" spans="1:80">
      <c r="A35" s="328" t="s">
        <v>88</v>
      </c>
      <c r="B35" s="329">
        <v>1</v>
      </c>
      <c r="D35" s="328" t="s">
        <v>162</v>
      </c>
      <c r="E35" s="329">
        <v>1</v>
      </c>
      <c r="G35" s="328" t="s">
        <v>126</v>
      </c>
      <c r="H35" s="329">
        <v>4504</v>
      </c>
      <c r="J35" s="328" t="s">
        <v>88</v>
      </c>
      <c r="K35" s="329">
        <v>11757.8</v>
      </c>
      <c r="M35" s="328" t="s">
        <v>162</v>
      </c>
      <c r="N35" s="329">
        <v>798231</v>
      </c>
      <c r="P35" s="328" t="s">
        <v>137</v>
      </c>
      <c r="Q35" s="329">
        <v>1</v>
      </c>
      <c r="S35" s="328" t="s">
        <v>124</v>
      </c>
      <c r="T35" s="329"/>
      <c r="BF35" s="328" t="s">
        <v>443</v>
      </c>
      <c r="BG35" s="329">
        <v>1</v>
      </c>
      <c r="BI35" s="328" t="s">
        <v>330</v>
      </c>
      <c r="BJ35" s="329">
        <v>1</v>
      </c>
      <c r="BL35" s="328" t="s">
        <v>443</v>
      </c>
      <c r="BM35" s="329">
        <v>72820.7</v>
      </c>
      <c r="BO35" s="328" t="s">
        <v>330</v>
      </c>
      <c r="BP35" s="329">
        <v>60699.75</v>
      </c>
      <c r="BX35" s="328" t="s">
        <v>340</v>
      </c>
      <c r="BY35" s="329">
        <v>1</v>
      </c>
      <c r="CA35" s="328" t="s">
        <v>328</v>
      </c>
      <c r="CB35" s="329">
        <v>1</v>
      </c>
    </row>
    <row r="36" spans="1:80">
      <c r="A36" s="328" t="s">
        <v>21</v>
      </c>
      <c r="B36" s="329">
        <v>1</v>
      </c>
      <c r="D36" s="328" t="s">
        <v>145</v>
      </c>
      <c r="E36" s="329">
        <v>1</v>
      </c>
      <c r="G36" s="328" t="s">
        <v>42</v>
      </c>
      <c r="H36" s="329">
        <v>50000</v>
      </c>
      <c r="J36" s="328" t="s">
        <v>21</v>
      </c>
      <c r="K36" s="329">
        <v>1778400</v>
      </c>
      <c r="M36" s="328" t="s">
        <v>145</v>
      </c>
      <c r="N36" s="329">
        <v>18161.650000000001</v>
      </c>
      <c r="P36" s="328" t="s">
        <v>88</v>
      </c>
      <c r="Q36" s="329">
        <v>1</v>
      </c>
      <c r="S36" s="328" t="s">
        <v>162</v>
      </c>
      <c r="T36" s="329">
        <v>1</v>
      </c>
      <c r="BF36" s="328" t="s">
        <v>285</v>
      </c>
      <c r="BG36" s="329">
        <v>1</v>
      </c>
      <c r="BI36" s="328" t="s">
        <v>326</v>
      </c>
      <c r="BJ36" s="329">
        <v>1</v>
      </c>
      <c r="BL36" s="328" t="s">
        <v>285</v>
      </c>
      <c r="BM36" s="329">
        <v>112916.07</v>
      </c>
      <c r="BO36" s="328" t="s">
        <v>326</v>
      </c>
      <c r="BP36" s="329">
        <v>29600</v>
      </c>
      <c r="BX36" s="328" t="s">
        <v>364</v>
      </c>
      <c r="BY36" s="329">
        <v>1</v>
      </c>
      <c r="CA36" s="328" t="s">
        <v>334</v>
      </c>
      <c r="CB36" s="329">
        <v>1</v>
      </c>
    </row>
    <row r="37" spans="1:80">
      <c r="A37" s="328" t="s">
        <v>80</v>
      </c>
      <c r="B37" s="329">
        <v>1</v>
      </c>
      <c r="D37" s="328" t="s">
        <v>148</v>
      </c>
      <c r="E37" s="329">
        <v>1</v>
      </c>
      <c r="G37" s="328" t="s">
        <v>48</v>
      </c>
      <c r="H37" s="329">
        <v>17473</v>
      </c>
      <c r="J37" s="328" t="s">
        <v>80</v>
      </c>
      <c r="K37" s="329">
        <v>4666</v>
      </c>
      <c r="M37" s="328" t="s">
        <v>148</v>
      </c>
      <c r="N37" s="329">
        <v>274500</v>
      </c>
      <c r="P37" s="328" t="s">
        <v>21</v>
      </c>
      <c r="Q37" s="329">
        <v>1</v>
      </c>
      <c r="S37" s="328" t="s">
        <v>145</v>
      </c>
      <c r="T37" s="329"/>
      <c r="BF37" s="328" t="s">
        <v>287</v>
      </c>
      <c r="BG37" s="329">
        <v>1</v>
      </c>
      <c r="BI37" s="328" t="s">
        <v>374</v>
      </c>
      <c r="BJ37" s="329">
        <v>1</v>
      </c>
      <c r="BL37" s="328" t="s">
        <v>287</v>
      </c>
      <c r="BM37" s="329">
        <v>86613.78</v>
      </c>
      <c r="BO37" s="328" t="s">
        <v>374</v>
      </c>
      <c r="BP37" s="329">
        <v>27034</v>
      </c>
      <c r="BX37" s="328" t="s">
        <v>358</v>
      </c>
      <c r="BY37" s="329">
        <v>1</v>
      </c>
      <c r="CA37" s="328" t="s">
        <v>330</v>
      </c>
      <c r="CB37" s="329">
        <v>1</v>
      </c>
    </row>
    <row r="38" spans="1:80">
      <c r="A38" s="328" t="s">
        <v>68</v>
      </c>
      <c r="B38" s="329">
        <v>1</v>
      </c>
      <c r="D38" s="328" t="s">
        <v>156</v>
      </c>
      <c r="E38" s="329">
        <v>1</v>
      </c>
      <c r="G38" s="328" t="s">
        <v>24</v>
      </c>
      <c r="H38" s="329">
        <v>531310</v>
      </c>
      <c r="J38" s="328" t="s">
        <v>68</v>
      </c>
      <c r="K38" s="329">
        <v>16271.44</v>
      </c>
      <c r="M38" s="328" t="s">
        <v>156</v>
      </c>
      <c r="N38" s="329">
        <v>69200</v>
      </c>
      <c r="P38" s="328" t="s">
        <v>80</v>
      </c>
      <c r="Q38" s="329">
        <v>1</v>
      </c>
      <c r="S38" s="328" t="s">
        <v>148</v>
      </c>
      <c r="T38" s="329">
        <v>1</v>
      </c>
      <c r="BF38" s="328" t="s">
        <v>283</v>
      </c>
      <c r="BG38" s="329">
        <v>1</v>
      </c>
      <c r="BI38" s="328" t="s">
        <v>347</v>
      </c>
      <c r="BJ38" s="329">
        <v>1</v>
      </c>
      <c r="BL38" s="328" t="s">
        <v>283</v>
      </c>
      <c r="BM38" s="329">
        <v>41731.800000000003</v>
      </c>
      <c r="BO38" s="328" t="s">
        <v>347</v>
      </c>
      <c r="BP38" s="329">
        <v>1685780</v>
      </c>
      <c r="BX38" s="328" t="s">
        <v>351</v>
      </c>
      <c r="BY38" s="329">
        <v>1</v>
      </c>
      <c r="CA38" s="328" t="s">
        <v>326</v>
      </c>
      <c r="CB38" s="329">
        <v>1</v>
      </c>
    </row>
    <row r="39" spans="1:80">
      <c r="A39" s="328" t="s">
        <v>86</v>
      </c>
      <c r="B39" s="329">
        <v>1</v>
      </c>
      <c r="D39" s="328" t="s">
        <v>258</v>
      </c>
      <c r="E39" s="329">
        <v>1</v>
      </c>
      <c r="G39" s="328" t="s">
        <v>96</v>
      </c>
      <c r="H39" s="329">
        <v>2862</v>
      </c>
      <c r="J39" s="328" t="s">
        <v>86</v>
      </c>
      <c r="K39" s="329">
        <v>1631.75</v>
      </c>
      <c r="M39" s="328" t="s">
        <v>258</v>
      </c>
      <c r="N39" s="329">
        <v>176179.26</v>
      </c>
      <c r="P39" s="328" t="s">
        <v>68</v>
      </c>
      <c r="Q39" s="329">
        <v>1</v>
      </c>
      <c r="S39" s="328" t="s">
        <v>156</v>
      </c>
      <c r="T39" s="329">
        <v>1</v>
      </c>
      <c r="BF39" s="328" t="s">
        <v>445</v>
      </c>
      <c r="BG39" s="329">
        <v>1</v>
      </c>
      <c r="BI39" s="328" t="s">
        <v>355</v>
      </c>
      <c r="BJ39" s="329">
        <v>1</v>
      </c>
      <c r="BL39" s="328" t="s">
        <v>445</v>
      </c>
      <c r="BM39" s="329">
        <v>72094.899999999994</v>
      </c>
      <c r="BO39" s="328" t="s">
        <v>355</v>
      </c>
      <c r="BP39" s="329">
        <v>3300000</v>
      </c>
      <c r="BX39" s="328" t="s">
        <v>353</v>
      </c>
      <c r="BY39" s="329">
        <v>1</v>
      </c>
      <c r="CA39" s="328" t="s">
        <v>374</v>
      </c>
      <c r="CB39" s="329">
        <v>1</v>
      </c>
    </row>
    <row r="40" spans="1:80">
      <c r="A40" s="328" t="s">
        <v>84</v>
      </c>
      <c r="B40" s="329">
        <v>1</v>
      </c>
      <c r="D40" s="328" t="s">
        <v>182</v>
      </c>
      <c r="E40" s="329">
        <v>1</v>
      </c>
      <c r="G40" s="328" t="s">
        <v>70</v>
      </c>
      <c r="H40" s="329">
        <v>360551.24</v>
      </c>
      <c r="J40" s="328" t="s">
        <v>84</v>
      </c>
      <c r="K40" s="329">
        <v>976.92</v>
      </c>
      <c r="M40" s="328" t="s">
        <v>182</v>
      </c>
      <c r="N40" s="329">
        <v>30802722</v>
      </c>
      <c r="P40" s="328" t="s">
        <v>86</v>
      </c>
      <c r="Q40" s="329">
        <v>1</v>
      </c>
      <c r="S40" s="328" t="s">
        <v>258</v>
      </c>
      <c r="T40" s="329"/>
      <c r="BF40" s="328" t="s">
        <v>293</v>
      </c>
      <c r="BG40" s="329">
        <v>1</v>
      </c>
      <c r="BI40" s="328" t="s">
        <v>378</v>
      </c>
      <c r="BJ40" s="329">
        <v>1</v>
      </c>
      <c r="BL40" s="328" t="s">
        <v>293</v>
      </c>
      <c r="BM40" s="329">
        <v>73481.55</v>
      </c>
      <c r="BO40" s="328" t="s">
        <v>378</v>
      </c>
      <c r="BP40" s="329">
        <v>3013272</v>
      </c>
      <c r="BX40" s="328" t="s">
        <v>362</v>
      </c>
      <c r="BY40" s="329">
        <v>1</v>
      </c>
      <c r="CA40" s="328" t="s">
        <v>345</v>
      </c>
      <c r="CB40" s="329">
        <v>1</v>
      </c>
    </row>
    <row r="41" spans="1:80">
      <c r="A41" s="328" t="s">
        <v>200</v>
      </c>
      <c r="B41" s="329">
        <v>1</v>
      </c>
      <c r="D41" s="328" t="s">
        <v>171</v>
      </c>
      <c r="E41" s="329">
        <v>1</v>
      </c>
      <c r="G41" s="328" t="s">
        <v>102</v>
      </c>
      <c r="H41" s="329">
        <v>2600</v>
      </c>
      <c r="J41" s="328" t="s">
        <v>200</v>
      </c>
      <c r="K41" s="329">
        <v>116360.88</v>
      </c>
      <c r="M41" s="328" t="s">
        <v>171</v>
      </c>
      <c r="N41" s="329">
        <v>150480</v>
      </c>
      <c r="P41" s="328" t="s">
        <v>84</v>
      </c>
      <c r="Q41" s="329">
        <v>1</v>
      </c>
      <c r="S41" s="328" t="s">
        <v>182</v>
      </c>
      <c r="T41" s="329"/>
      <c r="BF41" s="328" t="s">
        <v>295</v>
      </c>
      <c r="BG41" s="329">
        <v>1</v>
      </c>
      <c r="BI41" s="328" t="s">
        <v>387</v>
      </c>
      <c r="BJ41" s="329">
        <v>1</v>
      </c>
      <c r="BL41" s="328" t="s">
        <v>295</v>
      </c>
      <c r="BM41" s="329">
        <v>41515.14</v>
      </c>
      <c r="BO41" s="328" t="s">
        <v>387</v>
      </c>
      <c r="BP41" s="329">
        <v>631439</v>
      </c>
      <c r="BX41" s="328" t="s">
        <v>447</v>
      </c>
      <c r="BY41" s="329">
        <v>1</v>
      </c>
      <c r="CA41" s="328" t="s">
        <v>347</v>
      </c>
      <c r="CB41" s="329">
        <v>1</v>
      </c>
    </row>
    <row r="42" spans="1:80">
      <c r="A42" s="328" t="s">
        <v>82</v>
      </c>
      <c r="B42" s="329">
        <v>1</v>
      </c>
      <c r="D42" s="328" t="s">
        <v>219</v>
      </c>
      <c r="E42" s="329">
        <v>1</v>
      </c>
      <c r="G42" s="328" t="s">
        <v>100</v>
      </c>
      <c r="H42" s="329">
        <v>99500.4</v>
      </c>
      <c r="J42" s="328" t="s">
        <v>82</v>
      </c>
      <c r="K42" s="329">
        <v>192</v>
      </c>
      <c r="M42" s="328" t="s">
        <v>219</v>
      </c>
      <c r="N42" s="329">
        <v>255509.8</v>
      </c>
      <c r="P42" s="328" t="s">
        <v>200</v>
      </c>
      <c r="Q42" s="329"/>
      <c r="S42" s="328" t="s">
        <v>171</v>
      </c>
      <c r="T42" s="329"/>
      <c r="BF42" s="328" t="s">
        <v>289</v>
      </c>
      <c r="BG42" s="329">
        <v>1</v>
      </c>
      <c r="BI42" s="328" t="s">
        <v>389</v>
      </c>
      <c r="BJ42" s="329">
        <v>1</v>
      </c>
      <c r="BL42" s="328" t="s">
        <v>289</v>
      </c>
      <c r="BM42" s="329">
        <v>75344.070000000007</v>
      </c>
      <c r="BO42" s="328" t="s">
        <v>389</v>
      </c>
      <c r="BP42" s="329">
        <v>313560</v>
      </c>
      <c r="BX42" s="328" t="s">
        <v>366</v>
      </c>
      <c r="BY42" s="329">
        <v>1</v>
      </c>
      <c r="CA42" s="328" t="s">
        <v>401</v>
      </c>
      <c r="CB42" s="329">
        <v>1</v>
      </c>
    </row>
    <row r="43" spans="1:80">
      <c r="A43" s="328" t="s">
        <v>74</v>
      </c>
      <c r="B43" s="329">
        <v>1</v>
      </c>
      <c r="D43" s="328" t="s">
        <v>184</v>
      </c>
      <c r="E43" s="329">
        <v>1</v>
      </c>
      <c r="G43" s="328" t="s">
        <v>92</v>
      </c>
      <c r="H43" s="329">
        <v>3078.15</v>
      </c>
      <c r="J43" s="328" t="s">
        <v>74</v>
      </c>
      <c r="K43" s="329">
        <v>434305.84</v>
      </c>
      <c r="M43" s="328" t="s">
        <v>184</v>
      </c>
      <c r="N43" s="329">
        <v>104850</v>
      </c>
      <c r="P43" s="328" t="s">
        <v>82</v>
      </c>
      <c r="Q43" s="329">
        <v>1</v>
      </c>
      <c r="S43" s="328" t="s">
        <v>219</v>
      </c>
      <c r="T43" s="329"/>
      <c r="BF43" s="328" t="s">
        <v>291</v>
      </c>
      <c r="BG43" s="329">
        <v>1</v>
      </c>
      <c r="BI43" s="328" t="s">
        <v>407</v>
      </c>
      <c r="BJ43" s="329">
        <v>1</v>
      </c>
      <c r="BL43" s="328" t="s">
        <v>291</v>
      </c>
      <c r="BM43" s="329">
        <v>46447.77</v>
      </c>
      <c r="BO43" s="328" t="s">
        <v>407</v>
      </c>
      <c r="BP43" s="329">
        <v>26490</v>
      </c>
      <c r="BX43" s="328" t="s">
        <v>371</v>
      </c>
      <c r="BY43" s="329">
        <v>1</v>
      </c>
      <c r="CA43" s="328" t="s">
        <v>378</v>
      </c>
      <c r="CB43" s="329">
        <v>1</v>
      </c>
    </row>
    <row r="44" spans="1:80">
      <c r="A44" s="328" t="s">
        <v>72</v>
      </c>
      <c r="B44" s="329">
        <v>1</v>
      </c>
      <c r="D44" s="328" t="s">
        <v>195</v>
      </c>
      <c r="E44" s="329">
        <v>1</v>
      </c>
      <c r="G44" s="328" t="s">
        <v>128</v>
      </c>
      <c r="H44" s="329">
        <v>9904.2000000000007</v>
      </c>
      <c r="J44" s="328" t="s">
        <v>72</v>
      </c>
      <c r="K44" s="329">
        <v>1538000</v>
      </c>
      <c r="M44" s="328" t="s">
        <v>195</v>
      </c>
      <c r="N44" s="329">
        <v>579575.06000000006</v>
      </c>
      <c r="P44" s="328" t="s">
        <v>74</v>
      </c>
      <c r="Q44" s="329"/>
      <c r="S44" s="328" t="s">
        <v>184</v>
      </c>
      <c r="T44" s="329">
        <v>1</v>
      </c>
      <c r="BF44" s="328" t="s">
        <v>158</v>
      </c>
      <c r="BG44" s="329">
        <v>1</v>
      </c>
      <c r="BI44" s="328" t="s">
        <v>391</v>
      </c>
      <c r="BJ44" s="329">
        <v>1</v>
      </c>
      <c r="BL44" s="328" t="s">
        <v>158</v>
      </c>
      <c r="BM44" s="329">
        <v>963.9</v>
      </c>
      <c r="BO44" s="328" t="s">
        <v>391</v>
      </c>
      <c r="BP44" s="329">
        <v>135135</v>
      </c>
      <c r="BX44" s="328" t="s">
        <v>409</v>
      </c>
      <c r="BY44" s="329">
        <v>1</v>
      </c>
      <c r="CA44" s="328" t="s">
        <v>387</v>
      </c>
      <c r="CB44" s="329">
        <v>1</v>
      </c>
    </row>
    <row r="45" spans="1:80">
      <c r="A45" s="328" t="s">
        <v>55</v>
      </c>
      <c r="B45" s="329">
        <v>1</v>
      </c>
      <c r="D45" s="328" t="s">
        <v>206</v>
      </c>
      <c r="E45" s="329">
        <v>1</v>
      </c>
      <c r="G45" s="328" t="s">
        <v>112</v>
      </c>
      <c r="H45" s="329">
        <v>16234</v>
      </c>
      <c r="J45" s="328" t="s">
        <v>55</v>
      </c>
      <c r="K45" s="329">
        <v>19470</v>
      </c>
      <c r="M45" s="328" t="s">
        <v>206</v>
      </c>
      <c r="N45" s="329">
        <v>83360</v>
      </c>
      <c r="P45" s="328" t="s">
        <v>72</v>
      </c>
      <c r="Q45" s="329"/>
      <c r="S45" s="328" t="s">
        <v>195</v>
      </c>
      <c r="T45" s="329">
        <v>1</v>
      </c>
      <c r="BF45" s="328" t="s">
        <v>160</v>
      </c>
      <c r="BG45" s="329">
        <v>1</v>
      </c>
      <c r="BI45" s="328" t="s">
        <v>395</v>
      </c>
      <c r="BJ45" s="329">
        <v>1</v>
      </c>
      <c r="BL45" s="328" t="s">
        <v>160</v>
      </c>
      <c r="BM45" s="329">
        <v>13750</v>
      </c>
      <c r="BO45" s="328" t="s">
        <v>395</v>
      </c>
      <c r="BP45" s="329">
        <v>134686.03</v>
      </c>
      <c r="BX45" s="328" t="s">
        <v>382</v>
      </c>
      <c r="BY45" s="329">
        <v>1</v>
      </c>
      <c r="CA45" s="328" t="s">
        <v>436</v>
      </c>
      <c r="CB45" s="329">
        <v>1</v>
      </c>
    </row>
    <row r="46" spans="1:80">
      <c r="A46" s="328" t="s">
        <v>61</v>
      </c>
      <c r="B46" s="329">
        <v>1</v>
      </c>
      <c r="D46" s="328" t="s">
        <v>251</v>
      </c>
      <c r="E46" s="329">
        <v>1</v>
      </c>
      <c r="G46" s="328" t="s">
        <v>131</v>
      </c>
      <c r="H46" s="329">
        <v>11160</v>
      </c>
      <c r="J46" s="328" t="s">
        <v>61</v>
      </c>
      <c r="K46" s="329">
        <v>2375</v>
      </c>
      <c r="M46" s="328" t="s">
        <v>251</v>
      </c>
      <c r="N46" s="329">
        <v>284631.71000000002</v>
      </c>
      <c r="P46" s="328" t="s">
        <v>55</v>
      </c>
      <c r="Q46" s="329">
        <v>1</v>
      </c>
      <c r="S46" s="328" t="s">
        <v>206</v>
      </c>
      <c r="T46" s="329">
        <v>1</v>
      </c>
      <c r="BF46" s="328" t="s">
        <v>173</v>
      </c>
      <c r="BG46" s="329">
        <v>1</v>
      </c>
      <c r="BI46" s="328" t="s">
        <v>403</v>
      </c>
      <c r="BJ46" s="329">
        <v>1</v>
      </c>
      <c r="BL46" s="328" t="s">
        <v>173</v>
      </c>
      <c r="BM46" s="329">
        <v>73530</v>
      </c>
      <c r="BO46" s="328" t="s">
        <v>403</v>
      </c>
      <c r="BP46" s="329">
        <v>263904.84000000003</v>
      </c>
      <c r="BX46" s="328" t="s">
        <v>393</v>
      </c>
      <c r="BY46" s="329">
        <v>1</v>
      </c>
      <c r="CA46" s="328" t="s">
        <v>384</v>
      </c>
      <c r="CB46" s="329">
        <v>1</v>
      </c>
    </row>
    <row r="47" spans="1:80">
      <c r="A47" s="328" t="s">
        <v>202</v>
      </c>
      <c r="B47" s="329">
        <v>1</v>
      </c>
      <c r="D47" s="328" t="s">
        <v>217</v>
      </c>
      <c r="E47" s="329">
        <v>1</v>
      </c>
      <c r="G47" s="328" t="s">
        <v>76</v>
      </c>
      <c r="H47" s="329">
        <v>6480</v>
      </c>
      <c r="J47" s="328" t="s">
        <v>202</v>
      </c>
      <c r="K47" s="329">
        <v>9744.27</v>
      </c>
      <c r="M47" s="328" t="s">
        <v>217</v>
      </c>
      <c r="N47" s="329">
        <v>87471</v>
      </c>
      <c r="P47" s="328" t="s">
        <v>61</v>
      </c>
      <c r="Q47" s="329">
        <v>1</v>
      </c>
      <c r="S47" s="328" t="s">
        <v>251</v>
      </c>
      <c r="T47" s="329"/>
      <c r="BF47" s="328" t="s">
        <v>178</v>
      </c>
      <c r="BG47" s="329">
        <v>1</v>
      </c>
      <c r="BI47" s="328" t="s">
        <v>405</v>
      </c>
      <c r="BJ47" s="329">
        <v>2</v>
      </c>
      <c r="BL47" s="328" t="s">
        <v>178</v>
      </c>
      <c r="BM47" s="329">
        <v>1325</v>
      </c>
      <c r="BO47" s="328" t="s">
        <v>405</v>
      </c>
      <c r="BP47" s="329">
        <v>112250</v>
      </c>
      <c r="BX47" s="328" t="s">
        <v>397</v>
      </c>
      <c r="BY47" s="329">
        <v>1</v>
      </c>
      <c r="CA47" s="328" t="s">
        <v>389</v>
      </c>
      <c r="CB47" s="329">
        <v>1</v>
      </c>
    </row>
    <row r="48" spans="1:80">
      <c r="A48" s="328" t="s">
        <v>57</v>
      </c>
      <c r="B48" s="329">
        <v>1</v>
      </c>
      <c r="D48" s="328" t="s">
        <v>239</v>
      </c>
      <c r="E48" s="329">
        <v>1</v>
      </c>
      <c r="G48" s="328" t="s">
        <v>98</v>
      </c>
      <c r="H48" s="329">
        <v>2847.5</v>
      </c>
      <c r="J48" s="328" t="s">
        <v>57</v>
      </c>
      <c r="K48" s="329">
        <v>57317.760000000002</v>
      </c>
      <c r="M48" s="328" t="s">
        <v>239</v>
      </c>
      <c r="N48" s="329">
        <v>208720</v>
      </c>
      <c r="P48" s="328" t="s">
        <v>202</v>
      </c>
      <c r="Q48" s="329">
        <v>1</v>
      </c>
      <c r="S48" s="328" t="s">
        <v>217</v>
      </c>
      <c r="T48" s="329"/>
      <c r="BF48" s="328" t="s">
        <v>338</v>
      </c>
      <c r="BG48" s="329">
        <v>1</v>
      </c>
      <c r="BI48" s="328" t="s">
        <v>399</v>
      </c>
      <c r="BJ48" s="329">
        <v>1</v>
      </c>
      <c r="BL48" s="328" t="s">
        <v>338</v>
      </c>
      <c r="BM48" s="329">
        <v>97250.5</v>
      </c>
      <c r="BO48" s="328" t="s">
        <v>399</v>
      </c>
      <c r="BP48" s="329">
        <v>890968.17</v>
      </c>
      <c r="BX48" s="328" t="s">
        <v>420</v>
      </c>
      <c r="BY48" s="329">
        <v>1</v>
      </c>
      <c r="CA48" s="328" t="s">
        <v>407</v>
      </c>
      <c r="CB48" s="329">
        <v>1</v>
      </c>
    </row>
    <row r="49" spans="1:80">
      <c r="A49" s="328" t="s">
        <v>110</v>
      </c>
      <c r="B49" s="329">
        <v>1</v>
      </c>
      <c r="D49" s="328" t="s">
        <v>224</v>
      </c>
      <c r="E49" s="329">
        <v>1</v>
      </c>
      <c r="G49" s="328" t="s">
        <v>94</v>
      </c>
      <c r="H49" s="329">
        <v>1301.9100000000001</v>
      </c>
      <c r="J49" s="328" t="s">
        <v>110</v>
      </c>
      <c r="K49" s="329">
        <v>113526</v>
      </c>
      <c r="M49" s="328" t="s">
        <v>224</v>
      </c>
      <c r="N49" s="329">
        <v>2072</v>
      </c>
      <c r="P49" s="328" t="s">
        <v>57</v>
      </c>
      <c r="Q49" s="329"/>
      <c r="S49" s="328" t="s">
        <v>239</v>
      </c>
      <c r="T49" s="329"/>
      <c r="BF49" s="328" t="s">
        <v>360</v>
      </c>
      <c r="BG49" s="329">
        <v>1</v>
      </c>
      <c r="BI49" s="328" t="s">
        <v>418</v>
      </c>
      <c r="BJ49" s="329">
        <v>1</v>
      </c>
      <c r="BL49" s="328" t="s">
        <v>360</v>
      </c>
      <c r="BM49" s="329">
        <v>37837.58</v>
      </c>
      <c r="BO49" s="328" t="s">
        <v>418</v>
      </c>
      <c r="BP49" s="329">
        <v>122700</v>
      </c>
      <c r="BX49" s="328" t="s">
        <v>430</v>
      </c>
      <c r="BY49" s="329">
        <v>1</v>
      </c>
      <c r="CA49" s="328" t="s">
        <v>428</v>
      </c>
      <c r="CB49" s="329">
        <v>1</v>
      </c>
    </row>
    <row r="50" spans="1:80">
      <c r="A50" s="328" t="s">
        <v>37</v>
      </c>
      <c r="B50" s="329">
        <v>1</v>
      </c>
      <c r="D50" s="328" t="s">
        <v>234</v>
      </c>
      <c r="E50" s="329">
        <v>1</v>
      </c>
      <c r="G50" s="328" t="s">
        <v>64</v>
      </c>
      <c r="H50" s="329">
        <v>53179.5</v>
      </c>
      <c r="J50" s="328" t="s">
        <v>37</v>
      </c>
      <c r="K50" s="329">
        <v>33480720</v>
      </c>
      <c r="M50" s="328" t="s">
        <v>234</v>
      </c>
      <c r="N50" s="329">
        <v>72642.789999999994</v>
      </c>
      <c r="P50" s="328" t="s">
        <v>110</v>
      </c>
      <c r="Q50" s="329"/>
      <c r="S50" s="328" t="s">
        <v>224</v>
      </c>
      <c r="T50" s="329"/>
      <c r="BF50" s="328" t="s">
        <v>222</v>
      </c>
      <c r="BG50" s="329">
        <v>1</v>
      </c>
      <c r="BI50" s="328" t="s">
        <v>411</v>
      </c>
      <c r="BJ50" s="329">
        <v>2</v>
      </c>
      <c r="BL50" s="328" t="s">
        <v>222</v>
      </c>
      <c r="BM50" s="329">
        <v>6784</v>
      </c>
      <c r="BO50" s="328" t="s">
        <v>411</v>
      </c>
      <c r="BP50" s="329">
        <v>1156068</v>
      </c>
      <c r="BX50" s="328" t="s">
        <v>434</v>
      </c>
      <c r="BY50" s="329">
        <v>1</v>
      </c>
      <c r="CA50" s="328" t="s">
        <v>391</v>
      </c>
      <c r="CB50" s="329">
        <v>1</v>
      </c>
    </row>
    <row r="51" spans="1:80">
      <c r="A51" s="328" t="s">
        <v>121</v>
      </c>
      <c r="B51" s="329">
        <v>1</v>
      </c>
      <c r="D51" s="328" t="s">
        <v>245</v>
      </c>
      <c r="E51" s="329">
        <v>1</v>
      </c>
      <c r="G51" s="328" t="s">
        <v>16</v>
      </c>
      <c r="H51" s="329">
        <v>10560</v>
      </c>
      <c r="J51" s="328" t="s">
        <v>121</v>
      </c>
      <c r="K51" s="329">
        <v>196096.08</v>
      </c>
      <c r="M51" s="328" t="s">
        <v>245</v>
      </c>
      <c r="N51" s="329">
        <v>1650000</v>
      </c>
      <c r="P51" s="328" t="s">
        <v>37</v>
      </c>
      <c r="Q51" s="329"/>
      <c r="S51" s="328" t="s">
        <v>234</v>
      </c>
      <c r="T51" s="329">
        <v>1</v>
      </c>
      <c r="BF51" s="328" t="s">
        <v>226</v>
      </c>
      <c r="BG51" s="329">
        <v>1</v>
      </c>
      <c r="BI51" s="328" t="s">
        <v>413</v>
      </c>
      <c r="BJ51" s="329">
        <v>1</v>
      </c>
      <c r="BL51" s="328" t="s">
        <v>226</v>
      </c>
      <c r="BM51" s="329">
        <v>1050.05</v>
      </c>
      <c r="BO51" s="328" t="s">
        <v>413</v>
      </c>
      <c r="BP51" s="329">
        <v>131200</v>
      </c>
      <c r="BX51" s="328" t="s">
        <v>438</v>
      </c>
      <c r="BY51" s="329">
        <v>1</v>
      </c>
      <c r="CA51" s="328" t="s">
        <v>395</v>
      </c>
      <c r="CB51" s="329">
        <v>1</v>
      </c>
    </row>
    <row r="52" spans="1:80">
      <c r="A52" s="328" t="s">
        <v>143</v>
      </c>
      <c r="B52" s="329">
        <v>1</v>
      </c>
      <c r="D52" s="328" t="s">
        <v>243</v>
      </c>
      <c r="E52" s="329">
        <v>1</v>
      </c>
      <c r="G52" s="328" t="s">
        <v>52</v>
      </c>
      <c r="H52" s="329">
        <v>292600</v>
      </c>
      <c r="J52" s="328" t="s">
        <v>143</v>
      </c>
      <c r="K52" s="329">
        <v>147814.9</v>
      </c>
      <c r="M52" s="328" t="s">
        <v>243</v>
      </c>
      <c r="N52" s="329">
        <v>26700</v>
      </c>
      <c r="P52" s="328" t="s">
        <v>121</v>
      </c>
      <c r="Q52" s="329"/>
      <c r="S52" s="328" t="s">
        <v>245</v>
      </c>
      <c r="T52" s="329"/>
      <c r="BF52" s="328" t="s">
        <v>230</v>
      </c>
      <c r="BG52" s="329">
        <v>1</v>
      </c>
      <c r="BI52" s="328" t="s">
        <v>422</v>
      </c>
      <c r="BJ52" s="329">
        <v>1</v>
      </c>
      <c r="BL52" s="328" t="s">
        <v>230</v>
      </c>
      <c r="BM52" s="329">
        <v>13311.15</v>
      </c>
      <c r="BO52" s="328" t="s">
        <v>422</v>
      </c>
      <c r="BP52" s="329">
        <v>210000</v>
      </c>
      <c r="BX52" s="330" t="s">
        <v>449</v>
      </c>
      <c r="BY52" s="331">
        <v>1</v>
      </c>
      <c r="CA52" s="328" t="s">
        <v>424</v>
      </c>
      <c r="CB52" s="329">
        <v>1</v>
      </c>
    </row>
    <row r="53" spans="1:80">
      <c r="A53" s="328" t="s">
        <v>168</v>
      </c>
      <c r="B53" s="329">
        <v>1</v>
      </c>
      <c r="D53" s="328" t="s">
        <v>385</v>
      </c>
      <c r="E53" s="329">
        <v>1</v>
      </c>
      <c r="G53" s="328" t="s">
        <v>78</v>
      </c>
      <c r="H53" s="329">
        <v>25816.46</v>
      </c>
      <c r="J53" s="328" t="s">
        <v>168</v>
      </c>
      <c r="K53" s="329">
        <v>820</v>
      </c>
      <c r="M53" s="328" t="s">
        <v>385</v>
      </c>
      <c r="N53" s="329">
        <v>3965128</v>
      </c>
      <c r="P53" s="328" t="s">
        <v>143</v>
      </c>
      <c r="Q53" s="329"/>
      <c r="S53" s="328" t="s">
        <v>243</v>
      </c>
      <c r="T53" s="329"/>
      <c r="BF53" s="328" t="s">
        <v>232</v>
      </c>
      <c r="BG53" s="329">
        <v>1</v>
      </c>
      <c r="BI53" s="328" t="s">
        <v>452</v>
      </c>
      <c r="BJ53" s="329">
        <v>1</v>
      </c>
      <c r="BL53" s="328" t="s">
        <v>232</v>
      </c>
      <c r="BM53" s="329">
        <v>18480</v>
      </c>
      <c r="BO53" s="328" t="s">
        <v>452</v>
      </c>
      <c r="BP53" s="329">
        <v>49780</v>
      </c>
      <c r="CA53" s="328" t="s">
        <v>403</v>
      </c>
      <c r="CB53" s="329">
        <v>1</v>
      </c>
    </row>
    <row r="54" spans="1:80">
      <c r="A54" s="328" t="s">
        <v>108</v>
      </c>
      <c r="B54" s="329">
        <v>1</v>
      </c>
      <c r="D54" s="328" t="s">
        <v>247</v>
      </c>
      <c r="E54" s="329">
        <v>1</v>
      </c>
      <c r="G54" s="328" t="s">
        <v>50</v>
      </c>
      <c r="H54" s="329">
        <v>68276.399999999994</v>
      </c>
      <c r="J54" s="328" t="s">
        <v>108</v>
      </c>
      <c r="K54" s="329">
        <v>144046.09</v>
      </c>
      <c r="M54" s="328" t="s">
        <v>247</v>
      </c>
      <c r="N54" s="329">
        <v>1102063</v>
      </c>
      <c r="P54" s="328" t="s">
        <v>168</v>
      </c>
      <c r="Q54" s="329"/>
      <c r="S54" s="328" t="s">
        <v>385</v>
      </c>
      <c r="T54" s="329"/>
      <c r="BF54" s="328" t="s">
        <v>249</v>
      </c>
      <c r="BG54" s="329">
        <v>1</v>
      </c>
      <c r="BI54" s="330" t="s">
        <v>426</v>
      </c>
      <c r="BJ54" s="331">
        <v>1</v>
      </c>
      <c r="BL54" s="328" t="s">
        <v>249</v>
      </c>
      <c r="BM54" s="329">
        <v>89960.16</v>
      </c>
      <c r="BO54" s="330" t="s">
        <v>426</v>
      </c>
      <c r="BP54" s="331">
        <v>49485.94</v>
      </c>
      <c r="CA54" s="328" t="s">
        <v>405</v>
      </c>
      <c r="CB54" s="329">
        <v>2</v>
      </c>
    </row>
    <row r="55" spans="1:80">
      <c r="A55" s="328" t="s">
        <v>59</v>
      </c>
      <c r="B55" s="329">
        <v>1</v>
      </c>
      <c r="D55" s="328" t="s">
        <v>260</v>
      </c>
      <c r="E55" s="329">
        <v>1</v>
      </c>
      <c r="G55" s="328" t="s">
        <v>66</v>
      </c>
      <c r="H55" s="329">
        <v>51776</v>
      </c>
      <c r="J55" s="328" t="s">
        <v>59</v>
      </c>
      <c r="K55" s="329">
        <v>89853.91</v>
      </c>
      <c r="M55" s="328" t="s">
        <v>260</v>
      </c>
      <c r="N55" s="329">
        <v>323572.09999999998</v>
      </c>
      <c r="P55" s="328" t="s">
        <v>108</v>
      </c>
      <c r="Q55" s="329"/>
      <c r="S55" s="328" t="s">
        <v>247</v>
      </c>
      <c r="T55" s="329"/>
      <c r="BF55" s="328" t="s">
        <v>269</v>
      </c>
      <c r="BG55" s="329">
        <v>1</v>
      </c>
      <c r="BL55" s="328" t="s">
        <v>269</v>
      </c>
      <c r="BM55" s="329">
        <v>15880</v>
      </c>
      <c r="CA55" s="328" t="s">
        <v>399</v>
      </c>
      <c r="CB55" s="329">
        <v>1</v>
      </c>
    </row>
    <row r="56" spans="1:80">
      <c r="A56" s="328" t="s">
        <v>253</v>
      </c>
      <c r="B56" s="329">
        <v>1</v>
      </c>
      <c r="D56" s="328" t="s">
        <v>264</v>
      </c>
      <c r="E56" s="329">
        <v>1</v>
      </c>
      <c r="G56" s="328" t="s">
        <v>106</v>
      </c>
      <c r="H56" s="329">
        <v>110000</v>
      </c>
      <c r="J56" s="328" t="s">
        <v>253</v>
      </c>
      <c r="K56" s="329">
        <v>5340</v>
      </c>
      <c r="M56" s="328" t="s">
        <v>264</v>
      </c>
      <c r="N56" s="329">
        <v>1650000</v>
      </c>
      <c r="P56" s="328" t="s">
        <v>59</v>
      </c>
      <c r="Q56" s="329">
        <v>1</v>
      </c>
      <c r="S56" s="328" t="s">
        <v>260</v>
      </c>
      <c r="T56" s="329"/>
      <c r="BF56" s="328" t="s">
        <v>272</v>
      </c>
      <c r="BG56" s="329">
        <v>1</v>
      </c>
      <c r="BL56" s="328" t="s">
        <v>272</v>
      </c>
      <c r="BM56" s="329">
        <v>3177</v>
      </c>
      <c r="CA56" s="328" t="s">
        <v>418</v>
      </c>
      <c r="CB56" s="329">
        <v>1</v>
      </c>
    </row>
    <row r="57" spans="1:80">
      <c r="A57" s="328" t="s">
        <v>117</v>
      </c>
      <c r="B57" s="329">
        <v>1</v>
      </c>
      <c r="D57" s="328" t="s">
        <v>316</v>
      </c>
      <c r="E57" s="329">
        <v>1</v>
      </c>
      <c r="G57" s="328" t="s">
        <v>137</v>
      </c>
      <c r="H57" s="329">
        <v>22453.8</v>
      </c>
      <c r="J57" s="328" t="s">
        <v>117</v>
      </c>
      <c r="K57" s="329">
        <v>7960</v>
      </c>
      <c r="M57" s="328" t="s">
        <v>316</v>
      </c>
      <c r="N57" s="329">
        <v>1876357.8</v>
      </c>
      <c r="P57" s="328" t="s">
        <v>253</v>
      </c>
      <c r="Q57" s="329">
        <v>1</v>
      </c>
      <c r="S57" s="328" t="s">
        <v>264</v>
      </c>
      <c r="T57" s="329"/>
      <c r="BF57" s="328" t="s">
        <v>273</v>
      </c>
      <c r="BG57" s="329">
        <v>1</v>
      </c>
      <c r="BL57" s="328" t="s">
        <v>273</v>
      </c>
      <c r="BM57" s="329">
        <v>4000</v>
      </c>
      <c r="CA57" s="328" t="s">
        <v>432</v>
      </c>
      <c r="CB57" s="329">
        <v>1</v>
      </c>
    </row>
    <row r="58" spans="1:80">
      <c r="A58" s="328" t="s">
        <v>119</v>
      </c>
      <c r="B58" s="329">
        <v>1</v>
      </c>
      <c r="D58" s="328" t="s">
        <v>297</v>
      </c>
      <c r="E58" s="329">
        <v>1</v>
      </c>
      <c r="G58" s="328" t="s">
        <v>88</v>
      </c>
      <c r="H58" s="329">
        <v>11757.8</v>
      </c>
      <c r="J58" s="328" t="s">
        <v>119</v>
      </c>
      <c r="K58" s="329">
        <v>11407</v>
      </c>
      <c r="M58" s="328" t="s">
        <v>297</v>
      </c>
      <c r="N58" s="329">
        <v>1361</v>
      </c>
      <c r="P58" s="328" t="s">
        <v>117</v>
      </c>
      <c r="Q58" s="329">
        <v>1</v>
      </c>
      <c r="S58" s="328" t="s">
        <v>316</v>
      </c>
      <c r="T58" s="329"/>
      <c r="BF58" s="328" t="s">
        <v>275</v>
      </c>
      <c r="BG58" s="329">
        <v>1</v>
      </c>
      <c r="BL58" s="328" t="s">
        <v>275</v>
      </c>
      <c r="BM58" s="329">
        <v>1641</v>
      </c>
      <c r="CA58" s="328" t="s">
        <v>411</v>
      </c>
      <c r="CB58" s="329">
        <v>2</v>
      </c>
    </row>
    <row r="59" spans="1:80">
      <c r="A59" s="328" t="s">
        <v>154</v>
      </c>
      <c r="B59" s="329">
        <v>1</v>
      </c>
      <c r="D59" s="328" t="s">
        <v>304</v>
      </c>
      <c r="E59" s="329">
        <v>1</v>
      </c>
      <c r="G59" s="328" t="s">
        <v>21</v>
      </c>
      <c r="H59" s="329">
        <v>1778400</v>
      </c>
      <c r="J59" s="328" t="s">
        <v>154</v>
      </c>
      <c r="K59" s="329">
        <v>26808</v>
      </c>
      <c r="M59" s="328" t="s">
        <v>304</v>
      </c>
      <c r="N59" s="329">
        <v>6790</v>
      </c>
      <c r="P59" s="328" t="s">
        <v>119</v>
      </c>
      <c r="Q59" s="329">
        <v>1</v>
      </c>
      <c r="S59" s="328" t="s">
        <v>297</v>
      </c>
      <c r="T59" s="329"/>
      <c r="BF59" s="328" t="s">
        <v>278</v>
      </c>
      <c r="BG59" s="329">
        <v>1</v>
      </c>
      <c r="BL59" s="328" t="s">
        <v>278</v>
      </c>
      <c r="BM59" s="329">
        <v>538522.97</v>
      </c>
      <c r="CA59" s="328" t="s">
        <v>413</v>
      </c>
      <c r="CB59" s="329">
        <v>1</v>
      </c>
    </row>
    <row r="60" spans="1:80">
      <c r="A60" s="328" t="s">
        <v>152</v>
      </c>
      <c r="B60" s="329">
        <v>1</v>
      </c>
      <c r="D60" s="328" t="s">
        <v>328</v>
      </c>
      <c r="E60" s="329">
        <v>1</v>
      </c>
      <c r="G60" s="328" t="s">
        <v>80</v>
      </c>
      <c r="H60" s="329">
        <v>4666</v>
      </c>
      <c r="J60" s="328" t="s">
        <v>152</v>
      </c>
      <c r="K60" s="329">
        <v>8059.06</v>
      </c>
      <c r="M60" s="328" t="s">
        <v>328</v>
      </c>
      <c r="N60" s="329">
        <v>681597.98</v>
      </c>
      <c r="P60" s="328" t="s">
        <v>154</v>
      </c>
      <c r="Q60" s="329"/>
      <c r="S60" s="328" t="s">
        <v>304</v>
      </c>
      <c r="T60" s="329"/>
      <c r="BF60" s="328" t="s">
        <v>310</v>
      </c>
      <c r="BG60" s="329">
        <v>1</v>
      </c>
      <c r="BL60" s="328" t="s">
        <v>310</v>
      </c>
      <c r="BM60" s="329">
        <v>2355</v>
      </c>
      <c r="CA60" s="328" t="s">
        <v>422</v>
      </c>
      <c r="CB60" s="329">
        <v>1</v>
      </c>
    </row>
    <row r="61" spans="1:80">
      <c r="A61" s="328" t="s">
        <v>443</v>
      </c>
      <c r="B61" s="329">
        <v>1</v>
      </c>
      <c r="D61" s="328" t="s">
        <v>334</v>
      </c>
      <c r="E61" s="329">
        <v>1</v>
      </c>
      <c r="G61" s="328" t="s">
        <v>68</v>
      </c>
      <c r="H61" s="329">
        <v>16271.44</v>
      </c>
      <c r="J61" s="328" t="s">
        <v>443</v>
      </c>
      <c r="K61" s="329">
        <v>72820.7</v>
      </c>
      <c r="M61" s="328" t="s">
        <v>334</v>
      </c>
      <c r="N61" s="329">
        <v>990000</v>
      </c>
      <c r="P61" s="328" t="s">
        <v>152</v>
      </c>
      <c r="Q61" s="329">
        <v>1</v>
      </c>
      <c r="S61" s="328" t="s">
        <v>328</v>
      </c>
      <c r="T61" s="329"/>
      <c r="BF61" s="328" t="s">
        <v>306</v>
      </c>
      <c r="BG61" s="329">
        <v>1</v>
      </c>
      <c r="BL61" s="328" t="s">
        <v>306</v>
      </c>
      <c r="BM61" s="329">
        <v>9280</v>
      </c>
      <c r="CA61" s="328" t="s">
        <v>452</v>
      </c>
      <c r="CB61" s="329">
        <v>1</v>
      </c>
    </row>
    <row r="62" spans="1:80">
      <c r="A62" s="328" t="s">
        <v>285</v>
      </c>
      <c r="B62" s="329">
        <v>1</v>
      </c>
      <c r="D62" s="328" t="s">
        <v>320</v>
      </c>
      <c r="E62" s="329">
        <v>1</v>
      </c>
      <c r="G62" s="328" t="s">
        <v>86</v>
      </c>
      <c r="H62" s="329">
        <v>1631.75</v>
      </c>
      <c r="J62" s="328" t="s">
        <v>285</v>
      </c>
      <c r="K62" s="329">
        <v>112916.07</v>
      </c>
      <c r="M62" s="328" t="s">
        <v>320</v>
      </c>
      <c r="N62" s="329">
        <v>1685780</v>
      </c>
      <c r="P62" s="328" t="s">
        <v>443</v>
      </c>
      <c r="Q62" s="329"/>
      <c r="S62" s="328" t="s">
        <v>334</v>
      </c>
      <c r="T62" s="329"/>
      <c r="BF62" s="328" t="s">
        <v>312</v>
      </c>
      <c r="BG62" s="329">
        <v>1</v>
      </c>
      <c r="BL62" s="328" t="s">
        <v>312</v>
      </c>
      <c r="BM62" s="329">
        <v>3234</v>
      </c>
      <c r="CA62" s="330" t="s">
        <v>426</v>
      </c>
      <c r="CB62" s="331">
        <v>1</v>
      </c>
    </row>
    <row r="63" spans="1:80">
      <c r="A63" s="328" t="s">
        <v>287</v>
      </c>
      <c r="B63" s="329">
        <v>1</v>
      </c>
      <c r="D63" s="328" t="s">
        <v>323</v>
      </c>
      <c r="E63" s="329">
        <v>1</v>
      </c>
      <c r="G63" s="328" t="s">
        <v>84</v>
      </c>
      <c r="H63" s="329">
        <v>976.92</v>
      </c>
      <c r="J63" s="328" t="s">
        <v>287</v>
      </c>
      <c r="K63" s="329">
        <v>86613.78</v>
      </c>
      <c r="M63" s="328" t="s">
        <v>323</v>
      </c>
      <c r="N63" s="329">
        <v>1005957.3</v>
      </c>
      <c r="P63" s="328" t="s">
        <v>285</v>
      </c>
      <c r="Q63" s="329"/>
      <c r="S63" s="328" t="s">
        <v>320</v>
      </c>
      <c r="T63" s="329"/>
      <c r="BF63" s="328" t="s">
        <v>314</v>
      </c>
      <c r="BG63" s="329">
        <v>1</v>
      </c>
      <c r="BL63" s="328" t="s">
        <v>314</v>
      </c>
      <c r="BM63" s="329">
        <v>53404.18</v>
      </c>
    </row>
    <row r="64" spans="1:80">
      <c r="A64" s="328" t="s">
        <v>283</v>
      </c>
      <c r="B64" s="329">
        <v>1</v>
      </c>
      <c r="D64" s="328" t="s">
        <v>330</v>
      </c>
      <c r="E64" s="329">
        <v>1</v>
      </c>
      <c r="G64" s="328" t="s">
        <v>200</v>
      </c>
      <c r="H64" s="329">
        <v>116360.88</v>
      </c>
      <c r="J64" s="328" t="s">
        <v>283</v>
      </c>
      <c r="K64" s="329">
        <v>41731.800000000003</v>
      </c>
      <c r="M64" s="328" t="s">
        <v>330</v>
      </c>
      <c r="N64" s="329">
        <v>60699.75</v>
      </c>
      <c r="P64" s="328" t="s">
        <v>287</v>
      </c>
      <c r="Q64" s="329"/>
      <c r="S64" s="328" t="s">
        <v>323</v>
      </c>
      <c r="T64" s="329"/>
      <c r="BF64" s="328" t="s">
        <v>318</v>
      </c>
      <c r="BG64" s="329">
        <v>1</v>
      </c>
      <c r="BL64" s="328" t="s">
        <v>318</v>
      </c>
      <c r="BM64" s="329">
        <v>11200</v>
      </c>
    </row>
    <row r="65" spans="1:65">
      <c r="A65" s="328" t="s">
        <v>445</v>
      </c>
      <c r="B65" s="329">
        <v>1</v>
      </c>
      <c r="D65" s="328" t="s">
        <v>326</v>
      </c>
      <c r="E65" s="329">
        <v>1</v>
      </c>
      <c r="G65" s="328" t="s">
        <v>82</v>
      </c>
      <c r="H65" s="329">
        <v>192</v>
      </c>
      <c r="J65" s="328" t="s">
        <v>445</v>
      </c>
      <c r="K65" s="329">
        <v>72094.899999999994</v>
      </c>
      <c r="M65" s="328" t="s">
        <v>326</v>
      </c>
      <c r="N65" s="329">
        <v>29600</v>
      </c>
      <c r="P65" s="328" t="s">
        <v>283</v>
      </c>
      <c r="Q65" s="329"/>
      <c r="S65" s="328" t="s">
        <v>330</v>
      </c>
      <c r="T65" s="329"/>
      <c r="BF65" s="328" t="s">
        <v>336</v>
      </c>
      <c r="BG65" s="329">
        <v>1</v>
      </c>
      <c r="BL65" s="328" t="s">
        <v>336</v>
      </c>
      <c r="BM65" s="329">
        <v>345421.81</v>
      </c>
    </row>
    <row r="66" spans="1:65">
      <c r="A66" s="328" t="s">
        <v>293</v>
      </c>
      <c r="B66" s="329">
        <v>1</v>
      </c>
      <c r="D66" s="328" t="s">
        <v>374</v>
      </c>
      <c r="E66" s="329">
        <v>1</v>
      </c>
      <c r="G66" s="328" t="s">
        <v>74</v>
      </c>
      <c r="H66" s="329">
        <v>434305.84</v>
      </c>
      <c r="J66" s="328" t="s">
        <v>293</v>
      </c>
      <c r="K66" s="329">
        <v>73481.55</v>
      </c>
      <c r="M66" s="328" t="s">
        <v>374</v>
      </c>
      <c r="N66" s="329">
        <v>27034</v>
      </c>
      <c r="P66" s="328" t="s">
        <v>445</v>
      </c>
      <c r="Q66" s="329"/>
      <c r="S66" s="328" t="s">
        <v>326</v>
      </c>
      <c r="T66" s="329"/>
      <c r="BF66" s="328" t="s">
        <v>340</v>
      </c>
      <c r="BG66" s="329">
        <v>1</v>
      </c>
      <c r="BL66" s="328" t="s">
        <v>340</v>
      </c>
      <c r="BM66" s="329">
        <v>60703.44</v>
      </c>
    </row>
    <row r="67" spans="1:65">
      <c r="A67" s="328" t="s">
        <v>295</v>
      </c>
      <c r="B67" s="329">
        <v>1</v>
      </c>
      <c r="D67" s="328" t="s">
        <v>345</v>
      </c>
      <c r="E67" s="329">
        <v>1</v>
      </c>
      <c r="G67" s="328" t="s">
        <v>166</v>
      </c>
      <c r="H67" s="329">
        <v>7650</v>
      </c>
      <c r="J67" s="328" t="s">
        <v>295</v>
      </c>
      <c r="K67" s="329">
        <v>41515.14</v>
      </c>
      <c r="M67" s="328" t="s">
        <v>345</v>
      </c>
      <c r="N67" s="329">
        <v>30044.77</v>
      </c>
      <c r="P67" s="328" t="s">
        <v>293</v>
      </c>
      <c r="Q67" s="329"/>
      <c r="S67" s="328" t="s">
        <v>374</v>
      </c>
      <c r="T67" s="329"/>
      <c r="BF67" s="328" t="s">
        <v>343</v>
      </c>
      <c r="BG67" s="329">
        <v>1</v>
      </c>
      <c r="BL67" s="328" t="s">
        <v>343</v>
      </c>
      <c r="BM67" s="329">
        <v>56473.2</v>
      </c>
    </row>
    <row r="68" spans="1:65">
      <c r="A68" s="328" t="s">
        <v>289</v>
      </c>
      <c r="B68" s="329">
        <v>1</v>
      </c>
      <c r="D68" s="328" t="s">
        <v>347</v>
      </c>
      <c r="E68" s="329">
        <v>1</v>
      </c>
      <c r="G68" s="328" t="s">
        <v>35</v>
      </c>
      <c r="H68" s="329">
        <v>85981.41</v>
      </c>
      <c r="J68" s="328" t="s">
        <v>289</v>
      </c>
      <c r="K68" s="329">
        <v>75344.070000000007</v>
      </c>
      <c r="M68" s="328" t="s">
        <v>347</v>
      </c>
      <c r="N68" s="329">
        <v>1685780</v>
      </c>
      <c r="P68" s="328" t="s">
        <v>295</v>
      </c>
      <c r="Q68" s="329"/>
      <c r="S68" s="328" t="s">
        <v>345</v>
      </c>
      <c r="T68" s="329"/>
      <c r="BF68" s="328" t="s">
        <v>349</v>
      </c>
      <c r="BG68" s="329">
        <v>1</v>
      </c>
      <c r="BL68" s="328" t="s">
        <v>349</v>
      </c>
      <c r="BM68" s="329">
        <v>1250</v>
      </c>
    </row>
    <row r="69" spans="1:65">
      <c r="A69" s="328" t="s">
        <v>291</v>
      </c>
      <c r="B69" s="329">
        <v>1</v>
      </c>
      <c r="D69" s="328" t="s">
        <v>355</v>
      </c>
      <c r="E69" s="329">
        <v>1</v>
      </c>
      <c r="G69" s="328" t="s">
        <v>28</v>
      </c>
      <c r="H69" s="329">
        <v>106123</v>
      </c>
      <c r="J69" s="328" t="s">
        <v>291</v>
      </c>
      <c r="K69" s="329">
        <v>46447.77</v>
      </c>
      <c r="M69" s="328" t="s">
        <v>355</v>
      </c>
      <c r="N69" s="329">
        <v>3300000</v>
      </c>
      <c r="P69" s="328" t="s">
        <v>289</v>
      </c>
      <c r="Q69" s="329"/>
      <c r="S69" s="328" t="s">
        <v>347</v>
      </c>
      <c r="T69" s="329"/>
      <c r="BF69" s="328" t="s">
        <v>351</v>
      </c>
      <c r="BG69" s="329">
        <v>1</v>
      </c>
      <c r="BL69" s="328" t="s">
        <v>351</v>
      </c>
      <c r="BM69" s="329">
        <v>761785</v>
      </c>
    </row>
    <row r="70" spans="1:65">
      <c r="A70" s="328" t="s">
        <v>158</v>
      </c>
      <c r="B70" s="329">
        <v>1</v>
      </c>
      <c r="D70" s="328" t="s">
        <v>401</v>
      </c>
      <c r="E70" s="329">
        <v>1</v>
      </c>
      <c r="G70" s="328" t="s">
        <v>72</v>
      </c>
      <c r="H70" s="329">
        <v>1538000</v>
      </c>
      <c r="J70" s="328" t="s">
        <v>158</v>
      </c>
      <c r="K70" s="329">
        <v>963.9</v>
      </c>
      <c r="M70" s="328" t="s">
        <v>401</v>
      </c>
      <c r="N70" s="329">
        <v>493800</v>
      </c>
      <c r="P70" s="328" t="s">
        <v>291</v>
      </c>
      <c r="Q70" s="329"/>
      <c r="S70" s="328" t="s">
        <v>355</v>
      </c>
      <c r="T70" s="329"/>
      <c r="BF70" s="328" t="s">
        <v>353</v>
      </c>
      <c r="BG70" s="329">
        <v>1</v>
      </c>
      <c r="BL70" s="328" t="s">
        <v>353</v>
      </c>
      <c r="BM70" s="329">
        <v>44696</v>
      </c>
    </row>
    <row r="71" spans="1:65">
      <c r="A71" s="328" t="s">
        <v>160</v>
      </c>
      <c r="B71" s="329">
        <v>1</v>
      </c>
      <c r="D71" s="328" t="s">
        <v>378</v>
      </c>
      <c r="E71" s="329">
        <v>1</v>
      </c>
      <c r="G71" s="328" t="s">
        <v>55</v>
      </c>
      <c r="H71" s="329">
        <v>19470</v>
      </c>
      <c r="J71" s="328" t="s">
        <v>160</v>
      </c>
      <c r="K71" s="329">
        <v>13750</v>
      </c>
      <c r="M71" s="328" t="s">
        <v>378</v>
      </c>
      <c r="N71" s="329">
        <v>3013272</v>
      </c>
      <c r="P71" s="328" t="s">
        <v>158</v>
      </c>
      <c r="Q71" s="329">
        <v>1</v>
      </c>
      <c r="S71" s="328" t="s">
        <v>401</v>
      </c>
      <c r="T71" s="329"/>
      <c r="BF71" s="328" t="s">
        <v>362</v>
      </c>
      <c r="BG71" s="329">
        <v>1</v>
      </c>
      <c r="BL71" s="328" t="s">
        <v>362</v>
      </c>
      <c r="BM71" s="329">
        <v>110684.32</v>
      </c>
    </row>
    <row r="72" spans="1:65">
      <c r="A72" s="328" t="s">
        <v>173</v>
      </c>
      <c r="B72" s="329">
        <v>1</v>
      </c>
      <c r="D72" s="328" t="s">
        <v>387</v>
      </c>
      <c r="E72" s="329">
        <v>1</v>
      </c>
      <c r="G72" s="328" t="s">
        <v>39</v>
      </c>
      <c r="H72" s="329">
        <v>990000</v>
      </c>
      <c r="J72" s="328" t="s">
        <v>173</v>
      </c>
      <c r="K72" s="329">
        <v>73530</v>
      </c>
      <c r="M72" s="328" t="s">
        <v>387</v>
      </c>
      <c r="N72" s="329">
        <v>631439</v>
      </c>
      <c r="P72" s="328" t="s">
        <v>160</v>
      </c>
      <c r="Q72" s="329">
        <v>1</v>
      </c>
      <c r="S72" s="328" t="s">
        <v>378</v>
      </c>
      <c r="T72" s="329"/>
      <c r="BF72" s="328" t="s">
        <v>366</v>
      </c>
      <c r="BG72" s="329">
        <v>1</v>
      </c>
      <c r="BL72" s="328" t="s">
        <v>366</v>
      </c>
      <c r="BM72" s="329">
        <v>153208.04999999999</v>
      </c>
    </row>
    <row r="73" spans="1:65">
      <c r="A73" s="328" t="s">
        <v>178</v>
      </c>
      <c r="B73" s="329">
        <v>1</v>
      </c>
      <c r="D73" s="328" t="s">
        <v>436</v>
      </c>
      <c r="E73" s="329">
        <v>1</v>
      </c>
      <c r="G73" s="328" t="s">
        <v>61</v>
      </c>
      <c r="H73" s="329">
        <v>2375</v>
      </c>
      <c r="J73" s="328" t="s">
        <v>178</v>
      </c>
      <c r="K73" s="329">
        <v>1325</v>
      </c>
      <c r="M73" s="328" t="s">
        <v>436</v>
      </c>
      <c r="N73" s="329">
        <v>325000</v>
      </c>
      <c r="P73" s="328" t="s">
        <v>173</v>
      </c>
      <c r="Q73" s="329"/>
      <c r="S73" s="328" t="s">
        <v>387</v>
      </c>
      <c r="T73" s="329"/>
      <c r="BF73" s="328" t="s">
        <v>370</v>
      </c>
      <c r="BG73" s="329">
        <v>1</v>
      </c>
      <c r="BL73" s="328" t="s">
        <v>370</v>
      </c>
      <c r="BM73" s="329">
        <v>2257.85</v>
      </c>
    </row>
    <row r="74" spans="1:65">
      <c r="A74" s="328" t="s">
        <v>338</v>
      </c>
      <c r="B74" s="329">
        <v>1</v>
      </c>
      <c r="D74" s="328" t="s">
        <v>384</v>
      </c>
      <c r="E74" s="329">
        <v>1</v>
      </c>
      <c r="G74" s="328" t="s">
        <v>202</v>
      </c>
      <c r="H74" s="329">
        <v>9744.27</v>
      </c>
      <c r="J74" s="328" t="s">
        <v>338</v>
      </c>
      <c r="K74" s="329">
        <v>97250.5</v>
      </c>
      <c r="M74" s="328" t="s">
        <v>384</v>
      </c>
      <c r="N74" s="329">
        <v>1361</v>
      </c>
      <c r="P74" s="328" t="s">
        <v>178</v>
      </c>
      <c r="Q74" s="329">
        <v>1</v>
      </c>
      <c r="S74" s="328" t="s">
        <v>436</v>
      </c>
      <c r="T74" s="329"/>
      <c r="BF74" s="328" t="s">
        <v>371</v>
      </c>
      <c r="BG74" s="329">
        <v>1</v>
      </c>
      <c r="BL74" s="328" t="s">
        <v>371</v>
      </c>
      <c r="BM74" s="329">
        <v>6047.75</v>
      </c>
    </row>
    <row r="75" spans="1:65">
      <c r="A75" s="328" t="s">
        <v>360</v>
      </c>
      <c r="B75" s="329">
        <v>1</v>
      </c>
      <c r="D75" s="328" t="s">
        <v>389</v>
      </c>
      <c r="E75" s="329">
        <v>1</v>
      </c>
      <c r="G75" s="328" t="s">
        <v>186</v>
      </c>
      <c r="H75" s="329">
        <v>4382364</v>
      </c>
      <c r="J75" s="328" t="s">
        <v>360</v>
      </c>
      <c r="K75" s="329">
        <v>37837.58</v>
      </c>
      <c r="M75" s="328" t="s">
        <v>389</v>
      </c>
      <c r="N75" s="329">
        <v>313560</v>
      </c>
      <c r="P75" s="328" t="s">
        <v>338</v>
      </c>
      <c r="Q75" s="329"/>
      <c r="S75" s="328" t="s">
        <v>384</v>
      </c>
      <c r="T75" s="329"/>
      <c r="BF75" s="328" t="s">
        <v>376</v>
      </c>
      <c r="BG75" s="329">
        <v>1</v>
      </c>
      <c r="BL75" s="328" t="s">
        <v>376</v>
      </c>
      <c r="BM75" s="329">
        <v>5397.3</v>
      </c>
    </row>
    <row r="76" spans="1:65">
      <c r="A76" s="328" t="s">
        <v>255</v>
      </c>
      <c r="B76" s="329">
        <v>1</v>
      </c>
      <c r="D76" s="328" t="s">
        <v>407</v>
      </c>
      <c r="E76" s="329">
        <v>1</v>
      </c>
      <c r="G76" s="328" t="s">
        <v>57</v>
      </c>
      <c r="H76" s="329">
        <v>57317.760000000002</v>
      </c>
      <c r="J76" s="328" t="s">
        <v>255</v>
      </c>
      <c r="K76" s="329">
        <v>19954.560000000001</v>
      </c>
      <c r="M76" s="328" t="s">
        <v>407</v>
      </c>
      <c r="N76" s="329">
        <v>26490</v>
      </c>
      <c r="P76" s="328" t="s">
        <v>360</v>
      </c>
      <c r="Q76" s="329"/>
      <c r="S76" s="328" t="s">
        <v>389</v>
      </c>
      <c r="T76" s="329"/>
      <c r="BF76" s="328" t="s">
        <v>409</v>
      </c>
      <c r="BG76" s="329">
        <v>1</v>
      </c>
      <c r="BL76" s="328" t="s">
        <v>409</v>
      </c>
      <c r="BM76" s="329">
        <v>331749.36</v>
      </c>
    </row>
    <row r="77" spans="1:65">
      <c r="A77" s="328" t="s">
        <v>222</v>
      </c>
      <c r="B77" s="329">
        <v>1</v>
      </c>
      <c r="D77" s="328" t="s">
        <v>428</v>
      </c>
      <c r="E77" s="329">
        <v>1</v>
      </c>
      <c r="G77" s="328" t="s">
        <v>110</v>
      </c>
      <c r="H77" s="329">
        <v>113526</v>
      </c>
      <c r="J77" s="328" t="s">
        <v>222</v>
      </c>
      <c r="K77" s="329">
        <v>6784</v>
      </c>
      <c r="M77" s="328" t="s">
        <v>428</v>
      </c>
      <c r="N77" s="329">
        <v>8465785</v>
      </c>
      <c r="P77" s="328" t="s">
        <v>255</v>
      </c>
      <c r="Q77" s="329">
        <v>1</v>
      </c>
      <c r="S77" s="328" t="s">
        <v>407</v>
      </c>
      <c r="T77" s="329"/>
      <c r="BF77" s="328" t="s">
        <v>380</v>
      </c>
      <c r="BG77" s="329">
        <v>1</v>
      </c>
      <c r="BL77" s="328" t="s">
        <v>380</v>
      </c>
      <c r="BM77" s="329">
        <v>6972</v>
      </c>
    </row>
    <row r="78" spans="1:65">
      <c r="A78" s="328" t="s">
        <v>226</v>
      </c>
      <c r="B78" s="329">
        <v>1</v>
      </c>
      <c r="D78" s="328" t="s">
        <v>391</v>
      </c>
      <c r="E78" s="329">
        <v>1</v>
      </c>
      <c r="G78" s="328" t="s">
        <v>37</v>
      </c>
      <c r="H78" s="329">
        <v>33480720</v>
      </c>
      <c r="J78" s="328" t="s">
        <v>226</v>
      </c>
      <c r="K78" s="329">
        <v>1050.05</v>
      </c>
      <c r="M78" s="328" t="s">
        <v>391</v>
      </c>
      <c r="N78" s="329">
        <v>135135</v>
      </c>
      <c r="P78" s="328" t="s">
        <v>222</v>
      </c>
      <c r="Q78" s="329">
        <v>1</v>
      </c>
      <c r="S78" s="328" t="s">
        <v>428</v>
      </c>
      <c r="T78" s="329"/>
      <c r="BF78" s="328" t="s">
        <v>382</v>
      </c>
      <c r="BG78" s="329">
        <v>1</v>
      </c>
      <c r="BL78" s="328" t="s">
        <v>382</v>
      </c>
      <c r="BM78" s="329">
        <v>1322.65</v>
      </c>
    </row>
    <row r="79" spans="1:65">
      <c r="A79" s="328" t="s">
        <v>230</v>
      </c>
      <c r="B79" s="329">
        <v>1</v>
      </c>
      <c r="D79" s="328" t="s">
        <v>395</v>
      </c>
      <c r="E79" s="329">
        <v>1</v>
      </c>
      <c r="G79" s="328" t="s">
        <v>121</v>
      </c>
      <c r="H79" s="329">
        <v>196096.08</v>
      </c>
      <c r="J79" s="328" t="s">
        <v>230</v>
      </c>
      <c r="K79" s="329">
        <v>13311.15</v>
      </c>
      <c r="M79" s="328" t="s">
        <v>395</v>
      </c>
      <c r="N79" s="329">
        <v>134686.03</v>
      </c>
      <c r="P79" s="328" t="s">
        <v>226</v>
      </c>
      <c r="Q79" s="329">
        <v>1</v>
      </c>
      <c r="S79" s="328" t="s">
        <v>391</v>
      </c>
      <c r="T79" s="329"/>
      <c r="BF79" s="328" t="s">
        <v>393</v>
      </c>
      <c r="BG79" s="329">
        <v>1</v>
      </c>
      <c r="BL79" s="328" t="s">
        <v>393</v>
      </c>
      <c r="BM79" s="329">
        <v>72462.23</v>
      </c>
    </row>
    <row r="80" spans="1:65">
      <c r="A80" s="328" t="s">
        <v>232</v>
      </c>
      <c r="B80" s="329">
        <v>1</v>
      </c>
      <c r="D80" s="328" t="s">
        <v>424</v>
      </c>
      <c r="E80" s="329">
        <v>1</v>
      </c>
      <c r="G80" s="328" t="s">
        <v>143</v>
      </c>
      <c r="H80" s="329">
        <v>147814.9</v>
      </c>
      <c r="J80" s="328" t="s">
        <v>232</v>
      </c>
      <c r="K80" s="329">
        <v>18480</v>
      </c>
      <c r="M80" s="328" t="s">
        <v>424</v>
      </c>
      <c r="N80" s="329">
        <v>4417765.99</v>
      </c>
      <c r="P80" s="328" t="s">
        <v>230</v>
      </c>
      <c r="Q80" s="329">
        <v>1</v>
      </c>
      <c r="S80" s="328" t="s">
        <v>395</v>
      </c>
      <c r="T80" s="329"/>
      <c r="BF80" s="328" t="s">
        <v>397</v>
      </c>
      <c r="BG80" s="329">
        <v>1</v>
      </c>
      <c r="BL80" s="328" t="s">
        <v>397</v>
      </c>
      <c r="BM80" s="329">
        <v>75762.8</v>
      </c>
    </row>
    <row r="81" spans="1:65">
      <c r="A81" s="328" t="s">
        <v>249</v>
      </c>
      <c r="B81" s="329">
        <v>1</v>
      </c>
      <c r="D81" s="328" t="s">
        <v>403</v>
      </c>
      <c r="E81" s="329">
        <v>1</v>
      </c>
      <c r="G81" s="328" t="s">
        <v>168</v>
      </c>
      <c r="H81" s="329">
        <v>820</v>
      </c>
      <c r="J81" s="328" t="s">
        <v>249</v>
      </c>
      <c r="K81" s="329">
        <v>89960.16</v>
      </c>
      <c r="M81" s="328" t="s">
        <v>403</v>
      </c>
      <c r="N81" s="329">
        <v>263904.84000000003</v>
      </c>
      <c r="P81" s="328" t="s">
        <v>232</v>
      </c>
      <c r="Q81" s="329">
        <v>1</v>
      </c>
      <c r="S81" s="328" t="s">
        <v>424</v>
      </c>
      <c r="T81" s="329"/>
      <c r="BF81" s="328" t="s">
        <v>440</v>
      </c>
      <c r="BG81" s="329">
        <v>1</v>
      </c>
      <c r="BL81" s="328" t="s">
        <v>440</v>
      </c>
      <c r="BM81" s="329">
        <v>1717.2</v>
      </c>
    </row>
    <row r="82" spans="1:65">
      <c r="A82" s="328" t="s">
        <v>266</v>
      </c>
      <c r="B82" s="329">
        <v>1</v>
      </c>
      <c r="D82" s="328" t="s">
        <v>405</v>
      </c>
      <c r="E82" s="329">
        <v>2</v>
      </c>
      <c r="G82" s="328" t="s">
        <v>108</v>
      </c>
      <c r="H82" s="329">
        <v>144046.09</v>
      </c>
      <c r="J82" s="328" t="s">
        <v>266</v>
      </c>
      <c r="K82" s="329">
        <v>44054</v>
      </c>
      <c r="M82" s="328" t="s">
        <v>405</v>
      </c>
      <c r="N82" s="329">
        <v>112250</v>
      </c>
      <c r="P82" s="328" t="s">
        <v>249</v>
      </c>
      <c r="Q82" s="329"/>
      <c r="S82" s="328" t="s">
        <v>403</v>
      </c>
      <c r="T82" s="329"/>
      <c r="BF82" s="328" t="s">
        <v>420</v>
      </c>
      <c r="BG82" s="329">
        <v>1</v>
      </c>
      <c r="BL82" s="328" t="s">
        <v>420</v>
      </c>
      <c r="BM82" s="329">
        <v>304113.09999999998</v>
      </c>
    </row>
    <row r="83" spans="1:65">
      <c r="A83" s="328" t="s">
        <v>269</v>
      </c>
      <c r="B83" s="329">
        <v>1</v>
      </c>
      <c r="D83" s="328" t="s">
        <v>399</v>
      </c>
      <c r="E83" s="329">
        <v>1</v>
      </c>
      <c r="G83" s="328" t="s">
        <v>59</v>
      </c>
      <c r="H83" s="329">
        <v>89853.91</v>
      </c>
      <c r="J83" s="328" t="s">
        <v>269</v>
      </c>
      <c r="K83" s="329">
        <v>15880</v>
      </c>
      <c r="M83" s="328" t="s">
        <v>399</v>
      </c>
      <c r="N83" s="329">
        <v>890968.17</v>
      </c>
      <c r="P83" s="328" t="s">
        <v>266</v>
      </c>
      <c r="Q83" s="329">
        <v>1</v>
      </c>
      <c r="S83" s="328" t="s">
        <v>405</v>
      </c>
      <c r="T83" s="329"/>
      <c r="BF83" s="328" t="s">
        <v>434</v>
      </c>
      <c r="BG83" s="329">
        <v>1</v>
      </c>
      <c r="BL83" s="328" t="s">
        <v>434</v>
      </c>
      <c r="BM83" s="329">
        <v>10256.450000000001</v>
      </c>
    </row>
    <row r="84" spans="1:65">
      <c r="A84" s="328" t="s">
        <v>272</v>
      </c>
      <c r="B84" s="329">
        <v>1</v>
      </c>
      <c r="D84" s="328" t="s">
        <v>418</v>
      </c>
      <c r="E84" s="329">
        <v>1</v>
      </c>
      <c r="G84" s="328" t="s">
        <v>228</v>
      </c>
      <c r="H84" s="329">
        <v>1952460.71</v>
      </c>
      <c r="J84" s="328" t="s">
        <v>272</v>
      </c>
      <c r="K84" s="329">
        <v>3177</v>
      </c>
      <c r="M84" s="328" t="s">
        <v>418</v>
      </c>
      <c r="N84" s="329">
        <v>122700</v>
      </c>
      <c r="P84" s="328" t="s">
        <v>269</v>
      </c>
      <c r="Q84" s="329"/>
      <c r="S84" s="328" t="s">
        <v>399</v>
      </c>
      <c r="T84" s="329"/>
      <c r="BF84" s="328" t="s">
        <v>438</v>
      </c>
      <c r="BG84" s="329">
        <v>1</v>
      </c>
      <c r="BL84" s="328" t="s">
        <v>438</v>
      </c>
      <c r="BM84" s="329">
        <v>90250</v>
      </c>
    </row>
    <row r="85" spans="1:65">
      <c r="A85" s="328" t="s">
        <v>273</v>
      </c>
      <c r="B85" s="329">
        <v>1</v>
      </c>
      <c r="D85" s="328" t="s">
        <v>432</v>
      </c>
      <c r="E85" s="329">
        <v>1</v>
      </c>
      <c r="G85" s="328" t="s">
        <v>124</v>
      </c>
      <c r="H85" s="329">
        <v>835200</v>
      </c>
      <c r="J85" s="328" t="s">
        <v>273</v>
      </c>
      <c r="K85" s="329">
        <v>4000</v>
      </c>
      <c r="M85" s="328" t="s">
        <v>432</v>
      </c>
      <c r="N85" s="329">
        <v>397000</v>
      </c>
      <c r="P85" s="328" t="s">
        <v>272</v>
      </c>
      <c r="Q85" s="329">
        <v>1</v>
      </c>
      <c r="S85" s="328" t="s">
        <v>418</v>
      </c>
      <c r="T85" s="329"/>
      <c r="BF85" s="330" t="s">
        <v>449</v>
      </c>
      <c r="BG85" s="331">
        <v>1</v>
      </c>
      <c r="BL85" s="330" t="s">
        <v>449</v>
      </c>
      <c r="BM85" s="331">
        <v>558</v>
      </c>
    </row>
    <row r="86" spans="1:65">
      <c r="A86" s="328" t="s">
        <v>275</v>
      </c>
      <c r="B86" s="329">
        <v>1</v>
      </c>
      <c r="D86" s="328" t="s">
        <v>411</v>
      </c>
      <c r="E86" s="329">
        <v>2</v>
      </c>
      <c r="G86" s="328" t="s">
        <v>162</v>
      </c>
      <c r="H86" s="329">
        <v>798231</v>
      </c>
      <c r="J86" s="328" t="s">
        <v>275</v>
      </c>
      <c r="K86" s="329">
        <v>1641</v>
      </c>
      <c r="M86" s="328" t="s">
        <v>411</v>
      </c>
      <c r="N86" s="329">
        <v>1156068</v>
      </c>
      <c r="P86" s="328" t="s">
        <v>273</v>
      </c>
      <c r="Q86" s="329">
        <v>1</v>
      </c>
      <c r="S86" s="328" t="s">
        <v>432</v>
      </c>
      <c r="T86" s="329"/>
    </row>
    <row r="87" spans="1:65">
      <c r="A87" s="328" t="s">
        <v>278</v>
      </c>
      <c r="B87" s="329">
        <v>1</v>
      </c>
      <c r="D87" s="328" t="s">
        <v>413</v>
      </c>
      <c r="E87" s="329">
        <v>1</v>
      </c>
      <c r="G87" s="328" t="s">
        <v>145</v>
      </c>
      <c r="H87" s="329">
        <v>18161.650000000001</v>
      </c>
      <c r="J87" s="328" t="s">
        <v>278</v>
      </c>
      <c r="K87" s="329">
        <v>538522.97</v>
      </c>
      <c r="M87" s="328" t="s">
        <v>413</v>
      </c>
      <c r="N87" s="329">
        <v>131200</v>
      </c>
      <c r="P87" s="328" t="s">
        <v>275</v>
      </c>
      <c r="Q87" s="329">
        <v>1</v>
      </c>
      <c r="S87" s="328" t="s">
        <v>411</v>
      </c>
      <c r="T87" s="329"/>
    </row>
    <row r="88" spans="1:65">
      <c r="A88" s="328" t="s">
        <v>280</v>
      </c>
      <c r="B88" s="329">
        <v>1</v>
      </c>
      <c r="D88" s="328" t="s">
        <v>422</v>
      </c>
      <c r="E88" s="329">
        <v>1</v>
      </c>
      <c r="G88" s="328" t="s">
        <v>253</v>
      </c>
      <c r="H88" s="329">
        <v>5340</v>
      </c>
      <c r="J88" s="328" t="s">
        <v>280</v>
      </c>
      <c r="K88" s="329">
        <v>5600</v>
      </c>
      <c r="M88" s="328" t="s">
        <v>422</v>
      </c>
      <c r="N88" s="329">
        <v>210000</v>
      </c>
      <c r="P88" s="328" t="s">
        <v>278</v>
      </c>
      <c r="Q88" s="329"/>
      <c r="S88" s="328" t="s">
        <v>413</v>
      </c>
      <c r="T88" s="329"/>
    </row>
    <row r="89" spans="1:65">
      <c r="A89" s="328" t="s">
        <v>310</v>
      </c>
      <c r="B89" s="329">
        <v>1</v>
      </c>
      <c r="D89" s="328" t="s">
        <v>452</v>
      </c>
      <c r="E89" s="329">
        <v>1</v>
      </c>
      <c r="G89" s="328" t="s">
        <v>148</v>
      </c>
      <c r="H89" s="329">
        <v>274500</v>
      </c>
      <c r="J89" s="328" t="s">
        <v>310</v>
      </c>
      <c r="K89" s="329">
        <v>2355</v>
      </c>
      <c r="M89" s="328" t="s">
        <v>452</v>
      </c>
      <c r="N89" s="329">
        <v>49780</v>
      </c>
      <c r="P89" s="328" t="s">
        <v>280</v>
      </c>
      <c r="Q89" s="329"/>
      <c r="S89" s="328" t="s">
        <v>422</v>
      </c>
      <c r="T89" s="329"/>
    </row>
    <row r="90" spans="1:65">
      <c r="A90" s="328" t="s">
        <v>306</v>
      </c>
      <c r="B90" s="329">
        <v>1</v>
      </c>
      <c r="D90" s="330" t="s">
        <v>426</v>
      </c>
      <c r="E90" s="331">
        <v>1</v>
      </c>
      <c r="G90" s="328" t="s">
        <v>117</v>
      </c>
      <c r="H90" s="329">
        <v>7960</v>
      </c>
      <c r="J90" s="328" t="s">
        <v>306</v>
      </c>
      <c r="K90" s="329">
        <v>9280</v>
      </c>
      <c r="M90" s="330" t="s">
        <v>426</v>
      </c>
      <c r="N90" s="331">
        <v>49485.94</v>
      </c>
      <c r="P90" s="328" t="s">
        <v>310</v>
      </c>
      <c r="Q90" s="329"/>
      <c r="S90" s="328" t="s">
        <v>452</v>
      </c>
      <c r="T90" s="329"/>
    </row>
    <row r="91" spans="1:65">
      <c r="A91" s="328" t="s">
        <v>312</v>
      </c>
      <c r="B91" s="329">
        <v>1</v>
      </c>
      <c r="G91" s="328" t="s">
        <v>119</v>
      </c>
      <c r="H91" s="329">
        <v>11407</v>
      </c>
      <c r="J91" s="328" t="s">
        <v>312</v>
      </c>
      <c r="K91" s="329">
        <v>3234</v>
      </c>
      <c r="P91" s="328" t="s">
        <v>306</v>
      </c>
      <c r="Q91" s="329">
        <v>1</v>
      </c>
      <c r="S91" s="330" t="s">
        <v>426</v>
      </c>
      <c r="T91" s="331"/>
    </row>
    <row r="92" spans="1:65">
      <c r="A92" s="328" t="s">
        <v>314</v>
      </c>
      <c r="B92" s="329">
        <v>1</v>
      </c>
      <c r="G92" s="328" t="s">
        <v>154</v>
      </c>
      <c r="H92" s="329">
        <v>26808</v>
      </c>
      <c r="J92" s="328" t="s">
        <v>314</v>
      </c>
      <c r="K92" s="329">
        <v>53404.18</v>
      </c>
      <c r="P92" s="328" t="s">
        <v>312</v>
      </c>
      <c r="Q92" s="329">
        <v>1</v>
      </c>
    </row>
    <row r="93" spans="1:65">
      <c r="A93" s="328" t="s">
        <v>318</v>
      </c>
      <c r="B93" s="329">
        <v>1</v>
      </c>
      <c r="G93" s="328" t="s">
        <v>152</v>
      </c>
      <c r="H93" s="329">
        <v>8059.06</v>
      </c>
      <c r="J93" s="328" t="s">
        <v>318</v>
      </c>
      <c r="K93" s="329">
        <v>11200</v>
      </c>
      <c r="P93" s="328" t="s">
        <v>314</v>
      </c>
      <c r="Q93" s="329">
        <v>1</v>
      </c>
    </row>
    <row r="94" spans="1:65">
      <c r="A94" s="328" t="s">
        <v>368</v>
      </c>
      <c r="B94" s="329">
        <v>1</v>
      </c>
      <c r="G94" s="328" t="s">
        <v>443</v>
      </c>
      <c r="H94" s="329">
        <v>72820.7</v>
      </c>
      <c r="J94" s="328" t="s">
        <v>368</v>
      </c>
      <c r="K94" s="329">
        <v>1036731.47</v>
      </c>
      <c r="P94" s="328" t="s">
        <v>318</v>
      </c>
      <c r="Q94" s="329">
        <v>1</v>
      </c>
    </row>
    <row r="95" spans="1:65">
      <c r="A95" s="328" t="s">
        <v>332</v>
      </c>
      <c r="B95" s="329">
        <v>1</v>
      </c>
      <c r="G95" s="328" t="s">
        <v>285</v>
      </c>
      <c r="H95" s="329">
        <v>112916.07</v>
      </c>
      <c r="J95" s="328" t="s">
        <v>332</v>
      </c>
      <c r="K95" s="329">
        <v>49913.69</v>
      </c>
      <c r="P95" s="328" t="s">
        <v>368</v>
      </c>
      <c r="Q95" s="329"/>
    </row>
    <row r="96" spans="1:65">
      <c r="A96" s="328" t="s">
        <v>336</v>
      </c>
      <c r="B96" s="329">
        <v>1</v>
      </c>
      <c r="G96" s="328" t="s">
        <v>287</v>
      </c>
      <c r="H96" s="329">
        <v>86613.78</v>
      </c>
      <c r="J96" s="328" t="s">
        <v>336</v>
      </c>
      <c r="K96" s="329">
        <v>345421.81</v>
      </c>
      <c r="P96" s="328" t="s">
        <v>332</v>
      </c>
      <c r="Q96" s="329"/>
    </row>
    <row r="97" spans="1:17">
      <c r="A97" s="328" t="s">
        <v>340</v>
      </c>
      <c r="B97" s="329">
        <v>1</v>
      </c>
      <c r="G97" s="328" t="s">
        <v>283</v>
      </c>
      <c r="H97" s="329">
        <v>41731.800000000003</v>
      </c>
      <c r="J97" s="328" t="s">
        <v>340</v>
      </c>
      <c r="K97" s="329">
        <v>60703.44</v>
      </c>
      <c r="P97" s="328" t="s">
        <v>336</v>
      </c>
      <c r="Q97" s="329"/>
    </row>
    <row r="98" spans="1:17">
      <c r="A98" s="328" t="s">
        <v>343</v>
      </c>
      <c r="B98" s="329">
        <v>1</v>
      </c>
      <c r="G98" s="328" t="s">
        <v>445</v>
      </c>
      <c r="H98" s="329">
        <v>72094.899999999994</v>
      </c>
      <c r="J98" s="328" t="s">
        <v>343</v>
      </c>
      <c r="K98" s="329">
        <v>56473.2</v>
      </c>
      <c r="P98" s="328" t="s">
        <v>340</v>
      </c>
      <c r="Q98" s="329"/>
    </row>
    <row r="99" spans="1:17">
      <c r="A99" s="328" t="s">
        <v>349</v>
      </c>
      <c r="B99" s="329">
        <v>1</v>
      </c>
      <c r="G99" s="328" t="s">
        <v>293</v>
      </c>
      <c r="H99" s="329">
        <v>73481.55</v>
      </c>
      <c r="J99" s="328" t="s">
        <v>349</v>
      </c>
      <c r="K99" s="329">
        <v>1250</v>
      </c>
      <c r="P99" s="328" t="s">
        <v>343</v>
      </c>
      <c r="Q99" s="329">
        <v>1</v>
      </c>
    </row>
    <row r="100" spans="1:17">
      <c r="A100" s="328" t="s">
        <v>364</v>
      </c>
      <c r="B100" s="329">
        <v>1</v>
      </c>
      <c r="G100" s="328" t="s">
        <v>295</v>
      </c>
      <c r="H100" s="329">
        <v>41515.14</v>
      </c>
      <c r="J100" s="328" t="s">
        <v>364</v>
      </c>
      <c r="K100" s="329">
        <v>24981.91</v>
      </c>
      <c r="P100" s="328" t="s">
        <v>349</v>
      </c>
      <c r="Q100" s="329">
        <v>1</v>
      </c>
    </row>
    <row r="101" spans="1:17">
      <c r="A101" s="328" t="s">
        <v>358</v>
      </c>
      <c r="B101" s="329">
        <v>1</v>
      </c>
      <c r="G101" s="328" t="s">
        <v>289</v>
      </c>
      <c r="H101" s="329">
        <v>75344.070000000007</v>
      </c>
      <c r="J101" s="328" t="s">
        <v>358</v>
      </c>
      <c r="K101" s="329">
        <v>9420</v>
      </c>
      <c r="P101" s="328" t="s">
        <v>364</v>
      </c>
      <c r="Q101" s="329"/>
    </row>
    <row r="102" spans="1:17">
      <c r="A102" s="328" t="s">
        <v>351</v>
      </c>
      <c r="B102" s="329">
        <v>1</v>
      </c>
      <c r="G102" s="328" t="s">
        <v>291</v>
      </c>
      <c r="H102" s="329">
        <v>46447.77</v>
      </c>
      <c r="J102" s="328" t="s">
        <v>351</v>
      </c>
      <c r="K102" s="329">
        <v>761785</v>
      </c>
      <c r="P102" s="328" t="s">
        <v>358</v>
      </c>
      <c r="Q102" s="329"/>
    </row>
    <row r="103" spans="1:17">
      <c r="A103" s="328" t="s">
        <v>353</v>
      </c>
      <c r="B103" s="329">
        <v>1</v>
      </c>
      <c r="G103" s="328" t="s">
        <v>156</v>
      </c>
      <c r="H103" s="329">
        <v>69200</v>
      </c>
      <c r="J103" s="328" t="s">
        <v>353</v>
      </c>
      <c r="K103" s="329">
        <v>44696</v>
      </c>
      <c r="P103" s="328" t="s">
        <v>351</v>
      </c>
      <c r="Q103" s="329"/>
    </row>
    <row r="104" spans="1:17">
      <c r="A104" s="328" t="s">
        <v>362</v>
      </c>
      <c r="B104" s="329">
        <v>1</v>
      </c>
      <c r="G104" s="328" t="s">
        <v>158</v>
      </c>
      <c r="H104" s="329">
        <v>963.9</v>
      </c>
      <c r="J104" s="328" t="s">
        <v>362</v>
      </c>
      <c r="K104" s="329">
        <v>110684.32</v>
      </c>
      <c r="P104" s="328" t="s">
        <v>353</v>
      </c>
      <c r="Q104" s="329"/>
    </row>
    <row r="105" spans="1:17">
      <c r="A105" s="328" t="s">
        <v>447</v>
      </c>
      <c r="B105" s="329">
        <v>1</v>
      </c>
      <c r="G105" s="328" t="s">
        <v>160</v>
      </c>
      <c r="H105" s="329">
        <v>13750</v>
      </c>
      <c r="J105" s="328" t="s">
        <v>447</v>
      </c>
      <c r="K105" s="329">
        <v>19800</v>
      </c>
      <c r="P105" s="328" t="s">
        <v>362</v>
      </c>
      <c r="Q105" s="329"/>
    </row>
    <row r="106" spans="1:17">
      <c r="A106" s="328" t="s">
        <v>366</v>
      </c>
      <c r="B106" s="329">
        <v>1</v>
      </c>
      <c r="G106" s="328" t="s">
        <v>258</v>
      </c>
      <c r="H106" s="329">
        <v>176179.26</v>
      </c>
      <c r="J106" s="328" t="s">
        <v>366</v>
      </c>
      <c r="K106" s="329">
        <v>153208.04999999999</v>
      </c>
      <c r="P106" s="328" t="s">
        <v>447</v>
      </c>
      <c r="Q106" s="329"/>
    </row>
    <row r="107" spans="1:17">
      <c r="A107" s="328" t="s">
        <v>370</v>
      </c>
      <c r="B107" s="329">
        <v>1</v>
      </c>
      <c r="G107" s="328" t="s">
        <v>182</v>
      </c>
      <c r="H107" s="329">
        <v>30802722</v>
      </c>
      <c r="J107" s="328" t="s">
        <v>370</v>
      </c>
      <c r="K107" s="329">
        <v>2257.85</v>
      </c>
      <c r="P107" s="328" t="s">
        <v>366</v>
      </c>
      <c r="Q107" s="329"/>
    </row>
    <row r="108" spans="1:17">
      <c r="A108" s="328" t="s">
        <v>371</v>
      </c>
      <c r="B108" s="329">
        <v>1</v>
      </c>
      <c r="G108" s="328" t="s">
        <v>171</v>
      </c>
      <c r="H108" s="329">
        <v>150480</v>
      </c>
      <c r="J108" s="328" t="s">
        <v>371</v>
      </c>
      <c r="K108" s="329">
        <v>6047.75</v>
      </c>
      <c r="P108" s="328" t="s">
        <v>370</v>
      </c>
      <c r="Q108" s="329">
        <v>1</v>
      </c>
    </row>
    <row r="109" spans="1:17">
      <c r="A109" s="328" t="s">
        <v>376</v>
      </c>
      <c r="B109" s="329">
        <v>1</v>
      </c>
      <c r="G109" s="328" t="s">
        <v>173</v>
      </c>
      <c r="H109" s="329">
        <v>73530</v>
      </c>
      <c r="J109" s="328" t="s">
        <v>376</v>
      </c>
      <c r="K109" s="329">
        <v>5397.3</v>
      </c>
      <c r="P109" s="328" t="s">
        <v>371</v>
      </c>
      <c r="Q109" s="329"/>
    </row>
    <row r="110" spans="1:17">
      <c r="A110" s="328" t="s">
        <v>409</v>
      </c>
      <c r="B110" s="329">
        <v>1</v>
      </c>
      <c r="G110" s="328" t="s">
        <v>178</v>
      </c>
      <c r="H110" s="329">
        <v>1325</v>
      </c>
      <c r="J110" s="328" t="s">
        <v>409</v>
      </c>
      <c r="K110" s="329">
        <v>331749.36</v>
      </c>
      <c r="P110" s="328" t="s">
        <v>376</v>
      </c>
      <c r="Q110" s="329">
        <v>1</v>
      </c>
    </row>
    <row r="111" spans="1:17">
      <c r="A111" s="328" t="s">
        <v>380</v>
      </c>
      <c r="B111" s="329">
        <v>1</v>
      </c>
      <c r="G111" s="328" t="s">
        <v>219</v>
      </c>
      <c r="H111" s="329">
        <v>255509.8</v>
      </c>
      <c r="J111" s="328" t="s">
        <v>380</v>
      </c>
      <c r="K111" s="329">
        <v>6972</v>
      </c>
      <c r="P111" s="328" t="s">
        <v>409</v>
      </c>
      <c r="Q111" s="329"/>
    </row>
    <row r="112" spans="1:17">
      <c r="A112" s="328" t="s">
        <v>382</v>
      </c>
      <c r="B112" s="329">
        <v>1</v>
      </c>
      <c r="G112" s="328" t="s">
        <v>338</v>
      </c>
      <c r="H112" s="329">
        <v>97250.5</v>
      </c>
      <c r="J112" s="328" t="s">
        <v>382</v>
      </c>
      <c r="K112" s="329">
        <v>1322.65</v>
      </c>
      <c r="P112" s="328" t="s">
        <v>380</v>
      </c>
      <c r="Q112" s="329">
        <v>1</v>
      </c>
    </row>
    <row r="113" spans="1:17">
      <c r="A113" s="328" t="s">
        <v>393</v>
      </c>
      <c r="B113" s="329">
        <v>1</v>
      </c>
      <c r="G113" s="328" t="s">
        <v>360</v>
      </c>
      <c r="H113" s="329">
        <v>37837.58</v>
      </c>
      <c r="J113" s="328" t="s">
        <v>393</v>
      </c>
      <c r="K113" s="329">
        <v>72462.23</v>
      </c>
      <c r="P113" s="328" t="s">
        <v>382</v>
      </c>
      <c r="Q113" s="329"/>
    </row>
    <row r="114" spans="1:17">
      <c r="A114" s="328" t="s">
        <v>397</v>
      </c>
      <c r="B114" s="329">
        <v>1</v>
      </c>
      <c r="G114" s="328" t="s">
        <v>184</v>
      </c>
      <c r="H114" s="329">
        <v>104850</v>
      </c>
      <c r="J114" s="328" t="s">
        <v>397</v>
      </c>
      <c r="K114" s="329">
        <v>75762.8</v>
      </c>
      <c r="P114" s="328" t="s">
        <v>393</v>
      </c>
      <c r="Q114" s="329"/>
    </row>
    <row r="115" spans="1:17">
      <c r="A115" s="328" t="s">
        <v>440</v>
      </c>
      <c r="B115" s="329">
        <v>1</v>
      </c>
      <c r="G115" s="328" t="s">
        <v>195</v>
      </c>
      <c r="H115" s="329">
        <v>579575.06000000006</v>
      </c>
      <c r="J115" s="328" t="s">
        <v>440</v>
      </c>
      <c r="K115" s="329">
        <v>1717.2</v>
      </c>
      <c r="P115" s="328" t="s">
        <v>397</v>
      </c>
      <c r="Q115" s="329"/>
    </row>
    <row r="116" spans="1:17">
      <c r="A116" s="328" t="s">
        <v>420</v>
      </c>
      <c r="B116" s="329">
        <v>1</v>
      </c>
      <c r="G116" s="328" t="s">
        <v>206</v>
      </c>
      <c r="H116" s="329">
        <v>83360</v>
      </c>
      <c r="J116" s="328" t="s">
        <v>420</v>
      </c>
      <c r="K116" s="329">
        <v>304113.09999999998</v>
      </c>
      <c r="P116" s="328" t="s">
        <v>440</v>
      </c>
      <c r="Q116" s="329"/>
    </row>
    <row r="117" spans="1:17">
      <c r="A117" s="328" t="s">
        <v>430</v>
      </c>
      <c r="B117" s="329">
        <v>1</v>
      </c>
      <c r="G117" s="328" t="s">
        <v>251</v>
      </c>
      <c r="H117" s="329">
        <v>284631.71000000002</v>
      </c>
      <c r="J117" s="328" t="s">
        <v>430</v>
      </c>
      <c r="K117" s="329">
        <v>5500</v>
      </c>
      <c r="P117" s="328" t="s">
        <v>420</v>
      </c>
      <c r="Q117" s="329"/>
    </row>
    <row r="118" spans="1:17">
      <c r="A118" s="328" t="s">
        <v>434</v>
      </c>
      <c r="B118" s="329">
        <v>1</v>
      </c>
      <c r="G118" s="328" t="s">
        <v>255</v>
      </c>
      <c r="H118" s="329">
        <v>19954.560000000001</v>
      </c>
      <c r="J118" s="328" t="s">
        <v>434</v>
      </c>
      <c r="K118" s="329">
        <v>10256.450000000001</v>
      </c>
      <c r="P118" s="328" t="s">
        <v>430</v>
      </c>
      <c r="Q118" s="329"/>
    </row>
    <row r="119" spans="1:17">
      <c r="A119" s="328" t="s">
        <v>438</v>
      </c>
      <c r="B119" s="329">
        <v>1</v>
      </c>
      <c r="G119" s="328" t="s">
        <v>217</v>
      </c>
      <c r="H119" s="329">
        <v>87471</v>
      </c>
      <c r="J119" s="328" t="s">
        <v>438</v>
      </c>
      <c r="K119" s="329">
        <v>90250</v>
      </c>
      <c r="P119" s="328" t="s">
        <v>434</v>
      </c>
      <c r="Q119" s="329"/>
    </row>
    <row r="120" spans="1:17">
      <c r="A120" s="330" t="s">
        <v>449</v>
      </c>
      <c r="B120" s="331">
        <v>1</v>
      </c>
      <c r="G120" s="328" t="s">
        <v>222</v>
      </c>
      <c r="H120" s="329">
        <v>6784</v>
      </c>
      <c r="J120" s="330" t="s">
        <v>449</v>
      </c>
      <c r="K120" s="331">
        <v>558</v>
      </c>
      <c r="P120" s="328" t="s">
        <v>438</v>
      </c>
      <c r="Q120" s="329"/>
    </row>
    <row r="121" spans="1:17">
      <c r="G121" s="328" t="s">
        <v>239</v>
      </c>
      <c r="H121" s="329">
        <v>208720</v>
      </c>
      <c r="P121" s="330" t="s">
        <v>449</v>
      </c>
      <c r="Q121" s="331"/>
    </row>
    <row r="122" spans="1:17">
      <c r="G122" s="328" t="s">
        <v>224</v>
      </c>
      <c r="H122" s="329">
        <v>2072</v>
      </c>
    </row>
    <row r="123" spans="1:17">
      <c r="G123" s="328" t="s">
        <v>226</v>
      </c>
      <c r="H123" s="329">
        <v>1050.05</v>
      </c>
    </row>
    <row r="124" spans="1:17">
      <c r="G124" s="328" t="s">
        <v>230</v>
      </c>
      <c r="H124" s="329">
        <v>13311.15</v>
      </c>
    </row>
    <row r="125" spans="1:17">
      <c r="G125" s="328" t="s">
        <v>232</v>
      </c>
      <c r="H125" s="329">
        <v>18480</v>
      </c>
    </row>
    <row r="126" spans="1:17">
      <c r="G126" s="328" t="s">
        <v>234</v>
      </c>
      <c r="H126" s="329">
        <v>72642.789999999994</v>
      </c>
    </row>
    <row r="127" spans="1:17">
      <c r="G127" s="328" t="s">
        <v>245</v>
      </c>
      <c r="H127" s="329">
        <v>1650000</v>
      </c>
    </row>
    <row r="128" spans="1:17">
      <c r="G128" s="328" t="s">
        <v>243</v>
      </c>
      <c r="H128" s="329">
        <v>26700</v>
      </c>
    </row>
    <row r="129" spans="7:8">
      <c r="G129" s="328" t="s">
        <v>249</v>
      </c>
      <c r="H129" s="329">
        <v>89960.16</v>
      </c>
    </row>
    <row r="130" spans="7:8">
      <c r="G130" s="328" t="s">
        <v>385</v>
      </c>
      <c r="H130" s="329">
        <v>3965128</v>
      </c>
    </row>
    <row r="131" spans="7:8">
      <c r="G131" s="328" t="s">
        <v>247</v>
      </c>
      <c r="H131" s="329">
        <v>1102063</v>
      </c>
    </row>
    <row r="132" spans="7:8">
      <c r="G132" s="328" t="s">
        <v>260</v>
      </c>
      <c r="H132" s="329">
        <v>323572.09999999998</v>
      </c>
    </row>
    <row r="133" spans="7:8">
      <c r="G133" s="328" t="s">
        <v>266</v>
      </c>
      <c r="H133" s="329">
        <v>44054</v>
      </c>
    </row>
    <row r="134" spans="7:8">
      <c r="G134" s="328" t="s">
        <v>264</v>
      </c>
      <c r="H134" s="329">
        <v>1650000</v>
      </c>
    </row>
    <row r="135" spans="7:8">
      <c r="G135" s="328" t="s">
        <v>269</v>
      </c>
      <c r="H135" s="329">
        <v>15880</v>
      </c>
    </row>
    <row r="136" spans="7:8">
      <c r="G136" s="328" t="s">
        <v>272</v>
      </c>
      <c r="H136" s="329">
        <v>3177</v>
      </c>
    </row>
    <row r="137" spans="7:8">
      <c r="G137" s="328" t="s">
        <v>273</v>
      </c>
      <c r="H137" s="329">
        <v>4000</v>
      </c>
    </row>
    <row r="138" spans="7:8">
      <c r="G138" s="328" t="s">
        <v>275</v>
      </c>
      <c r="H138" s="329">
        <v>1641</v>
      </c>
    </row>
    <row r="139" spans="7:8">
      <c r="G139" s="328" t="s">
        <v>278</v>
      </c>
      <c r="H139" s="329">
        <v>538522.97</v>
      </c>
    </row>
    <row r="140" spans="7:8">
      <c r="G140" s="328" t="s">
        <v>280</v>
      </c>
      <c r="H140" s="329">
        <v>5600</v>
      </c>
    </row>
    <row r="141" spans="7:8">
      <c r="G141" s="328" t="s">
        <v>316</v>
      </c>
      <c r="H141" s="329">
        <v>1876357.8</v>
      </c>
    </row>
    <row r="142" spans="7:8">
      <c r="G142" s="328" t="s">
        <v>297</v>
      </c>
      <c r="H142" s="329">
        <v>1361</v>
      </c>
    </row>
    <row r="143" spans="7:8">
      <c r="G143" s="328" t="s">
        <v>310</v>
      </c>
      <c r="H143" s="329">
        <v>2355</v>
      </c>
    </row>
    <row r="144" spans="7:8">
      <c r="G144" s="328" t="s">
        <v>304</v>
      </c>
      <c r="H144" s="329">
        <v>6790</v>
      </c>
    </row>
    <row r="145" spans="7:8">
      <c r="G145" s="328" t="s">
        <v>306</v>
      </c>
      <c r="H145" s="329">
        <v>9280</v>
      </c>
    </row>
    <row r="146" spans="7:8">
      <c r="G146" s="328" t="s">
        <v>328</v>
      </c>
      <c r="H146" s="329">
        <v>681597.98</v>
      </c>
    </row>
    <row r="147" spans="7:8">
      <c r="G147" s="328" t="s">
        <v>334</v>
      </c>
      <c r="H147" s="329">
        <v>990000</v>
      </c>
    </row>
    <row r="148" spans="7:8">
      <c r="G148" s="328" t="s">
        <v>312</v>
      </c>
      <c r="H148" s="329">
        <v>3234</v>
      </c>
    </row>
    <row r="149" spans="7:8">
      <c r="G149" s="328" t="s">
        <v>314</v>
      </c>
      <c r="H149" s="329">
        <v>53404.18</v>
      </c>
    </row>
    <row r="150" spans="7:8">
      <c r="G150" s="328" t="s">
        <v>320</v>
      </c>
      <c r="H150" s="329">
        <v>1685780</v>
      </c>
    </row>
    <row r="151" spans="7:8">
      <c r="G151" s="328" t="s">
        <v>318</v>
      </c>
      <c r="H151" s="329">
        <v>11200</v>
      </c>
    </row>
    <row r="152" spans="7:8">
      <c r="G152" s="328" t="s">
        <v>323</v>
      </c>
      <c r="H152" s="329">
        <v>1005957.3</v>
      </c>
    </row>
    <row r="153" spans="7:8">
      <c r="G153" s="328" t="s">
        <v>330</v>
      </c>
      <c r="H153" s="329">
        <v>60699.75</v>
      </c>
    </row>
    <row r="154" spans="7:8">
      <c r="G154" s="328" t="s">
        <v>326</v>
      </c>
      <c r="H154" s="329">
        <v>29600</v>
      </c>
    </row>
    <row r="155" spans="7:8">
      <c r="G155" s="328" t="s">
        <v>374</v>
      </c>
      <c r="H155" s="329">
        <v>27034</v>
      </c>
    </row>
    <row r="156" spans="7:8">
      <c r="G156" s="328" t="s">
        <v>368</v>
      </c>
      <c r="H156" s="329">
        <v>1036731.47</v>
      </c>
    </row>
    <row r="157" spans="7:8">
      <c r="G157" s="328" t="s">
        <v>332</v>
      </c>
      <c r="H157" s="329">
        <v>49913.69</v>
      </c>
    </row>
    <row r="158" spans="7:8">
      <c r="G158" s="328" t="s">
        <v>336</v>
      </c>
      <c r="H158" s="329">
        <v>345421.81</v>
      </c>
    </row>
    <row r="159" spans="7:8">
      <c r="G159" s="328" t="s">
        <v>340</v>
      </c>
      <c r="H159" s="329">
        <v>60703.44</v>
      </c>
    </row>
    <row r="160" spans="7:8">
      <c r="G160" s="328" t="s">
        <v>343</v>
      </c>
      <c r="H160" s="329">
        <v>56473.2</v>
      </c>
    </row>
    <row r="161" spans="7:8">
      <c r="G161" s="328" t="s">
        <v>345</v>
      </c>
      <c r="H161" s="329">
        <v>30044.77</v>
      </c>
    </row>
    <row r="162" spans="7:8">
      <c r="G162" s="328" t="s">
        <v>347</v>
      </c>
      <c r="H162" s="329">
        <v>1685780</v>
      </c>
    </row>
    <row r="163" spans="7:8">
      <c r="G163" s="328" t="s">
        <v>349</v>
      </c>
      <c r="H163" s="329">
        <v>1250</v>
      </c>
    </row>
    <row r="164" spans="7:8">
      <c r="G164" s="328" t="s">
        <v>364</v>
      </c>
      <c r="H164" s="329">
        <v>24981.91</v>
      </c>
    </row>
    <row r="165" spans="7:8">
      <c r="G165" s="328" t="s">
        <v>358</v>
      </c>
      <c r="H165" s="329">
        <v>9420</v>
      </c>
    </row>
    <row r="166" spans="7:8">
      <c r="G166" s="328" t="s">
        <v>351</v>
      </c>
      <c r="H166" s="329">
        <v>761785</v>
      </c>
    </row>
    <row r="167" spans="7:8">
      <c r="G167" s="328" t="s">
        <v>353</v>
      </c>
      <c r="H167" s="329">
        <v>44696</v>
      </c>
    </row>
    <row r="168" spans="7:8">
      <c r="G168" s="328" t="s">
        <v>355</v>
      </c>
      <c r="H168" s="329">
        <v>3300000</v>
      </c>
    </row>
    <row r="169" spans="7:8">
      <c r="G169" s="328" t="s">
        <v>401</v>
      </c>
      <c r="H169" s="329">
        <v>493800</v>
      </c>
    </row>
    <row r="170" spans="7:8">
      <c r="G170" s="328" t="s">
        <v>362</v>
      </c>
      <c r="H170" s="329">
        <v>110684.32</v>
      </c>
    </row>
    <row r="171" spans="7:8">
      <c r="G171" s="328" t="s">
        <v>447</v>
      </c>
      <c r="H171" s="329">
        <v>19800</v>
      </c>
    </row>
    <row r="172" spans="7:8">
      <c r="G172" s="328" t="s">
        <v>366</v>
      </c>
      <c r="H172" s="329">
        <v>153208.04999999999</v>
      </c>
    </row>
    <row r="173" spans="7:8">
      <c r="G173" s="328" t="s">
        <v>378</v>
      </c>
      <c r="H173" s="329">
        <v>3013272</v>
      </c>
    </row>
    <row r="174" spans="7:8">
      <c r="G174" s="328" t="s">
        <v>370</v>
      </c>
      <c r="H174" s="329">
        <v>2257.85</v>
      </c>
    </row>
    <row r="175" spans="7:8">
      <c r="G175" s="328" t="s">
        <v>371</v>
      </c>
      <c r="H175" s="329">
        <v>6047.75</v>
      </c>
    </row>
    <row r="176" spans="7:8">
      <c r="G176" s="328" t="s">
        <v>376</v>
      </c>
      <c r="H176" s="329">
        <v>5397.3</v>
      </c>
    </row>
    <row r="177" spans="7:8">
      <c r="G177" s="328" t="s">
        <v>409</v>
      </c>
      <c r="H177" s="329">
        <v>331749.36</v>
      </c>
    </row>
    <row r="178" spans="7:8">
      <c r="G178" s="328" t="s">
        <v>387</v>
      </c>
      <c r="H178" s="329">
        <v>631439</v>
      </c>
    </row>
    <row r="179" spans="7:8">
      <c r="G179" s="328" t="s">
        <v>380</v>
      </c>
      <c r="H179" s="329">
        <v>6972</v>
      </c>
    </row>
    <row r="180" spans="7:8">
      <c r="G180" s="328" t="s">
        <v>382</v>
      </c>
      <c r="H180" s="329">
        <v>1322.65</v>
      </c>
    </row>
    <row r="181" spans="7:8">
      <c r="G181" s="328" t="s">
        <v>436</v>
      </c>
      <c r="H181" s="329">
        <v>325000</v>
      </c>
    </row>
    <row r="182" spans="7:8">
      <c r="G182" s="328" t="s">
        <v>384</v>
      </c>
      <c r="H182" s="329">
        <v>1361</v>
      </c>
    </row>
    <row r="183" spans="7:8">
      <c r="G183" s="328" t="s">
        <v>389</v>
      </c>
      <c r="H183" s="329">
        <v>313560</v>
      </c>
    </row>
    <row r="184" spans="7:8">
      <c r="G184" s="328" t="s">
        <v>407</v>
      </c>
      <c r="H184" s="329">
        <v>26490</v>
      </c>
    </row>
    <row r="185" spans="7:8">
      <c r="G185" s="328" t="s">
        <v>428</v>
      </c>
      <c r="H185" s="329">
        <v>8465785</v>
      </c>
    </row>
    <row r="186" spans="7:8">
      <c r="G186" s="328" t="s">
        <v>391</v>
      </c>
      <c r="H186" s="329">
        <v>135135</v>
      </c>
    </row>
    <row r="187" spans="7:8">
      <c r="G187" s="328" t="s">
        <v>395</v>
      </c>
      <c r="H187" s="329">
        <v>134686.03</v>
      </c>
    </row>
    <row r="188" spans="7:8">
      <c r="G188" s="328" t="s">
        <v>424</v>
      </c>
      <c r="H188" s="329">
        <v>4417765.99</v>
      </c>
    </row>
    <row r="189" spans="7:8">
      <c r="G189" s="328" t="s">
        <v>393</v>
      </c>
      <c r="H189" s="329">
        <v>72462.23</v>
      </c>
    </row>
    <row r="190" spans="7:8">
      <c r="G190" s="328" t="s">
        <v>397</v>
      </c>
      <c r="H190" s="329">
        <v>75762.8</v>
      </c>
    </row>
    <row r="191" spans="7:8">
      <c r="G191" s="328" t="s">
        <v>403</v>
      </c>
      <c r="H191" s="329">
        <v>263904.84000000003</v>
      </c>
    </row>
    <row r="192" spans="7:8">
      <c r="G192" s="328" t="s">
        <v>405</v>
      </c>
      <c r="H192" s="329">
        <v>112250</v>
      </c>
    </row>
    <row r="193" spans="7:8">
      <c r="G193" s="328" t="s">
        <v>399</v>
      </c>
      <c r="H193" s="329">
        <v>890968.17</v>
      </c>
    </row>
    <row r="194" spans="7:8">
      <c r="G194" s="328" t="s">
        <v>418</v>
      </c>
      <c r="H194" s="329">
        <v>122700</v>
      </c>
    </row>
    <row r="195" spans="7:8">
      <c r="G195" s="328" t="s">
        <v>432</v>
      </c>
      <c r="H195" s="329">
        <v>397000</v>
      </c>
    </row>
    <row r="196" spans="7:8">
      <c r="G196" s="328" t="s">
        <v>411</v>
      </c>
      <c r="H196" s="329">
        <v>1156068</v>
      </c>
    </row>
    <row r="197" spans="7:8">
      <c r="G197" s="328" t="s">
        <v>440</v>
      </c>
      <c r="H197" s="329">
        <v>1717.2</v>
      </c>
    </row>
    <row r="198" spans="7:8">
      <c r="G198" s="328" t="s">
        <v>413</v>
      </c>
      <c r="H198" s="329">
        <v>131200</v>
      </c>
    </row>
    <row r="199" spans="7:8">
      <c r="G199" s="328" t="s">
        <v>420</v>
      </c>
      <c r="H199" s="329">
        <v>304113.09999999998</v>
      </c>
    </row>
    <row r="200" spans="7:8">
      <c r="G200" s="328" t="s">
        <v>422</v>
      </c>
      <c r="H200" s="329">
        <v>210000</v>
      </c>
    </row>
    <row r="201" spans="7:8">
      <c r="G201" s="328" t="s">
        <v>452</v>
      </c>
      <c r="H201" s="329">
        <v>49780</v>
      </c>
    </row>
    <row r="202" spans="7:8">
      <c r="G202" s="328" t="s">
        <v>426</v>
      </c>
      <c r="H202" s="329">
        <v>49485.94</v>
      </c>
    </row>
    <row r="203" spans="7:8">
      <c r="G203" s="328" t="s">
        <v>430</v>
      </c>
      <c r="H203" s="329">
        <v>5500</v>
      </c>
    </row>
    <row r="204" spans="7:8">
      <c r="G204" s="328" t="s">
        <v>434</v>
      </c>
      <c r="H204" s="329">
        <v>10256.450000000001</v>
      </c>
    </row>
    <row r="205" spans="7:8">
      <c r="G205" s="328" t="s">
        <v>438</v>
      </c>
      <c r="H205" s="329">
        <v>90250</v>
      </c>
    </row>
    <row r="206" spans="7:8" ht="15.75" customHeight="1">
      <c r="G206" s="328" t="s">
        <v>449</v>
      </c>
      <c r="H206" s="329">
        <v>558</v>
      </c>
    </row>
    <row r="207" spans="7:8" ht="15.75" customHeight="1">
      <c r="G207" s="328" t="s">
        <v>2959</v>
      </c>
      <c r="H207" s="329"/>
    </row>
    <row r="208" spans="7:8" ht="15.75" customHeight="1">
      <c r="G208" s="334" t="s">
        <v>2960</v>
      </c>
      <c r="H208" s="335">
        <v>174190352.21000001</v>
      </c>
    </row>
  </sheetData>
  <mergeCells count="27">
    <mergeCell ref="BO1:BP1"/>
    <mergeCell ref="BR1:BS1"/>
    <mergeCell ref="BU1:BV1"/>
    <mergeCell ref="BX1:BY1"/>
    <mergeCell ref="CA1:CB1"/>
    <mergeCell ref="AE1:AF1"/>
    <mergeCell ref="AH1:AI1"/>
    <mergeCell ref="AK1:AL1"/>
    <mergeCell ref="AN1:AO1"/>
    <mergeCell ref="BL1:BM1"/>
    <mergeCell ref="AQ1:AR1"/>
    <mergeCell ref="AT1:AU1"/>
    <mergeCell ref="AW1:AX1"/>
    <mergeCell ref="AZ1:BA1"/>
    <mergeCell ref="BC1:BD1"/>
    <mergeCell ref="BF1:BG1"/>
    <mergeCell ref="BI1:BJ1"/>
    <mergeCell ref="P1:Q1"/>
    <mergeCell ref="S1:T1"/>
    <mergeCell ref="V1:W1"/>
    <mergeCell ref="Y1:Z1"/>
    <mergeCell ref="AB1:AC1"/>
    <mergeCell ref="A1:B1"/>
    <mergeCell ref="D1:E1"/>
    <mergeCell ref="G1:H1"/>
    <mergeCell ref="J1:K1"/>
    <mergeCell ref="M1:N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Compras 2026</vt:lpstr>
      <vt:lpstr>Compras 2025</vt:lpstr>
      <vt:lpstr>Compras 2024</vt:lpstr>
      <vt:lpstr>Compras 2023</vt:lpstr>
      <vt:lpstr>Convênios</vt:lpstr>
      <vt:lpstr>Chefias 2024</vt:lpstr>
      <vt:lpstr>INDICADORES</vt:lpstr>
      <vt:lpstr>Base de 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 DE OLIVEIRA BIANCHINI</cp:lastModifiedBy>
  <dcterms:modified xsi:type="dcterms:W3CDTF">2025-12-18T13:12:10Z</dcterms:modified>
</cp:coreProperties>
</file>